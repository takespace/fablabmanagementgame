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take\Desktop\RwandaCard\EventCard\"/>
    </mc:Choice>
  </mc:AlternateContent>
  <xr:revisionPtr revIDLastSave="0" documentId="13_ncr:1_{2EA58816-6487-4180-8ABE-3C7D2C22EB14}" xr6:coauthVersionLast="44" xr6:coauthVersionMax="44" xr10:uidLastSave="{00000000-0000-0000-0000-000000000000}"/>
  <bookViews>
    <workbookView xWindow="330" yWindow="0" windowWidth="21270" windowHeight="12900" xr2:uid="{00000000-000D-0000-FFFF-FFFF00000000}"/>
  </bookViews>
  <sheets>
    <sheet name="card" sheetId="3" r:id="rId1"/>
    <sheet name="data" sheetId="2" r:id="rId2"/>
    <sheet name="EventCard" sheetId="5" r:id="rId3"/>
  </sheets>
  <definedNames>
    <definedName name="_xlnm.Print_Area" localSheetId="0">card!$A$1:$T$20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2" i="3" l="1"/>
  <c r="J213" i="5" l="1"/>
  <c r="J212" i="5" s="1"/>
  <c r="J211" i="5" s="1"/>
  <c r="J210" i="5" s="1"/>
  <c r="J209" i="5" s="1"/>
  <c r="J208" i="5" s="1"/>
  <c r="J207" i="5" s="1"/>
  <c r="J206" i="5" s="1"/>
  <c r="J205" i="5" s="1"/>
  <c r="J204" i="5" s="1"/>
  <c r="J203" i="5" s="1"/>
  <c r="J202" i="5" s="1"/>
  <c r="J201" i="5" s="1"/>
  <c r="J200" i="5" s="1"/>
  <c r="J199" i="5" s="1"/>
  <c r="J198" i="5" s="1"/>
  <c r="J197" i="5" s="1"/>
  <c r="J196" i="5" s="1"/>
  <c r="J195" i="5" s="1"/>
  <c r="J194" i="5" s="1"/>
  <c r="J193" i="5" s="1"/>
  <c r="J192" i="5" s="1"/>
  <c r="J191" i="5" s="1"/>
  <c r="J190" i="5" s="1"/>
  <c r="J189" i="5" s="1"/>
  <c r="J188" i="5" s="1"/>
  <c r="J187" i="5" s="1"/>
  <c r="J186" i="5" s="1"/>
  <c r="J185" i="5" s="1"/>
  <c r="J184" i="5" s="1"/>
  <c r="J183" i="5" s="1"/>
  <c r="J182" i="5" s="1"/>
  <c r="J181" i="5" s="1"/>
  <c r="J180" i="5" s="1"/>
  <c r="J179" i="5" s="1"/>
  <c r="J178" i="5" s="1"/>
  <c r="J177" i="5" s="1"/>
  <c r="J176" i="5" s="1"/>
  <c r="J175" i="5" s="1"/>
  <c r="J174" i="5" s="1"/>
  <c r="J173" i="5" s="1"/>
  <c r="J172" i="5" s="1"/>
  <c r="J171" i="5" s="1"/>
  <c r="J170" i="5" s="1"/>
  <c r="J169" i="5" s="1"/>
  <c r="J168" i="5" s="1"/>
  <c r="J167" i="5" s="1"/>
  <c r="J166" i="5" s="1"/>
  <c r="J165" i="5" s="1"/>
  <c r="J164" i="5" s="1"/>
  <c r="J163" i="5" s="1"/>
  <c r="J162" i="5" s="1"/>
  <c r="J161" i="5" s="1"/>
  <c r="J160" i="5" s="1"/>
  <c r="J159" i="5" s="1"/>
  <c r="J158" i="5" s="1"/>
  <c r="J157" i="5" s="1"/>
  <c r="J156" i="5" s="1"/>
  <c r="J155" i="5" s="1"/>
  <c r="J154" i="5" s="1"/>
  <c r="J153" i="5" s="1"/>
  <c r="J152" i="5" s="1"/>
  <c r="J151" i="5" s="1"/>
  <c r="J150" i="5" s="1"/>
  <c r="J149" i="5" s="1"/>
  <c r="J148" i="5" s="1"/>
  <c r="J147" i="5" s="1"/>
  <c r="J146" i="5" s="1"/>
  <c r="J145" i="5" s="1"/>
  <c r="J144" i="5" s="1"/>
  <c r="J143" i="5" s="1"/>
  <c r="J142" i="5" s="1"/>
  <c r="J141" i="5" s="1"/>
  <c r="J140" i="5" s="1"/>
  <c r="J139" i="5" s="1"/>
  <c r="J138" i="5" s="1"/>
  <c r="J137" i="5" s="1"/>
  <c r="J136" i="5" s="1"/>
  <c r="J135" i="5" s="1"/>
  <c r="J134" i="5" s="1"/>
  <c r="J133" i="5" s="1"/>
  <c r="J132" i="5" s="1"/>
  <c r="J131" i="5" s="1"/>
  <c r="J130" i="5" s="1"/>
  <c r="J129" i="5" s="1"/>
  <c r="J128" i="5" s="1"/>
  <c r="J127" i="5" s="1"/>
  <c r="J126" i="5" s="1"/>
  <c r="J125" i="5" s="1"/>
  <c r="J124" i="5" s="1"/>
  <c r="J123" i="5" s="1"/>
  <c r="J122" i="5" s="1"/>
  <c r="J121" i="5" s="1"/>
  <c r="J120" i="5" s="1"/>
  <c r="J119" i="5" s="1"/>
  <c r="J118" i="5" s="1"/>
  <c r="J117" i="5" s="1"/>
  <c r="J116" i="5" s="1"/>
  <c r="J115" i="5" s="1"/>
  <c r="J114" i="5" s="1"/>
  <c r="J113" i="5" s="1"/>
  <c r="J112" i="5" s="1"/>
  <c r="K213" i="5"/>
  <c r="K212" i="5" s="1"/>
  <c r="K211" i="5" s="1"/>
  <c r="K210" i="5" s="1"/>
  <c r="K209" i="5" s="1"/>
  <c r="K208" i="5" s="1"/>
  <c r="K207" i="5" s="1"/>
  <c r="K206" i="5" s="1"/>
  <c r="K205" i="5" s="1"/>
  <c r="K204" i="5" s="1"/>
  <c r="K203" i="5" s="1"/>
  <c r="K202" i="5" s="1"/>
  <c r="K201" i="5" s="1"/>
  <c r="K200" i="5" s="1"/>
  <c r="K199" i="5" s="1"/>
  <c r="K198" i="5" s="1"/>
  <c r="K197" i="5" s="1"/>
  <c r="K196" i="5" s="1"/>
  <c r="K195" i="5" s="1"/>
  <c r="K194" i="5" s="1"/>
  <c r="K193" i="5" s="1"/>
  <c r="K192" i="5" s="1"/>
  <c r="K191" i="5" s="1"/>
  <c r="K190" i="5" s="1"/>
  <c r="K189" i="5" s="1"/>
  <c r="K188" i="5" s="1"/>
  <c r="K187" i="5" s="1"/>
  <c r="K186" i="5" s="1"/>
  <c r="K185" i="5" s="1"/>
  <c r="K184" i="5" s="1"/>
  <c r="K183" i="5" s="1"/>
  <c r="K182" i="5" s="1"/>
  <c r="K181" i="5" s="1"/>
  <c r="K180" i="5" s="1"/>
  <c r="K179" i="5" s="1"/>
  <c r="K178" i="5" s="1"/>
  <c r="K177" i="5" s="1"/>
  <c r="K176" i="5" s="1"/>
  <c r="K175" i="5" s="1"/>
  <c r="K174" i="5" s="1"/>
  <c r="K173" i="5" s="1"/>
  <c r="K172" i="5" s="1"/>
  <c r="K171" i="5" s="1"/>
  <c r="K170" i="5" s="1"/>
  <c r="K169" i="5" s="1"/>
  <c r="K168" i="5" s="1"/>
  <c r="K167" i="5" s="1"/>
  <c r="K166" i="5" s="1"/>
  <c r="K165" i="5" s="1"/>
  <c r="K164" i="5" s="1"/>
  <c r="K163" i="5" s="1"/>
  <c r="K162" i="5" s="1"/>
  <c r="K161" i="5" s="1"/>
  <c r="K160" i="5" s="1"/>
  <c r="K159" i="5" s="1"/>
  <c r="K158" i="5" s="1"/>
  <c r="K157" i="5" s="1"/>
  <c r="K156" i="5" s="1"/>
  <c r="K155" i="5" s="1"/>
  <c r="K154" i="5" s="1"/>
  <c r="K153" i="5" s="1"/>
  <c r="K152" i="5" s="1"/>
  <c r="K151" i="5" s="1"/>
  <c r="K150" i="5" s="1"/>
  <c r="K149" i="5" s="1"/>
  <c r="K148" i="5" s="1"/>
  <c r="K147" i="5" s="1"/>
  <c r="K146" i="5" s="1"/>
  <c r="K145" i="5" s="1"/>
  <c r="K144" i="5" s="1"/>
  <c r="K143" i="5" s="1"/>
  <c r="K142" i="5" s="1"/>
  <c r="K141" i="5" s="1"/>
  <c r="K140" i="5" s="1"/>
  <c r="K139" i="5" s="1"/>
  <c r="K138" i="5" s="1"/>
  <c r="K137" i="5" s="1"/>
  <c r="K136" i="5" s="1"/>
  <c r="K135" i="5" s="1"/>
  <c r="K134" i="5" s="1"/>
  <c r="K133" i="5" s="1"/>
  <c r="K132" i="5" s="1"/>
  <c r="K131" i="5" s="1"/>
  <c r="K130" i="5" s="1"/>
  <c r="K129" i="5" s="1"/>
  <c r="K128" i="5" s="1"/>
  <c r="K127" i="5" s="1"/>
  <c r="K126" i="5" s="1"/>
  <c r="K125" i="5" s="1"/>
  <c r="K124" i="5" s="1"/>
  <c r="K123" i="5" s="1"/>
  <c r="K122" i="5" s="1"/>
  <c r="K121" i="5" s="1"/>
  <c r="K120" i="5" s="1"/>
  <c r="K119" i="5" s="1"/>
  <c r="K118" i="5" s="1"/>
  <c r="K117" i="5" s="1"/>
  <c r="K116" i="5" s="1"/>
  <c r="K115" i="5" s="1"/>
  <c r="K114" i="5" s="1"/>
  <c r="K113" i="5" s="1"/>
  <c r="K112" i="5" s="1"/>
  <c r="L213" i="5"/>
  <c r="L212" i="5" s="1"/>
  <c r="L211" i="5" s="1"/>
  <c r="L210" i="5" s="1"/>
  <c r="L209" i="5" s="1"/>
  <c r="L208" i="5" s="1"/>
  <c r="L207" i="5" s="1"/>
  <c r="L206" i="5" s="1"/>
  <c r="L205" i="5" s="1"/>
  <c r="L204" i="5" s="1"/>
  <c r="L203" i="5" s="1"/>
  <c r="L202" i="5" s="1"/>
  <c r="L201" i="5" s="1"/>
  <c r="L200" i="5" s="1"/>
  <c r="L199" i="5" s="1"/>
  <c r="L198" i="5" s="1"/>
  <c r="L197" i="5" s="1"/>
  <c r="L196" i="5" s="1"/>
  <c r="L195" i="5" s="1"/>
  <c r="L194" i="5" s="1"/>
  <c r="L193" i="5" s="1"/>
  <c r="L192" i="5" s="1"/>
  <c r="L191" i="5" s="1"/>
  <c r="L190" i="5" s="1"/>
  <c r="L189" i="5" s="1"/>
  <c r="L188" i="5" s="1"/>
  <c r="L187" i="5" s="1"/>
  <c r="L186" i="5" s="1"/>
  <c r="L185" i="5" s="1"/>
  <c r="L184" i="5" s="1"/>
  <c r="L183" i="5" s="1"/>
  <c r="L182" i="5" s="1"/>
  <c r="L181" i="5" s="1"/>
  <c r="L180" i="5" s="1"/>
  <c r="L179" i="5" s="1"/>
  <c r="L178" i="5" s="1"/>
  <c r="L177" i="5" s="1"/>
  <c r="L176" i="5" s="1"/>
  <c r="L175" i="5" s="1"/>
  <c r="L174" i="5" s="1"/>
  <c r="L173" i="5" s="1"/>
  <c r="L172" i="5" s="1"/>
  <c r="L171" i="5" s="1"/>
  <c r="L170" i="5" s="1"/>
  <c r="L169" i="5" s="1"/>
  <c r="L168" i="5" s="1"/>
  <c r="L167" i="5" s="1"/>
  <c r="L166" i="5" s="1"/>
  <c r="L165" i="5" s="1"/>
  <c r="L164" i="5" s="1"/>
  <c r="L163" i="5" s="1"/>
  <c r="L162" i="5" s="1"/>
  <c r="L161" i="5" s="1"/>
  <c r="L160" i="5" s="1"/>
  <c r="L159" i="5" s="1"/>
  <c r="L158" i="5" s="1"/>
  <c r="L157" i="5" s="1"/>
  <c r="L156" i="5" s="1"/>
  <c r="L155" i="5" s="1"/>
  <c r="L154" i="5" s="1"/>
  <c r="L153" i="5" s="1"/>
  <c r="L152" i="5" s="1"/>
  <c r="L151" i="5" s="1"/>
  <c r="L150" i="5" s="1"/>
  <c r="L149" i="5" s="1"/>
  <c r="L148" i="5" s="1"/>
  <c r="L147" i="5" s="1"/>
  <c r="L146" i="5" s="1"/>
  <c r="L145" i="5" s="1"/>
  <c r="L144" i="5" s="1"/>
  <c r="L143" i="5" s="1"/>
  <c r="L142" i="5" s="1"/>
  <c r="L141" i="5" s="1"/>
  <c r="L140" i="5" s="1"/>
  <c r="L139" i="5" s="1"/>
  <c r="L138" i="5" s="1"/>
  <c r="L137" i="5" s="1"/>
  <c r="L136" i="5" s="1"/>
  <c r="L135" i="5" s="1"/>
  <c r="L134" i="5" s="1"/>
  <c r="L133" i="5" s="1"/>
  <c r="L132" i="5" s="1"/>
  <c r="L131" i="5" s="1"/>
  <c r="L130" i="5" s="1"/>
  <c r="L129" i="5" s="1"/>
  <c r="L128" i="5" s="1"/>
  <c r="L127" i="5" s="1"/>
  <c r="L126" i="5" s="1"/>
  <c r="L125" i="5" s="1"/>
  <c r="L124" i="5" s="1"/>
  <c r="L123" i="5" s="1"/>
  <c r="L122" i="5" s="1"/>
  <c r="L121" i="5" s="1"/>
  <c r="L120" i="5" s="1"/>
  <c r="L119" i="5" s="1"/>
  <c r="L118" i="5" s="1"/>
  <c r="L117" i="5" s="1"/>
  <c r="L116" i="5" s="1"/>
  <c r="L115" i="5" s="1"/>
  <c r="L114" i="5" s="1"/>
  <c r="L113" i="5" s="1"/>
  <c r="L112" i="5" s="1"/>
  <c r="M213" i="5"/>
  <c r="M212" i="5" s="1"/>
  <c r="M211" i="5" s="1"/>
  <c r="M210" i="5" s="1"/>
  <c r="M209" i="5" s="1"/>
  <c r="M208" i="5" s="1"/>
  <c r="M207" i="5" s="1"/>
  <c r="M206" i="5" s="1"/>
  <c r="M205" i="5" s="1"/>
  <c r="M204" i="5" s="1"/>
  <c r="M203" i="5" s="1"/>
  <c r="M202" i="5" s="1"/>
  <c r="M201" i="5" s="1"/>
  <c r="M200" i="5" s="1"/>
  <c r="M199" i="5" s="1"/>
  <c r="M198" i="5" s="1"/>
  <c r="M197" i="5" s="1"/>
  <c r="M196" i="5" s="1"/>
  <c r="M195" i="5" s="1"/>
  <c r="M194" i="5" s="1"/>
  <c r="M193" i="5" s="1"/>
  <c r="M192" i="5" s="1"/>
  <c r="M191" i="5" s="1"/>
  <c r="M190" i="5" s="1"/>
  <c r="M189" i="5" s="1"/>
  <c r="M188" i="5" s="1"/>
  <c r="M187" i="5" s="1"/>
  <c r="M186" i="5" s="1"/>
  <c r="M185" i="5" s="1"/>
  <c r="M184" i="5" s="1"/>
  <c r="M183" i="5" s="1"/>
  <c r="M182" i="5" s="1"/>
  <c r="M181" i="5" s="1"/>
  <c r="M180" i="5" s="1"/>
  <c r="M179" i="5" s="1"/>
  <c r="M178" i="5" s="1"/>
  <c r="M177" i="5" s="1"/>
  <c r="M176" i="5" s="1"/>
  <c r="M175" i="5" s="1"/>
  <c r="M174" i="5" s="1"/>
  <c r="M173" i="5" s="1"/>
  <c r="M172" i="5" s="1"/>
  <c r="M171" i="5" s="1"/>
  <c r="M170" i="5" s="1"/>
  <c r="M169" i="5" s="1"/>
  <c r="M168" i="5" s="1"/>
  <c r="M167" i="5" s="1"/>
  <c r="M166" i="5" s="1"/>
  <c r="M165" i="5" s="1"/>
  <c r="M164" i="5" s="1"/>
  <c r="M163" i="5" s="1"/>
  <c r="M162" i="5" s="1"/>
  <c r="M161" i="5" s="1"/>
  <c r="M160" i="5" s="1"/>
  <c r="M159" i="5" s="1"/>
  <c r="M158" i="5" s="1"/>
  <c r="M157" i="5" s="1"/>
  <c r="M156" i="5" s="1"/>
  <c r="M155" i="5" s="1"/>
  <c r="M154" i="5" s="1"/>
  <c r="M153" i="5" s="1"/>
  <c r="M152" i="5" s="1"/>
  <c r="M151" i="5" s="1"/>
  <c r="M150" i="5" s="1"/>
  <c r="M149" i="5" s="1"/>
  <c r="M148" i="5" s="1"/>
  <c r="M147" i="5" s="1"/>
  <c r="M146" i="5" s="1"/>
  <c r="M145" i="5" s="1"/>
  <c r="M144" i="5" s="1"/>
  <c r="M143" i="5" s="1"/>
  <c r="M142" i="5" s="1"/>
  <c r="M141" i="5" s="1"/>
  <c r="M140" i="5" s="1"/>
  <c r="M139" i="5" s="1"/>
  <c r="M138" i="5" s="1"/>
  <c r="M137" i="5" s="1"/>
  <c r="M136" i="5" s="1"/>
  <c r="M135" i="5" s="1"/>
  <c r="M134" i="5" s="1"/>
  <c r="M133" i="5" s="1"/>
  <c r="M132" i="5" s="1"/>
  <c r="M131" i="5" s="1"/>
  <c r="M130" i="5" s="1"/>
  <c r="M129" i="5" s="1"/>
  <c r="M128" i="5" s="1"/>
  <c r="M127" i="5" s="1"/>
  <c r="M126" i="5" s="1"/>
  <c r="M125" i="5" s="1"/>
  <c r="M124" i="5" s="1"/>
  <c r="M123" i="5" s="1"/>
  <c r="M122" i="5" s="1"/>
  <c r="M121" i="5" s="1"/>
  <c r="M120" i="5" s="1"/>
  <c r="M119" i="5" s="1"/>
  <c r="M118" i="5" s="1"/>
  <c r="M117" i="5" s="1"/>
  <c r="M116" i="5" s="1"/>
  <c r="M115" i="5" s="1"/>
  <c r="M114" i="5" s="1"/>
  <c r="M113" i="5" s="1"/>
  <c r="M112" i="5" s="1"/>
  <c r="N213" i="5"/>
  <c r="N212" i="5" s="1"/>
  <c r="N211" i="5" s="1"/>
  <c r="N210" i="5" s="1"/>
  <c r="N209" i="5" s="1"/>
  <c r="N208" i="5" s="1"/>
  <c r="N207" i="5" s="1"/>
  <c r="N206" i="5" s="1"/>
  <c r="N205" i="5" s="1"/>
  <c r="N204" i="5" s="1"/>
  <c r="N203" i="5" s="1"/>
  <c r="N202" i="5" s="1"/>
  <c r="N201" i="5" s="1"/>
  <c r="N200" i="5" s="1"/>
  <c r="N199" i="5" s="1"/>
  <c r="N198" i="5" s="1"/>
  <c r="N197" i="5" s="1"/>
  <c r="N196" i="5" s="1"/>
  <c r="N195" i="5" s="1"/>
  <c r="N194" i="5" s="1"/>
  <c r="N193" i="5" s="1"/>
  <c r="N192" i="5" s="1"/>
  <c r="N191" i="5" s="1"/>
  <c r="N190" i="5" s="1"/>
  <c r="N189" i="5" s="1"/>
  <c r="N188" i="5" s="1"/>
  <c r="N187" i="5" s="1"/>
  <c r="N186" i="5" s="1"/>
  <c r="N185" i="5" s="1"/>
  <c r="N184" i="5" s="1"/>
  <c r="N183" i="5" s="1"/>
  <c r="N182" i="5" s="1"/>
  <c r="N181" i="5" s="1"/>
  <c r="N180" i="5" s="1"/>
  <c r="N179" i="5" s="1"/>
  <c r="N178" i="5" s="1"/>
  <c r="N177" i="5" s="1"/>
  <c r="N176" i="5" s="1"/>
  <c r="N175" i="5" s="1"/>
  <c r="N174" i="5" s="1"/>
  <c r="N173" i="5" s="1"/>
  <c r="N172" i="5" s="1"/>
  <c r="N171" i="5" s="1"/>
  <c r="N170" i="5" s="1"/>
  <c r="N169" i="5" s="1"/>
  <c r="N168" i="5" s="1"/>
  <c r="N167" i="5" s="1"/>
  <c r="N166" i="5" s="1"/>
  <c r="N165" i="5" s="1"/>
  <c r="N164" i="5" s="1"/>
  <c r="N163" i="5" s="1"/>
  <c r="N162" i="5" s="1"/>
  <c r="N161" i="5" s="1"/>
  <c r="N160" i="5" s="1"/>
  <c r="N159" i="5" s="1"/>
  <c r="N158" i="5" s="1"/>
  <c r="N157" i="5" s="1"/>
  <c r="N156" i="5" s="1"/>
  <c r="N155" i="5" s="1"/>
  <c r="N154" i="5" s="1"/>
  <c r="N153" i="5" s="1"/>
  <c r="N152" i="5" s="1"/>
  <c r="N151" i="5" s="1"/>
  <c r="N150" i="5" s="1"/>
  <c r="N149" i="5" s="1"/>
  <c r="N148" i="5" s="1"/>
  <c r="N147" i="5" s="1"/>
  <c r="N146" i="5" s="1"/>
  <c r="N145" i="5" s="1"/>
  <c r="N144" i="5" s="1"/>
  <c r="N143" i="5" s="1"/>
  <c r="N142" i="5" s="1"/>
  <c r="N141" i="5" s="1"/>
  <c r="N140" i="5" s="1"/>
  <c r="N139" i="5" s="1"/>
  <c r="N138" i="5" s="1"/>
  <c r="N137" i="5" s="1"/>
  <c r="N136" i="5" s="1"/>
  <c r="N135" i="5" s="1"/>
  <c r="N134" i="5" s="1"/>
  <c r="N133" i="5" s="1"/>
  <c r="N132" i="5" s="1"/>
  <c r="N131" i="5" s="1"/>
  <c r="N130" i="5" s="1"/>
  <c r="N129" i="5" s="1"/>
  <c r="N128" i="5" s="1"/>
  <c r="N127" i="5" s="1"/>
  <c r="N126" i="5" s="1"/>
  <c r="N125" i="5" s="1"/>
  <c r="N124" i="5" s="1"/>
  <c r="N123" i="5" s="1"/>
  <c r="N122" i="5" s="1"/>
  <c r="N121" i="5" s="1"/>
  <c r="N120" i="5" s="1"/>
  <c r="N119" i="5" s="1"/>
  <c r="N118" i="5" s="1"/>
  <c r="N117" i="5" s="1"/>
  <c r="N116" i="5" s="1"/>
  <c r="N115" i="5" s="1"/>
  <c r="N114" i="5" s="1"/>
  <c r="N113" i="5" s="1"/>
  <c r="N112" i="5" s="1"/>
  <c r="O213" i="5"/>
  <c r="O212" i="5" s="1"/>
  <c r="O211" i="5" s="1"/>
  <c r="O210" i="5" s="1"/>
  <c r="O209" i="5" s="1"/>
  <c r="O208" i="5" s="1"/>
  <c r="O207" i="5" s="1"/>
  <c r="O206" i="5" s="1"/>
  <c r="O205" i="5" s="1"/>
  <c r="O204" i="5" s="1"/>
  <c r="O203" i="5" s="1"/>
  <c r="O202" i="5" s="1"/>
  <c r="O201" i="5" s="1"/>
  <c r="O200" i="5" s="1"/>
  <c r="O199" i="5" s="1"/>
  <c r="O198" i="5" s="1"/>
  <c r="O197" i="5" s="1"/>
  <c r="O196" i="5" s="1"/>
  <c r="O195" i="5" s="1"/>
  <c r="O194" i="5" s="1"/>
  <c r="O193" i="5" s="1"/>
  <c r="O192" i="5" s="1"/>
  <c r="O191" i="5" s="1"/>
  <c r="O190" i="5" s="1"/>
  <c r="O189" i="5" s="1"/>
  <c r="O188" i="5" s="1"/>
  <c r="O187" i="5" s="1"/>
  <c r="O186" i="5" s="1"/>
  <c r="O185" i="5" s="1"/>
  <c r="O184" i="5" s="1"/>
  <c r="O183" i="5" s="1"/>
  <c r="O182" i="5" s="1"/>
  <c r="O181" i="5" s="1"/>
  <c r="O180" i="5" s="1"/>
  <c r="O179" i="5" s="1"/>
  <c r="O178" i="5" s="1"/>
  <c r="O177" i="5" s="1"/>
  <c r="O176" i="5" s="1"/>
  <c r="O175" i="5" s="1"/>
  <c r="O174" i="5" s="1"/>
  <c r="O173" i="5" s="1"/>
  <c r="O172" i="5" s="1"/>
  <c r="O171" i="5" s="1"/>
  <c r="O170" i="5" s="1"/>
  <c r="O169" i="5" s="1"/>
  <c r="O168" i="5" s="1"/>
  <c r="O167" i="5" s="1"/>
  <c r="O166" i="5" s="1"/>
  <c r="O165" i="5" s="1"/>
  <c r="O164" i="5" s="1"/>
  <c r="O163" i="5" s="1"/>
  <c r="O162" i="5" s="1"/>
  <c r="O161" i="5" s="1"/>
  <c r="O160" i="5" s="1"/>
  <c r="O159" i="5" s="1"/>
  <c r="O158" i="5" s="1"/>
  <c r="O157" i="5" s="1"/>
  <c r="O156" i="5" s="1"/>
  <c r="O155" i="5" s="1"/>
  <c r="O154" i="5" s="1"/>
  <c r="O153" i="5" s="1"/>
  <c r="O152" i="5" s="1"/>
  <c r="O151" i="5" s="1"/>
  <c r="O150" i="5" s="1"/>
  <c r="O149" i="5" s="1"/>
  <c r="O148" i="5" s="1"/>
  <c r="O147" i="5" s="1"/>
  <c r="O146" i="5" s="1"/>
  <c r="O145" i="5" s="1"/>
  <c r="O144" i="5" s="1"/>
  <c r="O143" i="5" s="1"/>
  <c r="O142" i="5" s="1"/>
  <c r="O141" i="5" s="1"/>
  <c r="O140" i="5" s="1"/>
  <c r="O139" i="5" s="1"/>
  <c r="O138" i="5" s="1"/>
  <c r="O137" i="5" s="1"/>
  <c r="O136" i="5" s="1"/>
  <c r="O135" i="5" s="1"/>
  <c r="O134" i="5" s="1"/>
  <c r="O133" i="5" s="1"/>
  <c r="O132" i="5" s="1"/>
  <c r="O131" i="5" s="1"/>
  <c r="O130" i="5" s="1"/>
  <c r="O129" i="5" s="1"/>
  <c r="O128" i="5" s="1"/>
  <c r="O127" i="5" s="1"/>
  <c r="O126" i="5" s="1"/>
  <c r="O125" i="5" s="1"/>
  <c r="O124" i="5" s="1"/>
  <c r="O123" i="5" s="1"/>
  <c r="O122" i="5" s="1"/>
  <c r="O121" i="5" s="1"/>
  <c r="O120" i="5" s="1"/>
  <c r="O119" i="5" s="1"/>
  <c r="O118" i="5" s="1"/>
  <c r="O117" i="5" s="1"/>
  <c r="O116" i="5" s="1"/>
  <c r="O115" i="5" s="1"/>
  <c r="O114" i="5" s="1"/>
  <c r="O113" i="5" s="1"/>
  <c r="O112" i="5" s="1"/>
  <c r="P213" i="5"/>
  <c r="P212" i="5" s="1"/>
  <c r="P211" i="5" s="1"/>
  <c r="P210" i="5" s="1"/>
  <c r="P209" i="5" s="1"/>
  <c r="P208" i="5" s="1"/>
  <c r="P207" i="5" s="1"/>
  <c r="P206" i="5" s="1"/>
  <c r="P205" i="5" s="1"/>
  <c r="P204" i="5" s="1"/>
  <c r="P203" i="5" s="1"/>
  <c r="P202" i="5" s="1"/>
  <c r="P201" i="5" s="1"/>
  <c r="P200" i="5" s="1"/>
  <c r="P199" i="5" s="1"/>
  <c r="P198" i="5" s="1"/>
  <c r="P197" i="5" s="1"/>
  <c r="P196" i="5" s="1"/>
  <c r="P195" i="5" s="1"/>
  <c r="P194" i="5" s="1"/>
  <c r="P193" i="5" s="1"/>
  <c r="P192" i="5" s="1"/>
  <c r="P191" i="5" s="1"/>
  <c r="P190" i="5" s="1"/>
  <c r="P189" i="5" s="1"/>
  <c r="P188" i="5" s="1"/>
  <c r="P187" i="5" s="1"/>
  <c r="P186" i="5" s="1"/>
  <c r="P185" i="5" s="1"/>
  <c r="P184" i="5" s="1"/>
  <c r="P183" i="5" s="1"/>
  <c r="P182" i="5" s="1"/>
  <c r="P181" i="5" s="1"/>
  <c r="P180" i="5" s="1"/>
  <c r="P179" i="5" s="1"/>
  <c r="P178" i="5" s="1"/>
  <c r="P177" i="5" s="1"/>
  <c r="P176" i="5" s="1"/>
  <c r="P175" i="5" s="1"/>
  <c r="P174" i="5" s="1"/>
  <c r="P173" i="5" s="1"/>
  <c r="P172" i="5" s="1"/>
  <c r="P171" i="5" s="1"/>
  <c r="P170" i="5" s="1"/>
  <c r="P169" i="5" s="1"/>
  <c r="P168" i="5" s="1"/>
  <c r="P167" i="5" s="1"/>
  <c r="P166" i="5" s="1"/>
  <c r="P165" i="5" s="1"/>
  <c r="P164" i="5" s="1"/>
  <c r="P163" i="5" s="1"/>
  <c r="P162" i="5" s="1"/>
  <c r="P161" i="5" s="1"/>
  <c r="P160" i="5" s="1"/>
  <c r="P159" i="5" s="1"/>
  <c r="P158" i="5" s="1"/>
  <c r="P157" i="5" s="1"/>
  <c r="P156" i="5" s="1"/>
  <c r="P155" i="5" s="1"/>
  <c r="P154" i="5" s="1"/>
  <c r="P153" i="5" s="1"/>
  <c r="P152" i="5" s="1"/>
  <c r="P151" i="5" s="1"/>
  <c r="P150" i="5" s="1"/>
  <c r="P149" i="5" s="1"/>
  <c r="P148" i="5" s="1"/>
  <c r="P147" i="5" s="1"/>
  <c r="P146" i="5" s="1"/>
  <c r="P145" i="5" s="1"/>
  <c r="P144" i="5" s="1"/>
  <c r="P143" i="5" s="1"/>
  <c r="P142" i="5" s="1"/>
  <c r="P141" i="5" s="1"/>
  <c r="P140" i="5" s="1"/>
  <c r="P139" i="5" s="1"/>
  <c r="P138" i="5" s="1"/>
  <c r="P137" i="5" s="1"/>
  <c r="P136" i="5" s="1"/>
  <c r="P135" i="5" s="1"/>
  <c r="P134" i="5" s="1"/>
  <c r="P133" i="5" s="1"/>
  <c r="P132" i="5" s="1"/>
  <c r="P131" i="5" s="1"/>
  <c r="P130" i="5" s="1"/>
  <c r="P129" i="5" s="1"/>
  <c r="P128" i="5" s="1"/>
  <c r="P127" i="5" s="1"/>
  <c r="P126" i="5" s="1"/>
  <c r="P125" i="5" s="1"/>
  <c r="P124" i="5" s="1"/>
  <c r="P123" i="5" s="1"/>
  <c r="P122" i="5" s="1"/>
  <c r="P121" i="5" s="1"/>
  <c r="P120" i="5" s="1"/>
  <c r="P119" i="5" s="1"/>
  <c r="P118" i="5" s="1"/>
  <c r="P117" i="5" s="1"/>
  <c r="P116" i="5" s="1"/>
  <c r="P115" i="5" s="1"/>
  <c r="P114" i="5" s="1"/>
  <c r="P113" i="5" s="1"/>
  <c r="P112" i="5" s="1"/>
  <c r="Q213" i="5"/>
  <c r="Q212" i="5" s="1"/>
  <c r="Q211" i="5" s="1"/>
  <c r="Q210" i="5" s="1"/>
  <c r="Q209" i="5" s="1"/>
  <c r="Q208" i="5" s="1"/>
  <c r="Q207" i="5" s="1"/>
  <c r="Q206" i="5" s="1"/>
  <c r="Q205" i="5" s="1"/>
  <c r="Q204" i="5" s="1"/>
  <c r="Q203" i="5" s="1"/>
  <c r="Q202" i="5" s="1"/>
  <c r="Q201" i="5" s="1"/>
  <c r="Q200" i="5" s="1"/>
  <c r="Q199" i="5" s="1"/>
  <c r="Q198" i="5" s="1"/>
  <c r="Q197" i="5" s="1"/>
  <c r="Q196" i="5" s="1"/>
  <c r="Q195" i="5" s="1"/>
  <c r="Q194" i="5" s="1"/>
  <c r="Q193" i="5" s="1"/>
  <c r="Q192" i="5" s="1"/>
  <c r="Q191" i="5" s="1"/>
  <c r="Q190" i="5" s="1"/>
  <c r="Q189" i="5" s="1"/>
  <c r="Q188" i="5" s="1"/>
  <c r="Q187" i="5" s="1"/>
  <c r="Q186" i="5" s="1"/>
  <c r="Q185" i="5" s="1"/>
  <c r="Q184" i="5" s="1"/>
  <c r="Q183" i="5" s="1"/>
  <c r="Q182" i="5" s="1"/>
  <c r="Q181" i="5" s="1"/>
  <c r="Q180" i="5" s="1"/>
  <c r="Q179" i="5" s="1"/>
  <c r="Q178" i="5" s="1"/>
  <c r="Q177" i="5" s="1"/>
  <c r="Q176" i="5" s="1"/>
  <c r="Q175" i="5" s="1"/>
  <c r="Q174" i="5" s="1"/>
  <c r="Q173" i="5" s="1"/>
  <c r="Q172" i="5" s="1"/>
  <c r="Q171" i="5" s="1"/>
  <c r="Q170" i="5" s="1"/>
  <c r="Q169" i="5" s="1"/>
  <c r="Q168" i="5" s="1"/>
  <c r="Q167" i="5" s="1"/>
  <c r="Q166" i="5" s="1"/>
  <c r="Q165" i="5" s="1"/>
  <c r="Q164" i="5" s="1"/>
  <c r="Q163" i="5" s="1"/>
  <c r="Q162" i="5" s="1"/>
  <c r="Q161" i="5" s="1"/>
  <c r="Q160" i="5" s="1"/>
  <c r="Q159" i="5" s="1"/>
  <c r="Q158" i="5" s="1"/>
  <c r="Q157" i="5" s="1"/>
  <c r="Q156" i="5" s="1"/>
  <c r="Q155" i="5" s="1"/>
  <c r="Q154" i="5" s="1"/>
  <c r="Q153" i="5" s="1"/>
  <c r="Q152" i="5" s="1"/>
  <c r="Q151" i="5" s="1"/>
  <c r="Q150" i="5" s="1"/>
  <c r="Q149" i="5" s="1"/>
  <c r="Q148" i="5" s="1"/>
  <c r="Q147" i="5" s="1"/>
  <c r="Q146" i="5" s="1"/>
  <c r="Q145" i="5" s="1"/>
  <c r="Q144" i="5" s="1"/>
  <c r="Q143" i="5" s="1"/>
  <c r="Q142" i="5" s="1"/>
  <c r="Q141" i="5" s="1"/>
  <c r="Q140" i="5" s="1"/>
  <c r="Q139" i="5" s="1"/>
  <c r="Q138" i="5" s="1"/>
  <c r="Q137" i="5" s="1"/>
  <c r="Q136" i="5" s="1"/>
  <c r="Q135" i="5" s="1"/>
  <c r="Q134" i="5" s="1"/>
  <c r="Q133" i="5" s="1"/>
  <c r="Q132" i="5" s="1"/>
  <c r="Q131" i="5" s="1"/>
  <c r="Q130" i="5" s="1"/>
  <c r="Q129" i="5" s="1"/>
  <c r="Q128" i="5" s="1"/>
  <c r="Q127" i="5" s="1"/>
  <c r="Q126" i="5" s="1"/>
  <c r="Q125" i="5" s="1"/>
  <c r="Q124" i="5" s="1"/>
  <c r="Q123" i="5" s="1"/>
  <c r="Q122" i="5" s="1"/>
  <c r="Q121" i="5" s="1"/>
  <c r="Q120" i="5" s="1"/>
  <c r="Q119" i="5" s="1"/>
  <c r="Q118" i="5" s="1"/>
  <c r="Q117" i="5" s="1"/>
  <c r="Q116" i="5" s="1"/>
  <c r="Q115" i="5" s="1"/>
  <c r="Q114" i="5" s="1"/>
  <c r="Q113" i="5" s="1"/>
  <c r="Q112" i="5" s="1"/>
  <c r="R213" i="5"/>
  <c r="R212" i="5" s="1"/>
  <c r="R211" i="5" s="1"/>
  <c r="R210" i="5" s="1"/>
  <c r="R209" i="5" s="1"/>
  <c r="R208" i="5" s="1"/>
  <c r="R207" i="5" s="1"/>
  <c r="R206" i="5" s="1"/>
  <c r="R205" i="5" s="1"/>
  <c r="R204" i="5" s="1"/>
  <c r="R203" i="5" s="1"/>
  <c r="R202" i="5" s="1"/>
  <c r="R201" i="5" s="1"/>
  <c r="R200" i="5" s="1"/>
  <c r="R199" i="5" s="1"/>
  <c r="R198" i="5" s="1"/>
  <c r="R197" i="5" s="1"/>
  <c r="R196" i="5" s="1"/>
  <c r="R195" i="5" s="1"/>
  <c r="R194" i="5" s="1"/>
  <c r="R193" i="5" s="1"/>
  <c r="R192" i="5" s="1"/>
  <c r="R191" i="5" s="1"/>
  <c r="R190" i="5" s="1"/>
  <c r="R189" i="5" s="1"/>
  <c r="R188" i="5" s="1"/>
  <c r="R187" i="5" s="1"/>
  <c r="R186" i="5" s="1"/>
  <c r="R185" i="5" s="1"/>
  <c r="R184" i="5" s="1"/>
  <c r="R183" i="5" s="1"/>
  <c r="R182" i="5" s="1"/>
  <c r="R181" i="5" s="1"/>
  <c r="R180" i="5" s="1"/>
  <c r="R179" i="5" s="1"/>
  <c r="R178" i="5" s="1"/>
  <c r="R177" i="5" s="1"/>
  <c r="R176" i="5" s="1"/>
  <c r="R175" i="5" s="1"/>
  <c r="R174" i="5" s="1"/>
  <c r="R173" i="5" s="1"/>
  <c r="R172" i="5" s="1"/>
  <c r="R171" i="5" s="1"/>
  <c r="R170" i="5" s="1"/>
  <c r="R169" i="5" s="1"/>
  <c r="R168" i="5" s="1"/>
  <c r="R167" i="5" s="1"/>
  <c r="R166" i="5" s="1"/>
  <c r="R165" i="5" s="1"/>
  <c r="R164" i="5" s="1"/>
  <c r="R163" i="5" s="1"/>
  <c r="R162" i="5" s="1"/>
  <c r="R161" i="5" s="1"/>
  <c r="R160" i="5" s="1"/>
  <c r="R159" i="5" s="1"/>
  <c r="R158" i="5" s="1"/>
  <c r="R157" i="5" s="1"/>
  <c r="R156" i="5" s="1"/>
  <c r="R155" i="5" s="1"/>
  <c r="R154" i="5" s="1"/>
  <c r="R153" i="5" s="1"/>
  <c r="R152" i="5" s="1"/>
  <c r="R151" i="5" s="1"/>
  <c r="R150" i="5" s="1"/>
  <c r="R149" i="5" s="1"/>
  <c r="R148" i="5" s="1"/>
  <c r="R147" i="5" s="1"/>
  <c r="R146" i="5" s="1"/>
  <c r="R145" i="5" s="1"/>
  <c r="R144" i="5" s="1"/>
  <c r="R143" i="5" s="1"/>
  <c r="R142" i="5" s="1"/>
  <c r="R141" i="5" s="1"/>
  <c r="R140" i="5" s="1"/>
  <c r="R139" i="5" s="1"/>
  <c r="R138" i="5" s="1"/>
  <c r="R137" i="5" s="1"/>
  <c r="R136" i="5" s="1"/>
  <c r="R135" i="5" s="1"/>
  <c r="R134" i="5" s="1"/>
  <c r="R133" i="5" s="1"/>
  <c r="R132" i="5" s="1"/>
  <c r="R131" i="5" s="1"/>
  <c r="R130" i="5" s="1"/>
  <c r="R129" i="5" s="1"/>
  <c r="R128" i="5" s="1"/>
  <c r="R127" i="5" s="1"/>
  <c r="R126" i="5" s="1"/>
  <c r="R125" i="5" s="1"/>
  <c r="R124" i="5" s="1"/>
  <c r="R123" i="5" s="1"/>
  <c r="R122" i="5" s="1"/>
  <c r="R121" i="5" s="1"/>
  <c r="R120" i="5" s="1"/>
  <c r="R119" i="5" s="1"/>
  <c r="R118" i="5" s="1"/>
  <c r="R117" i="5" s="1"/>
  <c r="R116" i="5" s="1"/>
  <c r="R115" i="5" s="1"/>
  <c r="R114" i="5" s="1"/>
  <c r="R113" i="5" s="1"/>
  <c r="R112" i="5" s="1"/>
  <c r="S213" i="5"/>
  <c r="S212" i="5" s="1"/>
  <c r="S211" i="5" s="1"/>
  <c r="S210" i="5" s="1"/>
  <c r="S209" i="5" s="1"/>
  <c r="S208" i="5" s="1"/>
  <c r="S207" i="5" s="1"/>
  <c r="S206" i="5" s="1"/>
  <c r="S205" i="5" s="1"/>
  <c r="S204" i="5" s="1"/>
  <c r="S203" i="5" s="1"/>
  <c r="S202" i="5" s="1"/>
  <c r="S201" i="5" s="1"/>
  <c r="S200" i="5" s="1"/>
  <c r="S199" i="5" s="1"/>
  <c r="S198" i="5" s="1"/>
  <c r="S197" i="5" s="1"/>
  <c r="S196" i="5" s="1"/>
  <c r="S195" i="5" s="1"/>
  <c r="S194" i="5" s="1"/>
  <c r="S193" i="5" s="1"/>
  <c r="S192" i="5" s="1"/>
  <c r="S191" i="5" s="1"/>
  <c r="S190" i="5" s="1"/>
  <c r="S189" i="5" s="1"/>
  <c r="S188" i="5" s="1"/>
  <c r="S187" i="5" s="1"/>
  <c r="S186" i="5" s="1"/>
  <c r="S185" i="5" s="1"/>
  <c r="S184" i="5" s="1"/>
  <c r="S183" i="5" s="1"/>
  <c r="S182" i="5" s="1"/>
  <c r="S181" i="5" s="1"/>
  <c r="S180" i="5" s="1"/>
  <c r="S179" i="5" s="1"/>
  <c r="S178" i="5" s="1"/>
  <c r="S177" i="5" s="1"/>
  <c r="S176" i="5" s="1"/>
  <c r="S175" i="5" s="1"/>
  <c r="S174" i="5" s="1"/>
  <c r="S173" i="5" s="1"/>
  <c r="S172" i="5" s="1"/>
  <c r="S171" i="5" s="1"/>
  <c r="S170" i="5" s="1"/>
  <c r="S169" i="5" s="1"/>
  <c r="S168" i="5" s="1"/>
  <c r="S167" i="5" s="1"/>
  <c r="S166" i="5" s="1"/>
  <c r="S165" i="5" s="1"/>
  <c r="S164" i="5" s="1"/>
  <c r="S163" i="5" s="1"/>
  <c r="S162" i="5" s="1"/>
  <c r="S161" i="5" s="1"/>
  <c r="S160" i="5" s="1"/>
  <c r="S159" i="5" s="1"/>
  <c r="S158" i="5" s="1"/>
  <c r="S157" i="5" s="1"/>
  <c r="S156" i="5" s="1"/>
  <c r="S155" i="5" s="1"/>
  <c r="S154" i="5" s="1"/>
  <c r="S153" i="5" s="1"/>
  <c r="S152" i="5" s="1"/>
  <c r="S151" i="5" s="1"/>
  <c r="S150" i="5" s="1"/>
  <c r="S149" i="5" s="1"/>
  <c r="S148" i="5" s="1"/>
  <c r="S147" i="5" s="1"/>
  <c r="S146" i="5" s="1"/>
  <c r="S145" i="5" s="1"/>
  <c r="S144" i="5" s="1"/>
  <c r="S143" i="5" s="1"/>
  <c r="S142" i="5" s="1"/>
  <c r="S141" i="5" s="1"/>
  <c r="S140" i="5" s="1"/>
  <c r="S139" i="5" s="1"/>
  <c r="S138" i="5" s="1"/>
  <c r="S137" i="5" s="1"/>
  <c r="S136" i="5" s="1"/>
  <c r="S135" i="5" s="1"/>
  <c r="S134" i="5" s="1"/>
  <c r="S133" i="5" s="1"/>
  <c r="S132" i="5" s="1"/>
  <c r="S131" i="5" s="1"/>
  <c r="S130" i="5" s="1"/>
  <c r="S129" i="5" s="1"/>
  <c r="S128" i="5" s="1"/>
  <c r="S127" i="5" s="1"/>
  <c r="S126" i="5" s="1"/>
  <c r="S125" i="5" s="1"/>
  <c r="S124" i="5" s="1"/>
  <c r="S123" i="5" s="1"/>
  <c r="S122" i="5" s="1"/>
  <c r="S121" i="5" s="1"/>
  <c r="S120" i="5" s="1"/>
  <c r="S119" i="5" s="1"/>
  <c r="S118" i="5" s="1"/>
  <c r="S117" i="5" s="1"/>
  <c r="S116" i="5" s="1"/>
  <c r="S115" i="5" s="1"/>
  <c r="S114" i="5" s="1"/>
  <c r="S113" i="5" s="1"/>
  <c r="S112" i="5" s="1"/>
  <c r="T213" i="5"/>
  <c r="T212" i="5" s="1"/>
  <c r="T211" i="5" s="1"/>
  <c r="T210" i="5" s="1"/>
  <c r="T209" i="5" s="1"/>
  <c r="T208" i="5" s="1"/>
  <c r="T207" i="5" s="1"/>
  <c r="T206" i="5" s="1"/>
  <c r="T205" i="5" s="1"/>
  <c r="T204" i="5" s="1"/>
  <c r="T203" i="5" s="1"/>
  <c r="T202" i="5" s="1"/>
  <c r="T201" i="5" s="1"/>
  <c r="T200" i="5" s="1"/>
  <c r="T199" i="5" s="1"/>
  <c r="T198" i="5" s="1"/>
  <c r="T197" i="5" s="1"/>
  <c r="T196" i="5" s="1"/>
  <c r="T195" i="5" s="1"/>
  <c r="T194" i="5" s="1"/>
  <c r="T193" i="5" s="1"/>
  <c r="T192" i="5" s="1"/>
  <c r="T191" i="5" s="1"/>
  <c r="T190" i="5" s="1"/>
  <c r="T189" i="5" s="1"/>
  <c r="T188" i="5" s="1"/>
  <c r="T187" i="5" s="1"/>
  <c r="T186" i="5" s="1"/>
  <c r="T185" i="5" s="1"/>
  <c r="T184" i="5" s="1"/>
  <c r="T183" i="5" s="1"/>
  <c r="T182" i="5" s="1"/>
  <c r="T181" i="5" s="1"/>
  <c r="T180" i="5" s="1"/>
  <c r="T179" i="5" s="1"/>
  <c r="T178" i="5" s="1"/>
  <c r="T177" i="5" s="1"/>
  <c r="T176" i="5" s="1"/>
  <c r="T175" i="5" s="1"/>
  <c r="T174" i="5" s="1"/>
  <c r="T173" i="5" s="1"/>
  <c r="T172" i="5" s="1"/>
  <c r="T171" i="5" s="1"/>
  <c r="T170" i="5" s="1"/>
  <c r="T169" i="5" s="1"/>
  <c r="T168" i="5" s="1"/>
  <c r="T167" i="5" s="1"/>
  <c r="T166" i="5" s="1"/>
  <c r="T165" i="5" s="1"/>
  <c r="T164" i="5" s="1"/>
  <c r="T163" i="5" s="1"/>
  <c r="T162" i="5" s="1"/>
  <c r="T161" i="5" s="1"/>
  <c r="T160" i="5" s="1"/>
  <c r="T159" i="5" s="1"/>
  <c r="T158" i="5" s="1"/>
  <c r="T157" i="5" s="1"/>
  <c r="T156" i="5" s="1"/>
  <c r="T155" i="5" s="1"/>
  <c r="T154" i="5" s="1"/>
  <c r="T153" i="5" s="1"/>
  <c r="T152" i="5" s="1"/>
  <c r="T151" i="5" s="1"/>
  <c r="T150" i="5" s="1"/>
  <c r="T149" i="5" s="1"/>
  <c r="T148" i="5" s="1"/>
  <c r="T147" i="5" s="1"/>
  <c r="T146" i="5" s="1"/>
  <c r="T145" i="5" s="1"/>
  <c r="T144" i="5" s="1"/>
  <c r="T143" i="5" s="1"/>
  <c r="T142" i="5" s="1"/>
  <c r="T141" i="5" s="1"/>
  <c r="T140" i="5" s="1"/>
  <c r="T139" i="5" s="1"/>
  <c r="T138" i="5" s="1"/>
  <c r="T137" i="5" s="1"/>
  <c r="T136" i="5" s="1"/>
  <c r="T135" i="5" s="1"/>
  <c r="T134" i="5" s="1"/>
  <c r="T133" i="5" s="1"/>
  <c r="T132" i="5" s="1"/>
  <c r="T131" i="5" s="1"/>
  <c r="T130" i="5" s="1"/>
  <c r="T129" i="5" s="1"/>
  <c r="T128" i="5" s="1"/>
  <c r="T127" i="5" s="1"/>
  <c r="T126" i="5" s="1"/>
  <c r="T125" i="5" s="1"/>
  <c r="T124" i="5" s="1"/>
  <c r="T123" i="5" s="1"/>
  <c r="T122" i="5" s="1"/>
  <c r="T121" i="5" s="1"/>
  <c r="T120" i="5" s="1"/>
  <c r="T119" i="5" s="1"/>
  <c r="T118" i="5" s="1"/>
  <c r="T117" i="5" s="1"/>
  <c r="T116" i="5" s="1"/>
  <c r="T115" i="5" s="1"/>
  <c r="T114" i="5" s="1"/>
  <c r="T113" i="5" s="1"/>
  <c r="T112" i="5" s="1"/>
  <c r="U213" i="5"/>
  <c r="U212" i="5" s="1"/>
  <c r="U211" i="5" s="1"/>
  <c r="U210" i="5" s="1"/>
  <c r="U209" i="5" s="1"/>
  <c r="U208" i="5" s="1"/>
  <c r="U207" i="5" s="1"/>
  <c r="U206" i="5" s="1"/>
  <c r="U205" i="5" s="1"/>
  <c r="U204" i="5" s="1"/>
  <c r="U203" i="5" s="1"/>
  <c r="U202" i="5" s="1"/>
  <c r="U201" i="5" s="1"/>
  <c r="U200" i="5" s="1"/>
  <c r="U199" i="5" s="1"/>
  <c r="U198" i="5" s="1"/>
  <c r="U197" i="5" s="1"/>
  <c r="U196" i="5" s="1"/>
  <c r="U195" i="5" s="1"/>
  <c r="U194" i="5" s="1"/>
  <c r="U193" i="5" s="1"/>
  <c r="U192" i="5" s="1"/>
  <c r="U191" i="5" s="1"/>
  <c r="U190" i="5" s="1"/>
  <c r="U189" i="5" s="1"/>
  <c r="U188" i="5" s="1"/>
  <c r="U187" i="5" s="1"/>
  <c r="U186" i="5" s="1"/>
  <c r="U185" i="5" s="1"/>
  <c r="U184" i="5" s="1"/>
  <c r="U183" i="5" s="1"/>
  <c r="U182" i="5" s="1"/>
  <c r="U181" i="5" s="1"/>
  <c r="U180" i="5" s="1"/>
  <c r="U179" i="5" s="1"/>
  <c r="U178" i="5" s="1"/>
  <c r="U177" i="5" s="1"/>
  <c r="U176" i="5" s="1"/>
  <c r="U175" i="5" s="1"/>
  <c r="U174" i="5" s="1"/>
  <c r="U173" i="5" s="1"/>
  <c r="U172" i="5" s="1"/>
  <c r="U171" i="5" s="1"/>
  <c r="U170" i="5" s="1"/>
  <c r="U169" i="5" s="1"/>
  <c r="U168" i="5" s="1"/>
  <c r="U167" i="5" s="1"/>
  <c r="U166" i="5" s="1"/>
  <c r="U165" i="5" s="1"/>
  <c r="U164" i="5" s="1"/>
  <c r="U163" i="5" s="1"/>
  <c r="U162" i="5" s="1"/>
  <c r="U161" i="5" s="1"/>
  <c r="U160" i="5" s="1"/>
  <c r="U159" i="5" s="1"/>
  <c r="U158" i="5" s="1"/>
  <c r="U157" i="5" s="1"/>
  <c r="U156" i="5" s="1"/>
  <c r="U155" i="5" s="1"/>
  <c r="U154" i="5" s="1"/>
  <c r="U153" i="5" s="1"/>
  <c r="U152" i="5" s="1"/>
  <c r="U151" i="5" s="1"/>
  <c r="U150" i="5" s="1"/>
  <c r="U149" i="5" s="1"/>
  <c r="U148" i="5" s="1"/>
  <c r="U147" i="5" s="1"/>
  <c r="U146" i="5" s="1"/>
  <c r="U145" i="5" s="1"/>
  <c r="U144" i="5" s="1"/>
  <c r="U143" i="5" s="1"/>
  <c r="U142" i="5" s="1"/>
  <c r="U141" i="5" s="1"/>
  <c r="U140" i="5" s="1"/>
  <c r="U139" i="5" s="1"/>
  <c r="U138" i="5" s="1"/>
  <c r="U137" i="5" s="1"/>
  <c r="U136" i="5" s="1"/>
  <c r="U135" i="5" s="1"/>
  <c r="U134" i="5" s="1"/>
  <c r="U133" i="5" s="1"/>
  <c r="U132" i="5" s="1"/>
  <c r="U131" i="5" s="1"/>
  <c r="U130" i="5" s="1"/>
  <c r="U129" i="5" s="1"/>
  <c r="U128" i="5" s="1"/>
  <c r="U127" i="5" s="1"/>
  <c r="U126" i="5" s="1"/>
  <c r="U125" i="5" s="1"/>
  <c r="U124" i="5" s="1"/>
  <c r="U123" i="5" s="1"/>
  <c r="U122" i="5" s="1"/>
  <c r="U121" i="5" s="1"/>
  <c r="U120" i="5" s="1"/>
  <c r="U119" i="5" s="1"/>
  <c r="U118" i="5" s="1"/>
  <c r="U117" i="5" s="1"/>
  <c r="U116" i="5" s="1"/>
  <c r="U115" i="5" s="1"/>
  <c r="U114" i="5" s="1"/>
  <c r="U113" i="5" s="1"/>
  <c r="U112" i="5" s="1"/>
  <c r="V213" i="5"/>
  <c r="V212" i="5" s="1"/>
  <c r="V211" i="5" s="1"/>
  <c r="V210" i="5" s="1"/>
  <c r="V209" i="5" s="1"/>
  <c r="V208" i="5" s="1"/>
  <c r="V207" i="5" s="1"/>
  <c r="V206" i="5" s="1"/>
  <c r="V205" i="5" s="1"/>
  <c r="V204" i="5" s="1"/>
  <c r="V203" i="5" s="1"/>
  <c r="V202" i="5" s="1"/>
  <c r="V201" i="5" s="1"/>
  <c r="V200" i="5" s="1"/>
  <c r="V199" i="5" s="1"/>
  <c r="V198" i="5" s="1"/>
  <c r="V197" i="5" s="1"/>
  <c r="V196" i="5" s="1"/>
  <c r="V195" i="5" s="1"/>
  <c r="V194" i="5" s="1"/>
  <c r="V193" i="5" s="1"/>
  <c r="V192" i="5" s="1"/>
  <c r="V191" i="5" s="1"/>
  <c r="V190" i="5" s="1"/>
  <c r="V189" i="5" s="1"/>
  <c r="V188" i="5" s="1"/>
  <c r="V187" i="5" s="1"/>
  <c r="V186" i="5" s="1"/>
  <c r="V185" i="5" s="1"/>
  <c r="V184" i="5" s="1"/>
  <c r="V183" i="5" s="1"/>
  <c r="V182" i="5" s="1"/>
  <c r="V181" i="5" s="1"/>
  <c r="V180" i="5" s="1"/>
  <c r="V179" i="5" s="1"/>
  <c r="V178" i="5" s="1"/>
  <c r="V177" i="5" s="1"/>
  <c r="V176" i="5" s="1"/>
  <c r="V175" i="5" s="1"/>
  <c r="V174" i="5" s="1"/>
  <c r="V173" i="5" s="1"/>
  <c r="V172" i="5" s="1"/>
  <c r="V171" i="5" s="1"/>
  <c r="V170" i="5" s="1"/>
  <c r="V169" i="5" s="1"/>
  <c r="V168" i="5" s="1"/>
  <c r="V167" i="5" s="1"/>
  <c r="V166" i="5" s="1"/>
  <c r="V165" i="5" s="1"/>
  <c r="V164" i="5" s="1"/>
  <c r="V163" i="5" s="1"/>
  <c r="V162" i="5" s="1"/>
  <c r="V161" i="5" s="1"/>
  <c r="V160" i="5" s="1"/>
  <c r="V159" i="5" s="1"/>
  <c r="V158" i="5" s="1"/>
  <c r="V157" i="5" s="1"/>
  <c r="V156" i="5" s="1"/>
  <c r="V155" i="5" s="1"/>
  <c r="V154" i="5" s="1"/>
  <c r="V153" i="5" s="1"/>
  <c r="V152" i="5" s="1"/>
  <c r="V151" i="5" s="1"/>
  <c r="V150" i="5" s="1"/>
  <c r="V149" i="5" s="1"/>
  <c r="V148" i="5" s="1"/>
  <c r="V147" i="5" s="1"/>
  <c r="V146" i="5" s="1"/>
  <c r="V145" i="5" s="1"/>
  <c r="V144" i="5" s="1"/>
  <c r="V143" i="5" s="1"/>
  <c r="V142" i="5" s="1"/>
  <c r="V141" i="5" s="1"/>
  <c r="V140" i="5" s="1"/>
  <c r="V139" i="5" s="1"/>
  <c r="V138" i="5" s="1"/>
  <c r="V137" i="5" s="1"/>
  <c r="V136" i="5" s="1"/>
  <c r="V135" i="5" s="1"/>
  <c r="V134" i="5" s="1"/>
  <c r="V133" i="5" s="1"/>
  <c r="V132" i="5" s="1"/>
  <c r="V131" i="5" s="1"/>
  <c r="V130" i="5" s="1"/>
  <c r="V129" i="5" s="1"/>
  <c r="V128" i="5" s="1"/>
  <c r="V127" i="5" s="1"/>
  <c r="V126" i="5" s="1"/>
  <c r="V125" i="5" s="1"/>
  <c r="V124" i="5" s="1"/>
  <c r="V123" i="5" s="1"/>
  <c r="V122" i="5" s="1"/>
  <c r="V121" i="5" s="1"/>
  <c r="V120" i="5" s="1"/>
  <c r="V119" i="5" s="1"/>
  <c r="V118" i="5" s="1"/>
  <c r="V117" i="5" s="1"/>
  <c r="V116" i="5" s="1"/>
  <c r="V115" i="5" s="1"/>
  <c r="V114" i="5" s="1"/>
  <c r="V113" i="5" s="1"/>
  <c r="V112" i="5" s="1"/>
  <c r="W213" i="5"/>
  <c r="W212" i="5" s="1"/>
  <c r="W211" i="5" s="1"/>
  <c r="W210" i="5" s="1"/>
  <c r="W209" i="5" s="1"/>
  <c r="W208" i="5" s="1"/>
  <c r="W207" i="5" s="1"/>
  <c r="W206" i="5" s="1"/>
  <c r="W205" i="5" s="1"/>
  <c r="W204" i="5" s="1"/>
  <c r="W203" i="5" s="1"/>
  <c r="W202" i="5" s="1"/>
  <c r="W201" i="5" s="1"/>
  <c r="W200" i="5" s="1"/>
  <c r="W199" i="5" s="1"/>
  <c r="W198" i="5" s="1"/>
  <c r="W197" i="5" s="1"/>
  <c r="W196" i="5" s="1"/>
  <c r="W195" i="5" s="1"/>
  <c r="W194" i="5" s="1"/>
  <c r="W193" i="5" s="1"/>
  <c r="W192" i="5" s="1"/>
  <c r="W191" i="5" s="1"/>
  <c r="W190" i="5" s="1"/>
  <c r="W189" i="5" s="1"/>
  <c r="W188" i="5" s="1"/>
  <c r="W187" i="5" s="1"/>
  <c r="W186" i="5" s="1"/>
  <c r="W185" i="5" s="1"/>
  <c r="W184" i="5" s="1"/>
  <c r="W183" i="5" s="1"/>
  <c r="W182" i="5" s="1"/>
  <c r="W181" i="5" s="1"/>
  <c r="W180" i="5" s="1"/>
  <c r="W179" i="5" s="1"/>
  <c r="W178" i="5" s="1"/>
  <c r="W177" i="5" s="1"/>
  <c r="W176" i="5" s="1"/>
  <c r="W175" i="5" s="1"/>
  <c r="W174" i="5" s="1"/>
  <c r="W173" i="5" s="1"/>
  <c r="W172" i="5" s="1"/>
  <c r="W171" i="5" s="1"/>
  <c r="W170" i="5" s="1"/>
  <c r="W169" i="5" s="1"/>
  <c r="W168" i="5" s="1"/>
  <c r="W167" i="5" s="1"/>
  <c r="W166" i="5" s="1"/>
  <c r="W165" i="5" s="1"/>
  <c r="W164" i="5" s="1"/>
  <c r="W163" i="5" s="1"/>
  <c r="W162" i="5" s="1"/>
  <c r="W161" i="5" s="1"/>
  <c r="W160" i="5" s="1"/>
  <c r="W159" i="5" s="1"/>
  <c r="W158" i="5" s="1"/>
  <c r="W157" i="5" s="1"/>
  <c r="W156" i="5" s="1"/>
  <c r="W155" i="5" s="1"/>
  <c r="W154" i="5" s="1"/>
  <c r="W153" i="5" s="1"/>
  <c r="W152" i="5" s="1"/>
  <c r="W151" i="5" s="1"/>
  <c r="W150" i="5" s="1"/>
  <c r="W149" i="5" s="1"/>
  <c r="W148" i="5" s="1"/>
  <c r="W147" i="5" s="1"/>
  <c r="W146" i="5" s="1"/>
  <c r="W145" i="5" s="1"/>
  <c r="W144" i="5" s="1"/>
  <c r="W143" i="5" s="1"/>
  <c r="W142" i="5" s="1"/>
  <c r="W141" i="5" s="1"/>
  <c r="W140" i="5" s="1"/>
  <c r="W139" i="5" s="1"/>
  <c r="W138" i="5" s="1"/>
  <c r="W137" i="5" s="1"/>
  <c r="W136" i="5" s="1"/>
  <c r="W135" i="5" s="1"/>
  <c r="W134" i="5" s="1"/>
  <c r="W133" i="5" s="1"/>
  <c r="W132" i="5" s="1"/>
  <c r="W131" i="5" s="1"/>
  <c r="W130" i="5" s="1"/>
  <c r="W129" i="5" s="1"/>
  <c r="W128" i="5" s="1"/>
  <c r="W127" i="5" s="1"/>
  <c r="W126" i="5" s="1"/>
  <c r="W125" i="5" s="1"/>
  <c r="W124" i="5" s="1"/>
  <c r="W123" i="5" s="1"/>
  <c r="W122" i="5" s="1"/>
  <c r="W121" i="5" s="1"/>
  <c r="W120" i="5" s="1"/>
  <c r="W119" i="5" s="1"/>
  <c r="W118" i="5" s="1"/>
  <c r="W117" i="5" s="1"/>
  <c r="W116" i="5" s="1"/>
  <c r="W115" i="5" s="1"/>
  <c r="W114" i="5" s="1"/>
  <c r="W113" i="5" s="1"/>
  <c r="W112" i="5" s="1"/>
  <c r="X213" i="5"/>
  <c r="X212" i="5" s="1"/>
  <c r="X211" i="5" s="1"/>
  <c r="X210" i="5" s="1"/>
  <c r="X209" i="5" s="1"/>
  <c r="X208" i="5" s="1"/>
  <c r="X207" i="5" s="1"/>
  <c r="X206" i="5" s="1"/>
  <c r="X205" i="5" s="1"/>
  <c r="X204" i="5" s="1"/>
  <c r="X203" i="5" s="1"/>
  <c r="X202" i="5" s="1"/>
  <c r="X201" i="5" s="1"/>
  <c r="X200" i="5" s="1"/>
  <c r="X199" i="5" s="1"/>
  <c r="X198" i="5" s="1"/>
  <c r="X197" i="5" s="1"/>
  <c r="X196" i="5" s="1"/>
  <c r="X195" i="5" s="1"/>
  <c r="X194" i="5" s="1"/>
  <c r="X193" i="5" s="1"/>
  <c r="X192" i="5" s="1"/>
  <c r="X191" i="5" s="1"/>
  <c r="X190" i="5" s="1"/>
  <c r="X189" i="5" s="1"/>
  <c r="X188" i="5" s="1"/>
  <c r="X187" i="5" s="1"/>
  <c r="X186" i="5" s="1"/>
  <c r="X185" i="5" s="1"/>
  <c r="X184" i="5" s="1"/>
  <c r="X183" i="5" s="1"/>
  <c r="X182" i="5" s="1"/>
  <c r="X181" i="5" s="1"/>
  <c r="X180" i="5" s="1"/>
  <c r="X179" i="5" s="1"/>
  <c r="X178" i="5" s="1"/>
  <c r="X177" i="5" s="1"/>
  <c r="X176" i="5" s="1"/>
  <c r="X175" i="5" s="1"/>
  <c r="X174" i="5" s="1"/>
  <c r="X173" i="5" s="1"/>
  <c r="X172" i="5" s="1"/>
  <c r="X171" i="5" s="1"/>
  <c r="X170" i="5" s="1"/>
  <c r="X169" i="5" s="1"/>
  <c r="X168" i="5" s="1"/>
  <c r="X167" i="5" s="1"/>
  <c r="X166" i="5" s="1"/>
  <c r="X165" i="5" s="1"/>
  <c r="X164" i="5" s="1"/>
  <c r="X163" i="5" s="1"/>
  <c r="X162" i="5" s="1"/>
  <c r="X161" i="5" s="1"/>
  <c r="X160" i="5" s="1"/>
  <c r="X159" i="5" s="1"/>
  <c r="X158" i="5" s="1"/>
  <c r="X157" i="5" s="1"/>
  <c r="X156" i="5" s="1"/>
  <c r="X155" i="5" s="1"/>
  <c r="X154" i="5" s="1"/>
  <c r="X153" i="5" s="1"/>
  <c r="X152" i="5" s="1"/>
  <c r="X151" i="5" s="1"/>
  <c r="X150" i="5" s="1"/>
  <c r="X149" i="5" s="1"/>
  <c r="X148" i="5" s="1"/>
  <c r="X147" i="5" s="1"/>
  <c r="X146" i="5" s="1"/>
  <c r="X145" i="5" s="1"/>
  <c r="X144" i="5" s="1"/>
  <c r="X143" i="5" s="1"/>
  <c r="X142" i="5" s="1"/>
  <c r="X141" i="5" s="1"/>
  <c r="X140" i="5" s="1"/>
  <c r="X139" i="5" s="1"/>
  <c r="X138" i="5" s="1"/>
  <c r="X137" i="5" s="1"/>
  <c r="X136" i="5" s="1"/>
  <c r="X135" i="5" s="1"/>
  <c r="X134" i="5" s="1"/>
  <c r="X133" i="5" s="1"/>
  <c r="X132" i="5" s="1"/>
  <c r="X131" i="5" s="1"/>
  <c r="X130" i="5" s="1"/>
  <c r="X129" i="5" s="1"/>
  <c r="X128" i="5" s="1"/>
  <c r="X127" i="5" s="1"/>
  <c r="X126" i="5" s="1"/>
  <c r="X125" i="5" s="1"/>
  <c r="X124" i="5" s="1"/>
  <c r="X123" i="5" s="1"/>
  <c r="X122" i="5" s="1"/>
  <c r="X121" i="5" s="1"/>
  <c r="X120" i="5" s="1"/>
  <c r="X119" i="5" s="1"/>
  <c r="X118" i="5" s="1"/>
  <c r="X117" i="5" s="1"/>
  <c r="X116" i="5" s="1"/>
  <c r="X115" i="5" s="1"/>
  <c r="X114" i="5" s="1"/>
  <c r="X113" i="5" s="1"/>
  <c r="X112" i="5" s="1"/>
  <c r="Y213" i="5"/>
  <c r="Y212" i="5" s="1"/>
  <c r="Y211" i="5" s="1"/>
  <c r="Y210" i="5" s="1"/>
  <c r="Y209" i="5" s="1"/>
  <c r="Y208" i="5" s="1"/>
  <c r="Y207" i="5" s="1"/>
  <c r="Y206" i="5" s="1"/>
  <c r="Y205" i="5" s="1"/>
  <c r="Y204" i="5" s="1"/>
  <c r="Y203" i="5" s="1"/>
  <c r="Y202" i="5" s="1"/>
  <c r="Y201" i="5" s="1"/>
  <c r="Y200" i="5" s="1"/>
  <c r="Y199" i="5" s="1"/>
  <c r="Y198" i="5" s="1"/>
  <c r="Y197" i="5" s="1"/>
  <c r="Y196" i="5" s="1"/>
  <c r="Y195" i="5" s="1"/>
  <c r="Y194" i="5" s="1"/>
  <c r="Y193" i="5" s="1"/>
  <c r="Y192" i="5" s="1"/>
  <c r="Y191" i="5" s="1"/>
  <c r="Y190" i="5" s="1"/>
  <c r="Y189" i="5" s="1"/>
  <c r="Y188" i="5" s="1"/>
  <c r="Y187" i="5" s="1"/>
  <c r="Y186" i="5" s="1"/>
  <c r="Y185" i="5" s="1"/>
  <c r="Y184" i="5" s="1"/>
  <c r="Y183" i="5" s="1"/>
  <c r="Y182" i="5" s="1"/>
  <c r="Y181" i="5" s="1"/>
  <c r="Y180" i="5" s="1"/>
  <c r="Y179" i="5" s="1"/>
  <c r="Y178" i="5" s="1"/>
  <c r="Y177" i="5" s="1"/>
  <c r="Y176" i="5" s="1"/>
  <c r="Y175" i="5" s="1"/>
  <c r="Y174" i="5" s="1"/>
  <c r="Y173" i="5" s="1"/>
  <c r="Y172" i="5" s="1"/>
  <c r="Y171" i="5" s="1"/>
  <c r="Y170" i="5" s="1"/>
  <c r="Y169" i="5" s="1"/>
  <c r="Y168" i="5" s="1"/>
  <c r="Y167" i="5" s="1"/>
  <c r="Y166" i="5" s="1"/>
  <c r="Y165" i="5" s="1"/>
  <c r="Y164" i="5" s="1"/>
  <c r="Y163" i="5" s="1"/>
  <c r="Y162" i="5" s="1"/>
  <c r="Y161" i="5" s="1"/>
  <c r="Y160" i="5" s="1"/>
  <c r="Y159" i="5" s="1"/>
  <c r="Y158" i="5" s="1"/>
  <c r="Y157" i="5" s="1"/>
  <c r="Y156" i="5" s="1"/>
  <c r="Y155" i="5" s="1"/>
  <c r="Y154" i="5" s="1"/>
  <c r="Y153" i="5" s="1"/>
  <c r="Y152" i="5" s="1"/>
  <c r="Y151" i="5" s="1"/>
  <c r="Y150" i="5" s="1"/>
  <c r="Y149" i="5" s="1"/>
  <c r="Y148" i="5" s="1"/>
  <c r="Y147" i="5" s="1"/>
  <c r="Y146" i="5" s="1"/>
  <c r="Y145" i="5" s="1"/>
  <c r="Y144" i="5" s="1"/>
  <c r="Y143" i="5" s="1"/>
  <c r="Y142" i="5" s="1"/>
  <c r="Y141" i="5" s="1"/>
  <c r="Y140" i="5" s="1"/>
  <c r="Y139" i="5" s="1"/>
  <c r="Y138" i="5" s="1"/>
  <c r="Y137" i="5" s="1"/>
  <c r="Y136" i="5" s="1"/>
  <c r="Y135" i="5" s="1"/>
  <c r="Y134" i="5" s="1"/>
  <c r="Y133" i="5" s="1"/>
  <c r="Y132" i="5" s="1"/>
  <c r="Y131" i="5" s="1"/>
  <c r="Y130" i="5" s="1"/>
  <c r="Y129" i="5" s="1"/>
  <c r="Y128" i="5" s="1"/>
  <c r="Y127" i="5" s="1"/>
  <c r="Y126" i="5" s="1"/>
  <c r="Y125" i="5" s="1"/>
  <c r="Y124" i="5" s="1"/>
  <c r="Y123" i="5" s="1"/>
  <c r="Y122" i="5" s="1"/>
  <c r="Y121" i="5" s="1"/>
  <c r="Y120" i="5" s="1"/>
  <c r="Y119" i="5" s="1"/>
  <c r="Y118" i="5" s="1"/>
  <c r="Y117" i="5" s="1"/>
  <c r="Y116" i="5" s="1"/>
  <c r="Y115" i="5" s="1"/>
  <c r="Y114" i="5" s="1"/>
  <c r="Y113" i="5" s="1"/>
  <c r="Y112" i="5" s="1"/>
  <c r="Z213" i="5"/>
  <c r="Z212" i="5" s="1"/>
  <c r="Z211" i="5" s="1"/>
  <c r="Z210" i="5" s="1"/>
  <c r="Z209" i="5" s="1"/>
  <c r="Z208" i="5" s="1"/>
  <c r="Z207" i="5" s="1"/>
  <c r="Z206" i="5" s="1"/>
  <c r="Z205" i="5" s="1"/>
  <c r="Z204" i="5" s="1"/>
  <c r="Z203" i="5" s="1"/>
  <c r="Z202" i="5" s="1"/>
  <c r="Z201" i="5" s="1"/>
  <c r="Z200" i="5" s="1"/>
  <c r="Z199" i="5" s="1"/>
  <c r="Z198" i="5" s="1"/>
  <c r="Z197" i="5" s="1"/>
  <c r="Z196" i="5" s="1"/>
  <c r="Z195" i="5" s="1"/>
  <c r="Z194" i="5" s="1"/>
  <c r="Z193" i="5" s="1"/>
  <c r="Z192" i="5" s="1"/>
  <c r="Z191" i="5" s="1"/>
  <c r="Z190" i="5" s="1"/>
  <c r="Z189" i="5" s="1"/>
  <c r="Z188" i="5" s="1"/>
  <c r="Z187" i="5" s="1"/>
  <c r="Z186" i="5" s="1"/>
  <c r="Z185" i="5" s="1"/>
  <c r="Z184" i="5" s="1"/>
  <c r="Z183" i="5" s="1"/>
  <c r="Z182" i="5" s="1"/>
  <c r="Z181" i="5" s="1"/>
  <c r="Z180" i="5" s="1"/>
  <c r="Z179" i="5" s="1"/>
  <c r="Z178" i="5" s="1"/>
  <c r="Z177" i="5" s="1"/>
  <c r="Z176" i="5" s="1"/>
  <c r="Z175" i="5" s="1"/>
  <c r="Z174" i="5" s="1"/>
  <c r="Z173" i="5" s="1"/>
  <c r="Z172" i="5" s="1"/>
  <c r="Z171" i="5" s="1"/>
  <c r="Z170" i="5" s="1"/>
  <c r="Z169" i="5" s="1"/>
  <c r="Z168" i="5" s="1"/>
  <c r="Z167" i="5" s="1"/>
  <c r="Z166" i="5" s="1"/>
  <c r="Z165" i="5" s="1"/>
  <c r="Z164" i="5" s="1"/>
  <c r="Z163" i="5" s="1"/>
  <c r="Z162" i="5" s="1"/>
  <c r="Z161" i="5" s="1"/>
  <c r="Z160" i="5" s="1"/>
  <c r="Z159" i="5" s="1"/>
  <c r="Z158" i="5" s="1"/>
  <c r="Z157" i="5" s="1"/>
  <c r="Z156" i="5" s="1"/>
  <c r="Z155" i="5" s="1"/>
  <c r="Z154" i="5" s="1"/>
  <c r="Z153" i="5" s="1"/>
  <c r="Z152" i="5" s="1"/>
  <c r="Z151" i="5" s="1"/>
  <c r="Z150" i="5" s="1"/>
  <c r="Z149" i="5" s="1"/>
  <c r="Z148" i="5" s="1"/>
  <c r="Z147" i="5" s="1"/>
  <c r="Z146" i="5" s="1"/>
  <c r="Z145" i="5" s="1"/>
  <c r="Z144" i="5" s="1"/>
  <c r="Z143" i="5" s="1"/>
  <c r="Z142" i="5" s="1"/>
  <c r="Z141" i="5" s="1"/>
  <c r="Z140" i="5" s="1"/>
  <c r="Z139" i="5" s="1"/>
  <c r="Z138" i="5" s="1"/>
  <c r="Z137" i="5" s="1"/>
  <c r="Z136" i="5" s="1"/>
  <c r="Z135" i="5" s="1"/>
  <c r="Z134" i="5" s="1"/>
  <c r="Z133" i="5" s="1"/>
  <c r="Z132" i="5" s="1"/>
  <c r="Z131" i="5" s="1"/>
  <c r="Z130" i="5" s="1"/>
  <c r="Z129" i="5" s="1"/>
  <c r="Z128" i="5" s="1"/>
  <c r="Z127" i="5" s="1"/>
  <c r="Z126" i="5" s="1"/>
  <c r="Z125" i="5" s="1"/>
  <c r="Z124" i="5" s="1"/>
  <c r="Z123" i="5" s="1"/>
  <c r="Z122" i="5" s="1"/>
  <c r="Z121" i="5" s="1"/>
  <c r="Z120" i="5" s="1"/>
  <c r="Z119" i="5" s="1"/>
  <c r="Z118" i="5" s="1"/>
  <c r="Z117" i="5" s="1"/>
  <c r="Z116" i="5" s="1"/>
  <c r="Z115" i="5" s="1"/>
  <c r="Z114" i="5" s="1"/>
  <c r="Z113" i="5" s="1"/>
  <c r="Z112" i="5" s="1"/>
  <c r="AA213" i="5"/>
  <c r="AA212" i="5" s="1"/>
  <c r="AA211" i="5" s="1"/>
  <c r="AA210" i="5" s="1"/>
  <c r="AA209" i="5" s="1"/>
  <c r="AA208" i="5" s="1"/>
  <c r="AA207" i="5" s="1"/>
  <c r="AA206" i="5" s="1"/>
  <c r="AA205" i="5" s="1"/>
  <c r="AA204" i="5" s="1"/>
  <c r="AA203" i="5" s="1"/>
  <c r="AA202" i="5" s="1"/>
  <c r="AA201" i="5" s="1"/>
  <c r="AA200" i="5" s="1"/>
  <c r="AA199" i="5" s="1"/>
  <c r="AA198" i="5" s="1"/>
  <c r="AA197" i="5" s="1"/>
  <c r="AA196" i="5" s="1"/>
  <c r="AA195" i="5" s="1"/>
  <c r="AA194" i="5" s="1"/>
  <c r="AA193" i="5" s="1"/>
  <c r="AA192" i="5" s="1"/>
  <c r="AA191" i="5" s="1"/>
  <c r="AA190" i="5" s="1"/>
  <c r="AA189" i="5" s="1"/>
  <c r="AA188" i="5" s="1"/>
  <c r="AA187" i="5" s="1"/>
  <c r="AA186" i="5" s="1"/>
  <c r="AA185" i="5" s="1"/>
  <c r="AA184" i="5" s="1"/>
  <c r="AA183" i="5" s="1"/>
  <c r="AA182" i="5" s="1"/>
  <c r="AA181" i="5" s="1"/>
  <c r="AA180" i="5" s="1"/>
  <c r="AA179" i="5" s="1"/>
  <c r="AA178" i="5" s="1"/>
  <c r="AA177" i="5" s="1"/>
  <c r="AA176" i="5" s="1"/>
  <c r="AA175" i="5" s="1"/>
  <c r="AA174" i="5" s="1"/>
  <c r="AA173" i="5" s="1"/>
  <c r="AA172" i="5" s="1"/>
  <c r="AA171" i="5" s="1"/>
  <c r="AA170" i="5" s="1"/>
  <c r="AA169" i="5" s="1"/>
  <c r="AA168" i="5" s="1"/>
  <c r="AA167" i="5" s="1"/>
  <c r="AA166" i="5" s="1"/>
  <c r="AA165" i="5" s="1"/>
  <c r="AA164" i="5" s="1"/>
  <c r="AA163" i="5" s="1"/>
  <c r="AA162" i="5" s="1"/>
  <c r="AA161" i="5" s="1"/>
  <c r="AA160" i="5" s="1"/>
  <c r="AA159" i="5" s="1"/>
  <c r="AA158" i="5" s="1"/>
  <c r="AA157" i="5" s="1"/>
  <c r="AA156" i="5" s="1"/>
  <c r="AA155" i="5" s="1"/>
  <c r="AA154" i="5" s="1"/>
  <c r="AA153" i="5" s="1"/>
  <c r="AA152" i="5" s="1"/>
  <c r="AA151" i="5" s="1"/>
  <c r="AA150" i="5" s="1"/>
  <c r="AA149" i="5" s="1"/>
  <c r="AA148" i="5" s="1"/>
  <c r="AA147" i="5" s="1"/>
  <c r="AA146" i="5" s="1"/>
  <c r="AA145" i="5" s="1"/>
  <c r="AA144" i="5" s="1"/>
  <c r="AA143" i="5" s="1"/>
  <c r="AA142" i="5" s="1"/>
  <c r="AA141" i="5" s="1"/>
  <c r="AA140" i="5" s="1"/>
  <c r="AA139" i="5" s="1"/>
  <c r="AA138" i="5" s="1"/>
  <c r="AA137" i="5" s="1"/>
  <c r="AA136" i="5" s="1"/>
  <c r="AA135" i="5" s="1"/>
  <c r="AA134" i="5" s="1"/>
  <c r="AA133" i="5" s="1"/>
  <c r="AA132" i="5" s="1"/>
  <c r="AA131" i="5" s="1"/>
  <c r="AA130" i="5" s="1"/>
  <c r="AA129" i="5" s="1"/>
  <c r="AA128" i="5" s="1"/>
  <c r="AA127" i="5" s="1"/>
  <c r="AA126" i="5" s="1"/>
  <c r="AA125" i="5" s="1"/>
  <c r="AA124" i="5" s="1"/>
  <c r="AA123" i="5" s="1"/>
  <c r="AA122" i="5" s="1"/>
  <c r="AA121" i="5" s="1"/>
  <c r="AA120" i="5" s="1"/>
  <c r="AA119" i="5" s="1"/>
  <c r="AA118" i="5" s="1"/>
  <c r="AA117" i="5" s="1"/>
  <c r="AA116" i="5" s="1"/>
  <c r="AA115" i="5" s="1"/>
  <c r="AA114" i="5" s="1"/>
  <c r="AA113" i="5" s="1"/>
  <c r="AA112" i="5" s="1"/>
  <c r="AB213" i="5"/>
  <c r="AB212" i="5" s="1"/>
  <c r="AB211" i="5" s="1"/>
  <c r="AB210" i="5" s="1"/>
  <c r="AB209" i="5" s="1"/>
  <c r="AB208" i="5" s="1"/>
  <c r="AB207" i="5" s="1"/>
  <c r="AB206" i="5" s="1"/>
  <c r="AB205" i="5" s="1"/>
  <c r="AB204" i="5" s="1"/>
  <c r="AB203" i="5" s="1"/>
  <c r="AB202" i="5" s="1"/>
  <c r="AB201" i="5" s="1"/>
  <c r="AB200" i="5" s="1"/>
  <c r="AB199" i="5" s="1"/>
  <c r="AB198" i="5" s="1"/>
  <c r="AB197" i="5" s="1"/>
  <c r="AB196" i="5" s="1"/>
  <c r="AB195" i="5" s="1"/>
  <c r="AB194" i="5" s="1"/>
  <c r="AB193" i="5" s="1"/>
  <c r="AB192" i="5" s="1"/>
  <c r="AB191" i="5" s="1"/>
  <c r="AB190" i="5" s="1"/>
  <c r="AB189" i="5" s="1"/>
  <c r="AB188" i="5" s="1"/>
  <c r="AB187" i="5" s="1"/>
  <c r="AB186" i="5" s="1"/>
  <c r="AB185" i="5" s="1"/>
  <c r="AB184" i="5" s="1"/>
  <c r="AB183" i="5" s="1"/>
  <c r="AB182" i="5" s="1"/>
  <c r="AB181" i="5" s="1"/>
  <c r="AB180" i="5" s="1"/>
  <c r="AB179" i="5" s="1"/>
  <c r="AB178" i="5" s="1"/>
  <c r="AB177" i="5" s="1"/>
  <c r="AB176" i="5" s="1"/>
  <c r="AB175" i="5" s="1"/>
  <c r="AB174" i="5" s="1"/>
  <c r="AB173" i="5" s="1"/>
  <c r="AB172" i="5" s="1"/>
  <c r="AB171" i="5" s="1"/>
  <c r="AB170" i="5" s="1"/>
  <c r="AB169" i="5" s="1"/>
  <c r="AB168" i="5" s="1"/>
  <c r="AB167" i="5" s="1"/>
  <c r="AB166" i="5" s="1"/>
  <c r="AB165" i="5" s="1"/>
  <c r="AB164" i="5" s="1"/>
  <c r="AB163" i="5" s="1"/>
  <c r="AB162" i="5" s="1"/>
  <c r="AB161" i="5" s="1"/>
  <c r="AB160" i="5" s="1"/>
  <c r="AB159" i="5" s="1"/>
  <c r="AB158" i="5" s="1"/>
  <c r="AB157" i="5" s="1"/>
  <c r="AB156" i="5" s="1"/>
  <c r="AB155" i="5" s="1"/>
  <c r="AB154" i="5" s="1"/>
  <c r="AB153" i="5" s="1"/>
  <c r="AB152" i="5" s="1"/>
  <c r="AB151" i="5" s="1"/>
  <c r="AB150" i="5" s="1"/>
  <c r="AB149" i="5" s="1"/>
  <c r="AB148" i="5" s="1"/>
  <c r="AB147" i="5" s="1"/>
  <c r="AB146" i="5" s="1"/>
  <c r="AB145" i="5" s="1"/>
  <c r="AB144" i="5" s="1"/>
  <c r="AB143" i="5" s="1"/>
  <c r="AB142" i="5" s="1"/>
  <c r="AB141" i="5" s="1"/>
  <c r="AB140" i="5" s="1"/>
  <c r="AB139" i="5" s="1"/>
  <c r="AB138" i="5" s="1"/>
  <c r="AB137" i="5" s="1"/>
  <c r="AB136" i="5" s="1"/>
  <c r="AB135" i="5" s="1"/>
  <c r="AB134" i="5" s="1"/>
  <c r="AB133" i="5" s="1"/>
  <c r="AB132" i="5" s="1"/>
  <c r="AB131" i="5" s="1"/>
  <c r="AB130" i="5" s="1"/>
  <c r="AB129" i="5" s="1"/>
  <c r="AB128" i="5" s="1"/>
  <c r="AB127" i="5" s="1"/>
  <c r="AB126" i="5" s="1"/>
  <c r="AB125" i="5" s="1"/>
  <c r="AB124" i="5" s="1"/>
  <c r="AB123" i="5" s="1"/>
  <c r="AB122" i="5" s="1"/>
  <c r="AB121" i="5" s="1"/>
  <c r="AB120" i="5" s="1"/>
  <c r="AB119" i="5" s="1"/>
  <c r="AB118" i="5" s="1"/>
  <c r="AB117" i="5" s="1"/>
  <c r="AB116" i="5" s="1"/>
  <c r="AB115" i="5" s="1"/>
  <c r="AB114" i="5" s="1"/>
  <c r="AB113" i="5" s="1"/>
  <c r="AB112" i="5" s="1"/>
  <c r="AC213" i="5"/>
  <c r="AC212" i="5" s="1"/>
  <c r="AC211" i="5" s="1"/>
  <c r="AC210" i="5" s="1"/>
  <c r="AC209" i="5" s="1"/>
  <c r="AC208" i="5" s="1"/>
  <c r="AC207" i="5" s="1"/>
  <c r="AC206" i="5" s="1"/>
  <c r="AC205" i="5" s="1"/>
  <c r="AC204" i="5" s="1"/>
  <c r="AC203" i="5" s="1"/>
  <c r="AC202" i="5" s="1"/>
  <c r="AC201" i="5" s="1"/>
  <c r="AC200" i="5" s="1"/>
  <c r="AC199" i="5" s="1"/>
  <c r="AC198" i="5" s="1"/>
  <c r="AC197" i="5" s="1"/>
  <c r="AC196" i="5" s="1"/>
  <c r="AC195" i="5" s="1"/>
  <c r="AC194" i="5" s="1"/>
  <c r="AC193" i="5" s="1"/>
  <c r="AC192" i="5" s="1"/>
  <c r="AC191" i="5" s="1"/>
  <c r="AC190" i="5" s="1"/>
  <c r="AC189" i="5" s="1"/>
  <c r="AC188" i="5" s="1"/>
  <c r="AC187" i="5" s="1"/>
  <c r="AC186" i="5" s="1"/>
  <c r="AC185" i="5" s="1"/>
  <c r="AC184" i="5" s="1"/>
  <c r="AC183" i="5" s="1"/>
  <c r="AC182" i="5" s="1"/>
  <c r="AC181" i="5" s="1"/>
  <c r="AC180" i="5" s="1"/>
  <c r="AC179" i="5" s="1"/>
  <c r="AC178" i="5" s="1"/>
  <c r="AC177" i="5" s="1"/>
  <c r="AC176" i="5" s="1"/>
  <c r="AC175" i="5" s="1"/>
  <c r="AC174" i="5" s="1"/>
  <c r="AC173" i="5" s="1"/>
  <c r="AC172" i="5" s="1"/>
  <c r="AC171" i="5" s="1"/>
  <c r="AC170" i="5" s="1"/>
  <c r="AC169" i="5" s="1"/>
  <c r="AC168" i="5" s="1"/>
  <c r="AC167" i="5" s="1"/>
  <c r="AC166" i="5" s="1"/>
  <c r="AC165" i="5" s="1"/>
  <c r="AC164" i="5" s="1"/>
  <c r="AC163" i="5" s="1"/>
  <c r="AC162" i="5" s="1"/>
  <c r="AC161" i="5" s="1"/>
  <c r="AC160" i="5" s="1"/>
  <c r="AC159" i="5" s="1"/>
  <c r="AC158" i="5" s="1"/>
  <c r="AC157" i="5" s="1"/>
  <c r="AC156" i="5" s="1"/>
  <c r="AC155" i="5" s="1"/>
  <c r="AC154" i="5" s="1"/>
  <c r="AC153" i="5" s="1"/>
  <c r="AC152" i="5" s="1"/>
  <c r="AC151" i="5" s="1"/>
  <c r="AC150" i="5" s="1"/>
  <c r="AC149" i="5" s="1"/>
  <c r="AC148" i="5" s="1"/>
  <c r="AC147" i="5" s="1"/>
  <c r="AC146" i="5" s="1"/>
  <c r="AC145" i="5" s="1"/>
  <c r="AC144" i="5" s="1"/>
  <c r="AC143" i="5" s="1"/>
  <c r="AC142" i="5" s="1"/>
  <c r="AC141" i="5" s="1"/>
  <c r="AC140" i="5" s="1"/>
  <c r="AC139" i="5" s="1"/>
  <c r="AC138" i="5" s="1"/>
  <c r="AC137" i="5" s="1"/>
  <c r="AC136" i="5" s="1"/>
  <c r="AC135" i="5" s="1"/>
  <c r="AC134" i="5" s="1"/>
  <c r="AC133" i="5" s="1"/>
  <c r="AC132" i="5" s="1"/>
  <c r="AC131" i="5" s="1"/>
  <c r="AC130" i="5" s="1"/>
  <c r="AC129" i="5" s="1"/>
  <c r="AC128" i="5" s="1"/>
  <c r="AC127" i="5" s="1"/>
  <c r="AC126" i="5" s="1"/>
  <c r="AC125" i="5" s="1"/>
  <c r="AC124" i="5" s="1"/>
  <c r="AC123" i="5" s="1"/>
  <c r="AC122" i="5" s="1"/>
  <c r="AC121" i="5" s="1"/>
  <c r="AC120" i="5" s="1"/>
  <c r="AC119" i="5" s="1"/>
  <c r="AC118" i="5" s="1"/>
  <c r="AC117" i="5" s="1"/>
  <c r="AC116" i="5" s="1"/>
  <c r="AC115" i="5" s="1"/>
  <c r="AC114" i="5" s="1"/>
  <c r="AC113" i="5" s="1"/>
  <c r="AC112" i="5" s="1"/>
  <c r="AD213" i="5"/>
  <c r="AD212" i="5" s="1"/>
  <c r="AD211" i="5" s="1"/>
  <c r="AD210" i="5" s="1"/>
  <c r="AD209" i="5" s="1"/>
  <c r="AD208" i="5" s="1"/>
  <c r="AD207" i="5" s="1"/>
  <c r="AD206" i="5" s="1"/>
  <c r="AD205" i="5" s="1"/>
  <c r="AD204" i="5" s="1"/>
  <c r="AD203" i="5" s="1"/>
  <c r="AD202" i="5" s="1"/>
  <c r="AD201" i="5" s="1"/>
  <c r="AD200" i="5" s="1"/>
  <c r="AD199" i="5" s="1"/>
  <c r="AD198" i="5" s="1"/>
  <c r="AD197" i="5" s="1"/>
  <c r="AD196" i="5" s="1"/>
  <c r="AD195" i="5" s="1"/>
  <c r="AD194" i="5" s="1"/>
  <c r="AD193" i="5" s="1"/>
  <c r="AD192" i="5" s="1"/>
  <c r="AD191" i="5" s="1"/>
  <c r="AD190" i="5" s="1"/>
  <c r="AD189" i="5" s="1"/>
  <c r="AD188" i="5" s="1"/>
  <c r="AD187" i="5" s="1"/>
  <c r="AD186" i="5" s="1"/>
  <c r="AD185" i="5" s="1"/>
  <c r="AD184" i="5" s="1"/>
  <c r="AD183" i="5" s="1"/>
  <c r="AD182" i="5" s="1"/>
  <c r="AD181" i="5" s="1"/>
  <c r="AD180" i="5" s="1"/>
  <c r="AD179" i="5" s="1"/>
  <c r="AD178" i="5" s="1"/>
  <c r="AD177" i="5" s="1"/>
  <c r="AD176" i="5" s="1"/>
  <c r="AD175" i="5" s="1"/>
  <c r="AD174" i="5" s="1"/>
  <c r="AD173" i="5" s="1"/>
  <c r="AD172" i="5" s="1"/>
  <c r="AD171" i="5" s="1"/>
  <c r="AD170" i="5" s="1"/>
  <c r="AD169" i="5" s="1"/>
  <c r="AD168" i="5" s="1"/>
  <c r="AD167" i="5" s="1"/>
  <c r="AD166" i="5" s="1"/>
  <c r="AD165" i="5" s="1"/>
  <c r="AD164" i="5" s="1"/>
  <c r="AD163" i="5" s="1"/>
  <c r="AD162" i="5" s="1"/>
  <c r="AD161" i="5" s="1"/>
  <c r="AD160" i="5" s="1"/>
  <c r="AD159" i="5" s="1"/>
  <c r="AD158" i="5" s="1"/>
  <c r="AD157" i="5" s="1"/>
  <c r="AD156" i="5" s="1"/>
  <c r="AD155" i="5" s="1"/>
  <c r="AD154" i="5" s="1"/>
  <c r="AD153" i="5" s="1"/>
  <c r="AD152" i="5" s="1"/>
  <c r="AD151" i="5" s="1"/>
  <c r="AD150" i="5" s="1"/>
  <c r="AD149" i="5" s="1"/>
  <c r="AD148" i="5" s="1"/>
  <c r="AD147" i="5" s="1"/>
  <c r="AD146" i="5" s="1"/>
  <c r="AD145" i="5" s="1"/>
  <c r="AD144" i="5" s="1"/>
  <c r="AD143" i="5" s="1"/>
  <c r="AD142" i="5" s="1"/>
  <c r="AD141" i="5" s="1"/>
  <c r="AD140" i="5" s="1"/>
  <c r="AD139" i="5" s="1"/>
  <c r="AD138" i="5" s="1"/>
  <c r="AD137" i="5" s="1"/>
  <c r="AD136" i="5" s="1"/>
  <c r="AD135" i="5" s="1"/>
  <c r="AD134" i="5" s="1"/>
  <c r="AD133" i="5" s="1"/>
  <c r="AD132" i="5" s="1"/>
  <c r="AD131" i="5" s="1"/>
  <c r="AD130" i="5" s="1"/>
  <c r="AD129" i="5" s="1"/>
  <c r="AD128" i="5" s="1"/>
  <c r="AD127" i="5" s="1"/>
  <c r="AD126" i="5" s="1"/>
  <c r="AD125" i="5" s="1"/>
  <c r="AD124" i="5" s="1"/>
  <c r="AD123" i="5" s="1"/>
  <c r="AD122" i="5" s="1"/>
  <c r="AD121" i="5" s="1"/>
  <c r="AD120" i="5" s="1"/>
  <c r="AD119" i="5" s="1"/>
  <c r="AD118" i="5" s="1"/>
  <c r="AD117" i="5" s="1"/>
  <c r="AD116" i="5" s="1"/>
  <c r="AD115" i="5" s="1"/>
  <c r="AD114" i="5" s="1"/>
  <c r="AD113" i="5" s="1"/>
  <c r="AD112" i="5" s="1"/>
  <c r="AE213" i="5"/>
  <c r="AE212" i="5" s="1"/>
  <c r="AE211" i="5" s="1"/>
  <c r="AE210" i="5" s="1"/>
  <c r="AE209" i="5" s="1"/>
  <c r="AE208" i="5" s="1"/>
  <c r="AE207" i="5" s="1"/>
  <c r="AE206" i="5" s="1"/>
  <c r="AE205" i="5" s="1"/>
  <c r="AE204" i="5" s="1"/>
  <c r="AE203" i="5" s="1"/>
  <c r="AE202" i="5" s="1"/>
  <c r="AE201" i="5" s="1"/>
  <c r="AE200" i="5" s="1"/>
  <c r="AE199" i="5" s="1"/>
  <c r="AE198" i="5" s="1"/>
  <c r="AE197" i="5" s="1"/>
  <c r="AE196" i="5" s="1"/>
  <c r="AE195" i="5" s="1"/>
  <c r="AE194" i="5" s="1"/>
  <c r="AE193" i="5" s="1"/>
  <c r="AE192" i="5" s="1"/>
  <c r="AE191" i="5" s="1"/>
  <c r="AE190" i="5" s="1"/>
  <c r="AE189" i="5" s="1"/>
  <c r="AE188" i="5" s="1"/>
  <c r="AE187" i="5" s="1"/>
  <c r="AE186" i="5" s="1"/>
  <c r="AE185" i="5" s="1"/>
  <c r="AE184" i="5" s="1"/>
  <c r="AE183" i="5" s="1"/>
  <c r="AE182" i="5" s="1"/>
  <c r="AE181" i="5" s="1"/>
  <c r="AE180" i="5" s="1"/>
  <c r="AE179" i="5" s="1"/>
  <c r="AE178" i="5" s="1"/>
  <c r="AE177" i="5" s="1"/>
  <c r="AE176" i="5" s="1"/>
  <c r="AE175" i="5" s="1"/>
  <c r="AE174" i="5" s="1"/>
  <c r="AE173" i="5" s="1"/>
  <c r="AE172" i="5" s="1"/>
  <c r="AE171" i="5" s="1"/>
  <c r="AE170" i="5" s="1"/>
  <c r="AE169" i="5" s="1"/>
  <c r="AE168" i="5" s="1"/>
  <c r="AE167" i="5" s="1"/>
  <c r="AE166" i="5" s="1"/>
  <c r="AE165" i="5" s="1"/>
  <c r="AE164" i="5" s="1"/>
  <c r="AE163" i="5" s="1"/>
  <c r="AE162" i="5" s="1"/>
  <c r="AE161" i="5" s="1"/>
  <c r="AE160" i="5" s="1"/>
  <c r="AE159" i="5" s="1"/>
  <c r="AE158" i="5" s="1"/>
  <c r="AE157" i="5" s="1"/>
  <c r="AE156" i="5" s="1"/>
  <c r="AE155" i="5" s="1"/>
  <c r="AE154" i="5" s="1"/>
  <c r="AE153" i="5" s="1"/>
  <c r="AE152" i="5" s="1"/>
  <c r="AE151" i="5" s="1"/>
  <c r="AE150" i="5" s="1"/>
  <c r="AE149" i="5" s="1"/>
  <c r="AE148" i="5" s="1"/>
  <c r="AE147" i="5" s="1"/>
  <c r="AE146" i="5" s="1"/>
  <c r="AE145" i="5" s="1"/>
  <c r="AE144" i="5" s="1"/>
  <c r="AE143" i="5" s="1"/>
  <c r="AE142" i="5" s="1"/>
  <c r="AE141" i="5" s="1"/>
  <c r="AE140" i="5" s="1"/>
  <c r="AE139" i="5" s="1"/>
  <c r="AE138" i="5" s="1"/>
  <c r="AE137" i="5" s="1"/>
  <c r="AE136" i="5" s="1"/>
  <c r="AE135" i="5" s="1"/>
  <c r="AE134" i="5" s="1"/>
  <c r="AE133" i="5" s="1"/>
  <c r="AE132" i="5" s="1"/>
  <c r="AE131" i="5" s="1"/>
  <c r="AE130" i="5" s="1"/>
  <c r="AE129" i="5" s="1"/>
  <c r="AE128" i="5" s="1"/>
  <c r="AE127" i="5" s="1"/>
  <c r="AE126" i="5" s="1"/>
  <c r="AE125" i="5" s="1"/>
  <c r="AE124" i="5" s="1"/>
  <c r="AE123" i="5" s="1"/>
  <c r="AE122" i="5" s="1"/>
  <c r="AE121" i="5" s="1"/>
  <c r="AE120" i="5" s="1"/>
  <c r="AE119" i="5" s="1"/>
  <c r="AE118" i="5" s="1"/>
  <c r="AE117" i="5" s="1"/>
  <c r="AE116" i="5" s="1"/>
  <c r="AE115" i="5" s="1"/>
  <c r="AE114" i="5" s="1"/>
  <c r="AE113" i="5" s="1"/>
  <c r="AE112" i="5" s="1"/>
  <c r="AF213" i="5"/>
  <c r="AF212" i="5" s="1"/>
  <c r="AF211" i="5" s="1"/>
  <c r="AF210" i="5" s="1"/>
  <c r="AF209" i="5" s="1"/>
  <c r="AF208" i="5" s="1"/>
  <c r="AF207" i="5" s="1"/>
  <c r="AF206" i="5" s="1"/>
  <c r="AF205" i="5" s="1"/>
  <c r="AF204" i="5" s="1"/>
  <c r="AF203" i="5" s="1"/>
  <c r="AF202" i="5" s="1"/>
  <c r="AF201" i="5" s="1"/>
  <c r="AF200" i="5" s="1"/>
  <c r="AF199" i="5" s="1"/>
  <c r="AF198" i="5" s="1"/>
  <c r="AF197" i="5" s="1"/>
  <c r="AF196" i="5" s="1"/>
  <c r="AF195" i="5" s="1"/>
  <c r="AF194" i="5" s="1"/>
  <c r="AF193" i="5" s="1"/>
  <c r="AF192" i="5" s="1"/>
  <c r="AF191" i="5" s="1"/>
  <c r="AF190" i="5" s="1"/>
  <c r="AF189" i="5" s="1"/>
  <c r="AF188" i="5" s="1"/>
  <c r="AF187" i="5" s="1"/>
  <c r="AF186" i="5" s="1"/>
  <c r="AF185" i="5" s="1"/>
  <c r="AF184" i="5" s="1"/>
  <c r="AF183" i="5" s="1"/>
  <c r="AF182" i="5" s="1"/>
  <c r="AF181" i="5" s="1"/>
  <c r="AF180" i="5" s="1"/>
  <c r="AF179" i="5" s="1"/>
  <c r="AF178" i="5" s="1"/>
  <c r="AF177" i="5" s="1"/>
  <c r="AF176" i="5" s="1"/>
  <c r="AF175" i="5" s="1"/>
  <c r="AF174" i="5" s="1"/>
  <c r="AF173" i="5" s="1"/>
  <c r="AF172" i="5" s="1"/>
  <c r="AF171" i="5" s="1"/>
  <c r="AF170" i="5" s="1"/>
  <c r="AF169" i="5" s="1"/>
  <c r="AF168" i="5" s="1"/>
  <c r="AF167" i="5" s="1"/>
  <c r="AF166" i="5" s="1"/>
  <c r="AF165" i="5" s="1"/>
  <c r="AF164" i="5" s="1"/>
  <c r="AF163" i="5" s="1"/>
  <c r="AF162" i="5" s="1"/>
  <c r="AF161" i="5" s="1"/>
  <c r="AF160" i="5" s="1"/>
  <c r="AF159" i="5" s="1"/>
  <c r="AF158" i="5" s="1"/>
  <c r="AF157" i="5" s="1"/>
  <c r="AF156" i="5" s="1"/>
  <c r="AF155" i="5" s="1"/>
  <c r="AF154" i="5" s="1"/>
  <c r="AF153" i="5" s="1"/>
  <c r="AF152" i="5" s="1"/>
  <c r="AF151" i="5" s="1"/>
  <c r="AF150" i="5" s="1"/>
  <c r="AF149" i="5" s="1"/>
  <c r="AF148" i="5" s="1"/>
  <c r="AF147" i="5" s="1"/>
  <c r="AF146" i="5" s="1"/>
  <c r="AF145" i="5" s="1"/>
  <c r="AF144" i="5" s="1"/>
  <c r="AF143" i="5" s="1"/>
  <c r="AF142" i="5" s="1"/>
  <c r="AF141" i="5" s="1"/>
  <c r="AF140" i="5" s="1"/>
  <c r="AF139" i="5" s="1"/>
  <c r="AF138" i="5" s="1"/>
  <c r="AF137" i="5" s="1"/>
  <c r="AF136" i="5" s="1"/>
  <c r="AF135" i="5" s="1"/>
  <c r="AF134" i="5" s="1"/>
  <c r="AF133" i="5" s="1"/>
  <c r="AF132" i="5" s="1"/>
  <c r="AF131" i="5" s="1"/>
  <c r="AF130" i="5" s="1"/>
  <c r="AF129" i="5" s="1"/>
  <c r="AF128" i="5" s="1"/>
  <c r="AF127" i="5" s="1"/>
  <c r="AF126" i="5" s="1"/>
  <c r="AF125" i="5" s="1"/>
  <c r="AF124" i="5" s="1"/>
  <c r="AF123" i="5" s="1"/>
  <c r="AF122" i="5" s="1"/>
  <c r="AF121" i="5" s="1"/>
  <c r="AF120" i="5" s="1"/>
  <c r="AF119" i="5" s="1"/>
  <c r="AF118" i="5" s="1"/>
  <c r="AF117" i="5" s="1"/>
  <c r="AF116" i="5" s="1"/>
  <c r="AF115" i="5" s="1"/>
  <c r="AF114" i="5" s="1"/>
  <c r="AF113" i="5" s="1"/>
  <c r="AF112" i="5" s="1"/>
  <c r="AG213" i="5"/>
  <c r="AG212" i="5" s="1"/>
  <c r="AG211" i="5" s="1"/>
  <c r="AG210" i="5" s="1"/>
  <c r="AG209" i="5" s="1"/>
  <c r="AG208" i="5" s="1"/>
  <c r="AG207" i="5" s="1"/>
  <c r="AG206" i="5" s="1"/>
  <c r="AG205" i="5" s="1"/>
  <c r="AG204" i="5" s="1"/>
  <c r="AG203" i="5" s="1"/>
  <c r="AG202" i="5" s="1"/>
  <c r="AG201" i="5" s="1"/>
  <c r="AG200" i="5" s="1"/>
  <c r="AG199" i="5" s="1"/>
  <c r="AG198" i="5" s="1"/>
  <c r="AG197" i="5" s="1"/>
  <c r="AG196" i="5" s="1"/>
  <c r="AG195" i="5" s="1"/>
  <c r="AG194" i="5" s="1"/>
  <c r="AG193" i="5" s="1"/>
  <c r="AG192" i="5" s="1"/>
  <c r="AG191" i="5" s="1"/>
  <c r="AG190" i="5" s="1"/>
  <c r="AG189" i="5" s="1"/>
  <c r="AG188" i="5" s="1"/>
  <c r="AG187" i="5" s="1"/>
  <c r="AG186" i="5" s="1"/>
  <c r="AG185" i="5" s="1"/>
  <c r="AG184" i="5" s="1"/>
  <c r="AG183" i="5" s="1"/>
  <c r="AG182" i="5" s="1"/>
  <c r="AG181" i="5" s="1"/>
  <c r="AG180" i="5" s="1"/>
  <c r="AG179" i="5" s="1"/>
  <c r="AG178" i="5" s="1"/>
  <c r="AG177" i="5" s="1"/>
  <c r="AG176" i="5" s="1"/>
  <c r="AG175" i="5" s="1"/>
  <c r="AG174" i="5" s="1"/>
  <c r="AG173" i="5" s="1"/>
  <c r="AG172" i="5" s="1"/>
  <c r="AG171" i="5" s="1"/>
  <c r="AG170" i="5" s="1"/>
  <c r="AG169" i="5" s="1"/>
  <c r="AG168" i="5" s="1"/>
  <c r="AG167" i="5" s="1"/>
  <c r="AG166" i="5" s="1"/>
  <c r="AG165" i="5" s="1"/>
  <c r="AG164" i="5" s="1"/>
  <c r="AG163" i="5" s="1"/>
  <c r="AG162" i="5" s="1"/>
  <c r="AG161" i="5" s="1"/>
  <c r="AG160" i="5" s="1"/>
  <c r="AG159" i="5" s="1"/>
  <c r="AG158" i="5" s="1"/>
  <c r="AG157" i="5" s="1"/>
  <c r="AG156" i="5" s="1"/>
  <c r="AG155" i="5" s="1"/>
  <c r="AG154" i="5" s="1"/>
  <c r="AG153" i="5" s="1"/>
  <c r="AG152" i="5" s="1"/>
  <c r="AG151" i="5" s="1"/>
  <c r="AG150" i="5" s="1"/>
  <c r="AG149" i="5" s="1"/>
  <c r="AG148" i="5" s="1"/>
  <c r="AG147" i="5" s="1"/>
  <c r="AG146" i="5" s="1"/>
  <c r="AG145" i="5" s="1"/>
  <c r="AG144" i="5" s="1"/>
  <c r="AG143" i="5" s="1"/>
  <c r="AG142" i="5" s="1"/>
  <c r="AG141" i="5" s="1"/>
  <c r="AG140" i="5" s="1"/>
  <c r="AG139" i="5" s="1"/>
  <c r="AG138" i="5" s="1"/>
  <c r="AG137" i="5" s="1"/>
  <c r="AG136" i="5" s="1"/>
  <c r="AG135" i="5" s="1"/>
  <c r="AG134" i="5" s="1"/>
  <c r="AG133" i="5" s="1"/>
  <c r="AG132" i="5" s="1"/>
  <c r="AG131" i="5" s="1"/>
  <c r="AG130" i="5" s="1"/>
  <c r="AG129" i="5" s="1"/>
  <c r="AG128" i="5" s="1"/>
  <c r="AG127" i="5" s="1"/>
  <c r="AG126" i="5" s="1"/>
  <c r="AG125" i="5" s="1"/>
  <c r="AG124" i="5" s="1"/>
  <c r="AG123" i="5" s="1"/>
  <c r="AG122" i="5" s="1"/>
  <c r="AG121" i="5" s="1"/>
  <c r="AG120" i="5" s="1"/>
  <c r="AG119" i="5" s="1"/>
  <c r="AG118" i="5" s="1"/>
  <c r="AG117" i="5" s="1"/>
  <c r="AG116" i="5" s="1"/>
  <c r="AG115" i="5" s="1"/>
  <c r="AG114" i="5" s="1"/>
  <c r="AG113" i="5" s="1"/>
  <c r="AG112" i="5" s="1"/>
  <c r="AH213" i="5"/>
  <c r="AH212" i="5" s="1"/>
  <c r="AH211" i="5" s="1"/>
  <c r="AH210" i="5" s="1"/>
  <c r="AH209" i="5" s="1"/>
  <c r="AH208" i="5" s="1"/>
  <c r="AH207" i="5" s="1"/>
  <c r="AH206" i="5" s="1"/>
  <c r="AH205" i="5" s="1"/>
  <c r="AH204" i="5" s="1"/>
  <c r="AH203" i="5" s="1"/>
  <c r="AH202" i="5" s="1"/>
  <c r="AH201" i="5" s="1"/>
  <c r="AH200" i="5" s="1"/>
  <c r="AH199" i="5" s="1"/>
  <c r="AH198" i="5" s="1"/>
  <c r="AH197" i="5" s="1"/>
  <c r="AH196" i="5" s="1"/>
  <c r="AH195" i="5" s="1"/>
  <c r="AH194" i="5" s="1"/>
  <c r="AH193" i="5" s="1"/>
  <c r="AH192" i="5" s="1"/>
  <c r="AH191" i="5" s="1"/>
  <c r="AH190" i="5" s="1"/>
  <c r="AH189" i="5" s="1"/>
  <c r="AH188" i="5" s="1"/>
  <c r="AH187" i="5" s="1"/>
  <c r="AH186" i="5" s="1"/>
  <c r="AH185" i="5" s="1"/>
  <c r="AH184" i="5" s="1"/>
  <c r="AH183" i="5" s="1"/>
  <c r="AH182" i="5" s="1"/>
  <c r="AH181" i="5" s="1"/>
  <c r="AH180" i="5" s="1"/>
  <c r="AH179" i="5" s="1"/>
  <c r="AH178" i="5" s="1"/>
  <c r="AH177" i="5" s="1"/>
  <c r="AH176" i="5" s="1"/>
  <c r="AH175" i="5" s="1"/>
  <c r="AH174" i="5" s="1"/>
  <c r="AH173" i="5" s="1"/>
  <c r="AH172" i="5" s="1"/>
  <c r="AH171" i="5" s="1"/>
  <c r="AH170" i="5" s="1"/>
  <c r="AH169" i="5" s="1"/>
  <c r="AH168" i="5" s="1"/>
  <c r="AH167" i="5" s="1"/>
  <c r="AH166" i="5" s="1"/>
  <c r="AH165" i="5" s="1"/>
  <c r="AH164" i="5" s="1"/>
  <c r="AH163" i="5" s="1"/>
  <c r="AH162" i="5" s="1"/>
  <c r="AH161" i="5" s="1"/>
  <c r="AH160" i="5" s="1"/>
  <c r="AH159" i="5" s="1"/>
  <c r="AH158" i="5" s="1"/>
  <c r="AH157" i="5" s="1"/>
  <c r="AH156" i="5" s="1"/>
  <c r="AH155" i="5" s="1"/>
  <c r="AH154" i="5" s="1"/>
  <c r="AH153" i="5" s="1"/>
  <c r="AH152" i="5" s="1"/>
  <c r="AH151" i="5" s="1"/>
  <c r="AH150" i="5" s="1"/>
  <c r="AH149" i="5" s="1"/>
  <c r="AH148" i="5" s="1"/>
  <c r="AH147" i="5" s="1"/>
  <c r="AH146" i="5" s="1"/>
  <c r="AH145" i="5" s="1"/>
  <c r="AH144" i="5" s="1"/>
  <c r="AH143" i="5" s="1"/>
  <c r="AH142" i="5" s="1"/>
  <c r="AH141" i="5" s="1"/>
  <c r="AH140" i="5" s="1"/>
  <c r="AH139" i="5" s="1"/>
  <c r="AH138" i="5" s="1"/>
  <c r="AH137" i="5" s="1"/>
  <c r="AH136" i="5" s="1"/>
  <c r="AH135" i="5" s="1"/>
  <c r="AH134" i="5" s="1"/>
  <c r="AH133" i="5" s="1"/>
  <c r="AH132" i="5" s="1"/>
  <c r="AH131" i="5" s="1"/>
  <c r="AH130" i="5" s="1"/>
  <c r="AH129" i="5" s="1"/>
  <c r="AH128" i="5" s="1"/>
  <c r="AH127" i="5" s="1"/>
  <c r="AH126" i="5" s="1"/>
  <c r="AH125" i="5" s="1"/>
  <c r="AH124" i="5" s="1"/>
  <c r="AH123" i="5" s="1"/>
  <c r="AH122" i="5" s="1"/>
  <c r="AH121" i="5" s="1"/>
  <c r="AH120" i="5" s="1"/>
  <c r="AH119" i="5" s="1"/>
  <c r="AH118" i="5" s="1"/>
  <c r="AH117" i="5" s="1"/>
  <c r="AH116" i="5" s="1"/>
  <c r="AH115" i="5" s="1"/>
  <c r="AH114" i="5" s="1"/>
  <c r="AH113" i="5" s="1"/>
  <c r="AH112" i="5" s="1"/>
  <c r="AI213" i="5"/>
  <c r="AI212" i="5" s="1"/>
  <c r="AI211" i="5" s="1"/>
  <c r="AI210" i="5" s="1"/>
  <c r="AI209" i="5" s="1"/>
  <c r="AI208" i="5" s="1"/>
  <c r="AI207" i="5" s="1"/>
  <c r="AI206" i="5" s="1"/>
  <c r="AI205" i="5" s="1"/>
  <c r="AI204" i="5" s="1"/>
  <c r="AI203" i="5" s="1"/>
  <c r="AI202" i="5" s="1"/>
  <c r="AI201" i="5" s="1"/>
  <c r="AI200" i="5" s="1"/>
  <c r="AI199" i="5" s="1"/>
  <c r="AI198" i="5" s="1"/>
  <c r="AI197" i="5" s="1"/>
  <c r="AI196" i="5" s="1"/>
  <c r="AI195" i="5" s="1"/>
  <c r="AI194" i="5" s="1"/>
  <c r="AI193" i="5" s="1"/>
  <c r="AI192" i="5" s="1"/>
  <c r="AI191" i="5" s="1"/>
  <c r="AI190" i="5" s="1"/>
  <c r="AI189" i="5" s="1"/>
  <c r="AI188" i="5" s="1"/>
  <c r="AI187" i="5" s="1"/>
  <c r="AI186" i="5" s="1"/>
  <c r="AI185" i="5" s="1"/>
  <c r="AI184" i="5" s="1"/>
  <c r="AI183" i="5" s="1"/>
  <c r="AI182" i="5" s="1"/>
  <c r="AI181" i="5" s="1"/>
  <c r="AI180" i="5" s="1"/>
  <c r="AI179" i="5" s="1"/>
  <c r="AI178" i="5" s="1"/>
  <c r="AI177" i="5" s="1"/>
  <c r="AI176" i="5" s="1"/>
  <c r="AI175" i="5" s="1"/>
  <c r="AI174" i="5" s="1"/>
  <c r="AI173" i="5" s="1"/>
  <c r="AI172" i="5" s="1"/>
  <c r="AI171" i="5" s="1"/>
  <c r="AI170" i="5" s="1"/>
  <c r="AI169" i="5" s="1"/>
  <c r="AI168" i="5" s="1"/>
  <c r="AI167" i="5" s="1"/>
  <c r="AI166" i="5" s="1"/>
  <c r="AI165" i="5" s="1"/>
  <c r="AI164" i="5" s="1"/>
  <c r="AI163" i="5" s="1"/>
  <c r="AI162" i="5" s="1"/>
  <c r="AI161" i="5" s="1"/>
  <c r="AI160" i="5" s="1"/>
  <c r="AI159" i="5" s="1"/>
  <c r="AI158" i="5" s="1"/>
  <c r="AI157" i="5" s="1"/>
  <c r="AI156" i="5" s="1"/>
  <c r="AI155" i="5" s="1"/>
  <c r="AI154" i="5" s="1"/>
  <c r="AI153" i="5" s="1"/>
  <c r="AI152" i="5" s="1"/>
  <c r="AI151" i="5" s="1"/>
  <c r="AI150" i="5" s="1"/>
  <c r="AI149" i="5" s="1"/>
  <c r="AI148" i="5" s="1"/>
  <c r="AI147" i="5" s="1"/>
  <c r="AI146" i="5" s="1"/>
  <c r="AI145" i="5" s="1"/>
  <c r="AI144" i="5" s="1"/>
  <c r="AI143" i="5" s="1"/>
  <c r="AI142" i="5" s="1"/>
  <c r="AI141" i="5" s="1"/>
  <c r="AI140" i="5" s="1"/>
  <c r="AI139" i="5" s="1"/>
  <c r="AI138" i="5" s="1"/>
  <c r="AI137" i="5" s="1"/>
  <c r="AI136" i="5" s="1"/>
  <c r="AI135" i="5" s="1"/>
  <c r="AI134" i="5" s="1"/>
  <c r="AI133" i="5" s="1"/>
  <c r="AI132" i="5" s="1"/>
  <c r="AI131" i="5" s="1"/>
  <c r="AI130" i="5" s="1"/>
  <c r="AI129" i="5" s="1"/>
  <c r="AI128" i="5" s="1"/>
  <c r="AI127" i="5" s="1"/>
  <c r="AI126" i="5" s="1"/>
  <c r="AI125" i="5" s="1"/>
  <c r="AI124" i="5" s="1"/>
  <c r="AI123" i="5" s="1"/>
  <c r="AI122" i="5" s="1"/>
  <c r="AI121" i="5" s="1"/>
  <c r="AI120" i="5" s="1"/>
  <c r="AI119" i="5" s="1"/>
  <c r="AI118" i="5" s="1"/>
  <c r="AI117" i="5" s="1"/>
  <c r="AI116" i="5" s="1"/>
  <c r="AI115" i="5" s="1"/>
  <c r="AI114" i="5" s="1"/>
  <c r="AI113" i="5" s="1"/>
  <c r="AI112" i="5" s="1"/>
  <c r="AJ213" i="5"/>
  <c r="AJ212" i="5" s="1"/>
  <c r="AJ211" i="5" s="1"/>
  <c r="AJ210" i="5" s="1"/>
  <c r="AJ209" i="5" s="1"/>
  <c r="AJ208" i="5" s="1"/>
  <c r="AJ207" i="5" s="1"/>
  <c r="AJ206" i="5" s="1"/>
  <c r="AJ205" i="5" s="1"/>
  <c r="AJ204" i="5" s="1"/>
  <c r="AJ203" i="5" s="1"/>
  <c r="AJ202" i="5" s="1"/>
  <c r="AJ201" i="5" s="1"/>
  <c r="AJ200" i="5" s="1"/>
  <c r="AJ199" i="5" s="1"/>
  <c r="AJ198" i="5" s="1"/>
  <c r="AJ197" i="5" s="1"/>
  <c r="AJ196" i="5" s="1"/>
  <c r="AJ195" i="5" s="1"/>
  <c r="AJ194" i="5" s="1"/>
  <c r="AJ193" i="5" s="1"/>
  <c r="AJ192" i="5" s="1"/>
  <c r="AJ191" i="5" s="1"/>
  <c r="AJ190" i="5" s="1"/>
  <c r="AJ189" i="5" s="1"/>
  <c r="AJ188" i="5" s="1"/>
  <c r="AJ187" i="5" s="1"/>
  <c r="AJ186" i="5" s="1"/>
  <c r="AJ185" i="5" s="1"/>
  <c r="AJ184" i="5" s="1"/>
  <c r="AJ183" i="5" s="1"/>
  <c r="AJ182" i="5" s="1"/>
  <c r="AJ181" i="5" s="1"/>
  <c r="AJ180" i="5" s="1"/>
  <c r="AJ179" i="5" s="1"/>
  <c r="AJ178" i="5" s="1"/>
  <c r="AJ177" i="5" s="1"/>
  <c r="AJ176" i="5" s="1"/>
  <c r="AJ175" i="5" s="1"/>
  <c r="AJ174" i="5" s="1"/>
  <c r="AJ173" i="5" s="1"/>
  <c r="AJ172" i="5" s="1"/>
  <c r="AJ171" i="5" s="1"/>
  <c r="AJ170" i="5" s="1"/>
  <c r="AJ169" i="5" s="1"/>
  <c r="AJ168" i="5" s="1"/>
  <c r="AJ167" i="5" s="1"/>
  <c r="AJ166" i="5" s="1"/>
  <c r="AJ165" i="5" s="1"/>
  <c r="AJ164" i="5" s="1"/>
  <c r="AJ163" i="5" s="1"/>
  <c r="AJ162" i="5" s="1"/>
  <c r="AJ161" i="5" s="1"/>
  <c r="AJ160" i="5" s="1"/>
  <c r="AJ159" i="5" s="1"/>
  <c r="AJ158" i="5" s="1"/>
  <c r="AJ157" i="5" s="1"/>
  <c r="AJ156" i="5" s="1"/>
  <c r="AJ155" i="5" s="1"/>
  <c r="AJ154" i="5" s="1"/>
  <c r="AJ153" i="5" s="1"/>
  <c r="AJ152" i="5" s="1"/>
  <c r="AJ151" i="5" s="1"/>
  <c r="AJ150" i="5" s="1"/>
  <c r="AJ149" i="5" s="1"/>
  <c r="AJ148" i="5" s="1"/>
  <c r="AJ147" i="5" s="1"/>
  <c r="AJ146" i="5" s="1"/>
  <c r="AJ145" i="5" s="1"/>
  <c r="AJ144" i="5" s="1"/>
  <c r="AJ143" i="5" s="1"/>
  <c r="AJ142" i="5" s="1"/>
  <c r="AJ141" i="5" s="1"/>
  <c r="AJ140" i="5" s="1"/>
  <c r="AJ139" i="5" s="1"/>
  <c r="AJ138" i="5" s="1"/>
  <c r="AJ137" i="5" s="1"/>
  <c r="AJ136" i="5" s="1"/>
  <c r="AJ135" i="5" s="1"/>
  <c r="AJ134" i="5" s="1"/>
  <c r="AJ133" i="5" s="1"/>
  <c r="AJ132" i="5" s="1"/>
  <c r="AJ131" i="5" s="1"/>
  <c r="AJ130" i="5" s="1"/>
  <c r="AJ129" i="5" s="1"/>
  <c r="AJ128" i="5" s="1"/>
  <c r="AJ127" i="5" s="1"/>
  <c r="AJ126" i="5" s="1"/>
  <c r="AJ125" i="5" s="1"/>
  <c r="AJ124" i="5" s="1"/>
  <c r="AJ123" i="5" s="1"/>
  <c r="AJ122" i="5" s="1"/>
  <c r="AJ121" i="5" s="1"/>
  <c r="AJ120" i="5" s="1"/>
  <c r="AJ119" i="5" s="1"/>
  <c r="AJ118" i="5" s="1"/>
  <c r="AJ117" i="5" s="1"/>
  <c r="AJ116" i="5" s="1"/>
  <c r="AJ115" i="5" s="1"/>
  <c r="AJ114" i="5" s="1"/>
  <c r="AJ113" i="5" s="1"/>
  <c r="AJ112" i="5" s="1"/>
  <c r="AK213" i="5"/>
  <c r="AK212" i="5" s="1"/>
  <c r="AK211" i="5" s="1"/>
  <c r="AK210" i="5" s="1"/>
  <c r="AK209" i="5" s="1"/>
  <c r="AK208" i="5" s="1"/>
  <c r="AK207" i="5" s="1"/>
  <c r="AK206" i="5" s="1"/>
  <c r="AK205" i="5" s="1"/>
  <c r="AK204" i="5" s="1"/>
  <c r="AK203" i="5" s="1"/>
  <c r="AK202" i="5" s="1"/>
  <c r="AK201" i="5" s="1"/>
  <c r="AK200" i="5" s="1"/>
  <c r="AK199" i="5" s="1"/>
  <c r="AK198" i="5" s="1"/>
  <c r="AK197" i="5" s="1"/>
  <c r="AK196" i="5" s="1"/>
  <c r="AK195" i="5" s="1"/>
  <c r="AK194" i="5" s="1"/>
  <c r="AK193" i="5" s="1"/>
  <c r="AK192" i="5" s="1"/>
  <c r="AK191" i="5" s="1"/>
  <c r="AK190" i="5" s="1"/>
  <c r="AK189" i="5" s="1"/>
  <c r="AK188" i="5" s="1"/>
  <c r="AK187" i="5" s="1"/>
  <c r="AK186" i="5" s="1"/>
  <c r="AK185" i="5" s="1"/>
  <c r="AK184" i="5" s="1"/>
  <c r="AK183" i="5" s="1"/>
  <c r="AK182" i="5" s="1"/>
  <c r="AK181" i="5" s="1"/>
  <c r="AK180" i="5" s="1"/>
  <c r="AK179" i="5" s="1"/>
  <c r="AK178" i="5" s="1"/>
  <c r="AK177" i="5" s="1"/>
  <c r="AK176" i="5" s="1"/>
  <c r="AK175" i="5" s="1"/>
  <c r="AK174" i="5" s="1"/>
  <c r="AK173" i="5" s="1"/>
  <c r="AK172" i="5" s="1"/>
  <c r="AK171" i="5" s="1"/>
  <c r="AK170" i="5" s="1"/>
  <c r="AK169" i="5" s="1"/>
  <c r="AK168" i="5" s="1"/>
  <c r="AK167" i="5" s="1"/>
  <c r="AK166" i="5" s="1"/>
  <c r="AK165" i="5" s="1"/>
  <c r="AK164" i="5" s="1"/>
  <c r="AK163" i="5" s="1"/>
  <c r="AK162" i="5" s="1"/>
  <c r="AK161" i="5" s="1"/>
  <c r="AK160" i="5" s="1"/>
  <c r="AK159" i="5" s="1"/>
  <c r="AK158" i="5" s="1"/>
  <c r="AK157" i="5" s="1"/>
  <c r="AK156" i="5" s="1"/>
  <c r="AK155" i="5" s="1"/>
  <c r="AK154" i="5" s="1"/>
  <c r="AK153" i="5" s="1"/>
  <c r="AK152" i="5" s="1"/>
  <c r="AK151" i="5" s="1"/>
  <c r="AK150" i="5" s="1"/>
  <c r="AK149" i="5" s="1"/>
  <c r="AK148" i="5" s="1"/>
  <c r="AK147" i="5" s="1"/>
  <c r="AK146" i="5" s="1"/>
  <c r="AK145" i="5" s="1"/>
  <c r="AK144" i="5" s="1"/>
  <c r="AK143" i="5" s="1"/>
  <c r="AK142" i="5" s="1"/>
  <c r="AK141" i="5" s="1"/>
  <c r="AK140" i="5" s="1"/>
  <c r="AK139" i="5" s="1"/>
  <c r="AK138" i="5" s="1"/>
  <c r="AK137" i="5" s="1"/>
  <c r="AK136" i="5" s="1"/>
  <c r="AK135" i="5" s="1"/>
  <c r="AK134" i="5" s="1"/>
  <c r="AK133" i="5" s="1"/>
  <c r="AK132" i="5" s="1"/>
  <c r="AK131" i="5" s="1"/>
  <c r="AK130" i="5" s="1"/>
  <c r="AK129" i="5" s="1"/>
  <c r="AK128" i="5" s="1"/>
  <c r="AK127" i="5" s="1"/>
  <c r="AK126" i="5" s="1"/>
  <c r="AK125" i="5" s="1"/>
  <c r="AK124" i="5" s="1"/>
  <c r="AK123" i="5" s="1"/>
  <c r="AK122" i="5" s="1"/>
  <c r="AK121" i="5" s="1"/>
  <c r="AK120" i="5" s="1"/>
  <c r="AK119" i="5" s="1"/>
  <c r="AK118" i="5" s="1"/>
  <c r="AK117" i="5" s="1"/>
  <c r="AK116" i="5" s="1"/>
  <c r="AK115" i="5" s="1"/>
  <c r="AK114" i="5" s="1"/>
  <c r="AK113" i="5" s="1"/>
  <c r="AK112" i="5" s="1"/>
  <c r="AL213" i="5"/>
  <c r="AL212" i="5" s="1"/>
  <c r="AL211" i="5" s="1"/>
  <c r="AL210" i="5" s="1"/>
  <c r="AL209" i="5" s="1"/>
  <c r="AL208" i="5" s="1"/>
  <c r="AL207" i="5" s="1"/>
  <c r="AL206" i="5" s="1"/>
  <c r="AL205" i="5" s="1"/>
  <c r="AL204" i="5" s="1"/>
  <c r="AL203" i="5" s="1"/>
  <c r="AL202" i="5" s="1"/>
  <c r="AL201" i="5" s="1"/>
  <c r="AL200" i="5" s="1"/>
  <c r="AL199" i="5" s="1"/>
  <c r="AL198" i="5" s="1"/>
  <c r="AL197" i="5" s="1"/>
  <c r="AL196" i="5" s="1"/>
  <c r="AL195" i="5" s="1"/>
  <c r="AL194" i="5" s="1"/>
  <c r="AL193" i="5" s="1"/>
  <c r="AL192" i="5" s="1"/>
  <c r="AL191" i="5" s="1"/>
  <c r="AL190" i="5" s="1"/>
  <c r="AL189" i="5" s="1"/>
  <c r="AL188" i="5" s="1"/>
  <c r="AL187" i="5" s="1"/>
  <c r="AL186" i="5" s="1"/>
  <c r="AL185" i="5" s="1"/>
  <c r="AL184" i="5" s="1"/>
  <c r="AL183" i="5" s="1"/>
  <c r="AL182" i="5" s="1"/>
  <c r="AL181" i="5" s="1"/>
  <c r="AL180" i="5" s="1"/>
  <c r="AL179" i="5" s="1"/>
  <c r="AL178" i="5" s="1"/>
  <c r="AL177" i="5" s="1"/>
  <c r="AL176" i="5" s="1"/>
  <c r="AL175" i="5" s="1"/>
  <c r="AL174" i="5" s="1"/>
  <c r="AL173" i="5" s="1"/>
  <c r="AL172" i="5" s="1"/>
  <c r="AL171" i="5" s="1"/>
  <c r="AL170" i="5" s="1"/>
  <c r="AL169" i="5" s="1"/>
  <c r="AL168" i="5" s="1"/>
  <c r="AL167" i="5" s="1"/>
  <c r="AL166" i="5" s="1"/>
  <c r="AL165" i="5" s="1"/>
  <c r="AL164" i="5" s="1"/>
  <c r="AL163" i="5" s="1"/>
  <c r="AL162" i="5" s="1"/>
  <c r="AL161" i="5" s="1"/>
  <c r="AL160" i="5" s="1"/>
  <c r="AL159" i="5" s="1"/>
  <c r="AL158" i="5" s="1"/>
  <c r="AL157" i="5" s="1"/>
  <c r="AL156" i="5" s="1"/>
  <c r="AL155" i="5" s="1"/>
  <c r="AL154" i="5" s="1"/>
  <c r="AL153" i="5" s="1"/>
  <c r="AL152" i="5" s="1"/>
  <c r="AL151" i="5" s="1"/>
  <c r="AL150" i="5" s="1"/>
  <c r="AL149" i="5" s="1"/>
  <c r="AL148" i="5" s="1"/>
  <c r="AL147" i="5" s="1"/>
  <c r="AL146" i="5" s="1"/>
  <c r="AL145" i="5" s="1"/>
  <c r="AL144" i="5" s="1"/>
  <c r="AL143" i="5" s="1"/>
  <c r="AL142" i="5" s="1"/>
  <c r="AL141" i="5" s="1"/>
  <c r="AL140" i="5" s="1"/>
  <c r="AL139" i="5" s="1"/>
  <c r="AL138" i="5" s="1"/>
  <c r="AL137" i="5" s="1"/>
  <c r="AL136" i="5" s="1"/>
  <c r="AL135" i="5" s="1"/>
  <c r="AL134" i="5" s="1"/>
  <c r="AL133" i="5" s="1"/>
  <c r="AL132" i="5" s="1"/>
  <c r="AL131" i="5" s="1"/>
  <c r="AL130" i="5" s="1"/>
  <c r="AL129" i="5" s="1"/>
  <c r="AL128" i="5" s="1"/>
  <c r="AL127" i="5" s="1"/>
  <c r="AL126" i="5" s="1"/>
  <c r="AL125" i="5" s="1"/>
  <c r="AL124" i="5" s="1"/>
  <c r="AL123" i="5" s="1"/>
  <c r="AL122" i="5" s="1"/>
  <c r="AL121" i="5" s="1"/>
  <c r="AL120" i="5" s="1"/>
  <c r="AL119" i="5" s="1"/>
  <c r="AL118" i="5" s="1"/>
  <c r="AL117" i="5" s="1"/>
  <c r="AL116" i="5" s="1"/>
  <c r="AL115" i="5" s="1"/>
  <c r="AL114" i="5" s="1"/>
  <c r="AL113" i="5" s="1"/>
  <c r="AL112" i="5" s="1"/>
  <c r="AM213" i="5"/>
  <c r="AM212" i="5" s="1"/>
  <c r="AM211" i="5" s="1"/>
  <c r="AM210" i="5" s="1"/>
  <c r="AM209" i="5" s="1"/>
  <c r="AM208" i="5" s="1"/>
  <c r="AM207" i="5" s="1"/>
  <c r="AM206" i="5" s="1"/>
  <c r="AM205" i="5" s="1"/>
  <c r="AM204" i="5" s="1"/>
  <c r="AM203" i="5" s="1"/>
  <c r="AM202" i="5" s="1"/>
  <c r="AM201" i="5" s="1"/>
  <c r="AM200" i="5" s="1"/>
  <c r="AM199" i="5" s="1"/>
  <c r="AM198" i="5" s="1"/>
  <c r="AM197" i="5" s="1"/>
  <c r="AM196" i="5" s="1"/>
  <c r="AM195" i="5" s="1"/>
  <c r="AM194" i="5" s="1"/>
  <c r="AM193" i="5" s="1"/>
  <c r="AM192" i="5" s="1"/>
  <c r="AM191" i="5" s="1"/>
  <c r="AM190" i="5" s="1"/>
  <c r="AM189" i="5" s="1"/>
  <c r="AM188" i="5" s="1"/>
  <c r="AM187" i="5" s="1"/>
  <c r="AM186" i="5" s="1"/>
  <c r="AM185" i="5" s="1"/>
  <c r="AM184" i="5" s="1"/>
  <c r="AM183" i="5" s="1"/>
  <c r="AM182" i="5" s="1"/>
  <c r="AM181" i="5" s="1"/>
  <c r="AM180" i="5" s="1"/>
  <c r="AM179" i="5" s="1"/>
  <c r="AM178" i="5" s="1"/>
  <c r="AM177" i="5" s="1"/>
  <c r="AM176" i="5" s="1"/>
  <c r="AM175" i="5" s="1"/>
  <c r="AM174" i="5" s="1"/>
  <c r="AM173" i="5" s="1"/>
  <c r="AM172" i="5" s="1"/>
  <c r="AM171" i="5" s="1"/>
  <c r="AM170" i="5" s="1"/>
  <c r="AM169" i="5" s="1"/>
  <c r="AM168" i="5" s="1"/>
  <c r="AM167" i="5" s="1"/>
  <c r="AM166" i="5" s="1"/>
  <c r="AM165" i="5" s="1"/>
  <c r="AM164" i="5" s="1"/>
  <c r="AM163" i="5" s="1"/>
  <c r="AM162" i="5" s="1"/>
  <c r="AM161" i="5" s="1"/>
  <c r="AM160" i="5" s="1"/>
  <c r="AM159" i="5" s="1"/>
  <c r="AM158" i="5" s="1"/>
  <c r="AM157" i="5" s="1"/>
  <c r="AM156" i="5" s="1"/>
  <c r="AM155" i="5" s="1"/>
  <c r="AM154" i="5" s="1"/>
  <c r="AM153" i="5" s="1"/>
  <c r="AM152" i="5" s="1"/>
  <c r="AM151" i="5" s="1"/>
  <c r="AM150" i="5" s="1"/>
  <c r="AM149" i="5" s="1"/>
  <c r="AM148" i="5" s="1"/>
  <c r="AM147" i="5" s="1"/>
  <c r="AM146" i="5" s="1"/>
  <c r="AM145" i="5" s="1"/>
  <c r="AM144" i="5" s="1"/>
  <c r="AM143" i="5" s="1"/>
  <c r="AM142" i="5" s="1"/>
  <c r="AM141" i="5" s="1"/>
  <c r="AM140" i="5" s="1"/>
  <c r="AM139" i="5" s="1"/>
  <c r="AM138" i="5" s="1"/>
  <c r="AM137" i="5" s="1"/>
  <c r="AM136" i="5" s="1"/>
  <c r="AM135" i="5" s="1"/>
  <c r="AM134" i="5" s="1"/>
  <c r="AM133" i="5" s="1"/>
  <c r="AM132" i="5" s="1"/>
  <c r="AM131" i="5" s="1"/>
  <c r="AM130" i="5" s="1"/>
  <c r="AM129" i="5" s="1"/>
  <c r="AM128" i="5" s="1"/>
  <c r="AM127" i="5" s="1"/>
  <c r="AM126" i="5" s="1"/>
  <c r="AM125" i="5" s="1"/>
  <c r="AM124" i="5" s="1"/>
  <c r="AM123" i="5" s="1"/>
  <c r="AM122" i="5" s="1"/>
  <c r="AM121" i="5" s="1"/>
  <c r="AM120" i="5" s="1"/>
  <c r="AM119" i="5" s="1"/>
  <c r="AM118" i="5" s="1"/>
  <c r="AM117" i="5" s="1"/>
  <c r="AM116" i="5" s="1"/>
  <c r="AM115" i="5" s="1"/>
  <c r="AM114" i="5" s="1"/>
  <c r="AM113" i="5" s="1"/>
  <c r="AM112" i="5" s="1"/>
  <c r="AN213" i="5"/>
  <c r="AN212" i="5" s="1"/>
  <c r="AN211" i="5" s="1"/>
  <c r="AN210" i="5" s="1"/>
  <c r="AN209" i="5" s="1"/>
  <c r="AN208" i="5" s="1"/>
  <c r="AN207" i="5" s="1"/>
  <c r="AN206" i="5" s="1"/>
  <c r="AN205" i="5" s="1"/>
  <c r="AN204" i="5" s="1"/>
  <c r="AN203" i="5" s="1"/>
  <c r="AN202" i="5" s="1"/>
  <c r="AN201" i="5" s="1"/>
  <c r="AN200" i="5" s="1"/>
  <c r="AN199" i="5" s="1"/>
  <c r="AN198" i="5" s="1"/>
  <c r="AN197" i="5" s="1"/>
  <c r="AN196" i="5" s="1"/>
  <c r="AN195" i="5" s="1"/>
  <c r="AN194" i="5" s="1"/>
  <c r="AN193" i="5" s="1"/>
  <c r="AN192" i="5" s="1"/>
  <c r="AN191" i="5" s="1"/>
  <c r="AN190" i="5" s="1"/>
  <c r="AN189" i="5" s="1"/>
  <c r="AN188" i="5" s="1"/>
  <c r="AN187" i="5" s="1"/>
  <c r="AN186" i="5" s="1"/>
  <c r="AN185" i="5" s="1"/>
  <c r="AN184" i="5" s="1"/>
  <c r="AN183" i="5" s="1"/>
  <c r="AN182" i="5" s="1"/>
  <c r="AN181" i="5" s="1"/>
  <c r="AN180" i="5" s="1"/>
  <c r="AN179" i="5" s="1"/>
  <c r="AN178" i="5" s="1"/>
  <c r="AN177" i="5" s="1"/>
  <c r="AN176" i="5" s="1"/>
  <c r="AN175" i="5" s="1"/>
  <c r="AN174" i="5" s="1"/>
  <c r="AN173" i="5" s="1"/>
  <c r="AN172" i="5" s="1"/>
  <c r="AN171" i="5" s="1"/>
  <c r="AN170" i="5" s="1"/>
  <c r="AN169" i="5" s="1"/>
  <c r="AN168" i="5" s="1"/>
  <c r="AN167" i="5" s="1"/>
  <c r="AN166" i="5" s="1"/>
  <c r="AN165" i="5" s="1"/>
  <c r="AN164" i="5" s="1"/>
  <c r="AN163" i="5" s="1"/>
  <c r="AN162" i="5" s="1"/>
  <c r="AN161" i="5" s="1"/>
  <c r="AN160" i="5" s="1"/>
  <c r="AN159" i="5" s="1"/>
  <c r="AN158" i="5" s="1"/>
  <c r="AN157" i="5" s="1"/>
  <c r="AN156" i="5" s="1"/>
  <c r="AN155" i="5" s="1"/>
  <c r="AN154" i="5" s="1"/>
  <c r="AN153" i="5" s="1"/>
  <c r="AN152" i="5" s="1"/>
  <c r="AN151" i="5" s="1"/>
  <c r="AN150" i="5" s="1"/>
  <c r="AN149" i="5" s="1"/>
  <c r="AN148" i="5" s="1"/>
  <c r="AN147" i="5" s="1"/>
  <c r="AN146" i="5" s="1"/>
  <c r="AN145" i="5" s="1"/>
  <c r="AN144" i="5" s="1"/>
  <c r="AN143" i="5" s="1"/>
  <c r="AN142" i="5" s="1"/>
  <c r="AN141" i="5" s="1"/>
  <c r="AN140" i="5" s="1"/>
  <c r="AN139" i="5" s="1"/>
  <c r="AN138" i="5" s="1"/>
  <c r="AN137" i="5" s="1"/>
  <c r="AN136" i="5" s="1"/>
  <c r="AN135" i="5" s="1"/>
  <c r="AN134" i="5" s="1"/>
  <c r="AN133" i="5" s="1"/>
  <c r="AN132" i="5" s="1"/>
  <c r="AN131" i="5" s="1"/>
  <c r="AN130" i="5" s="1"/>
  <c r="AN129" i="5" s="1"/>
  <c r="AN128" i="5" s="1"/>
  <c r="AN127" i="5" s="1"/>
  <c r="AN126" i="5" s="1"/>
  <c r="AN125" i="5" s="1"/>
  <c r="AN124" i="5" s="1"/>
  <c r="AN123" i="5" s="1"/>
  <c r="AN122" i="5" s="1"/>
  <c r="AN121" i="5" s="1"/>
  <c r="AN120" i="5" s="1"/>
  <c r="AN119" i="5" s="1"/>
  <c r="AN118" i="5" s="1"/>
  <c r="AN117" i="5" s="1"/>
  <c r="AN116" i="5" s="1"/>
  <c r="AN115" i="5" s="1"/>
  <c r="AN114" i="5" s="1"/>
  <c r="AN113" i="5" s="1"/>
  <c r="AN112" i="5" s="1"/>
  <c r="AO213" i="5"/>
  <c r="AO212" i="5" s="1"/>
  <c r="AO211" i="5" s="1"/>
  <c r="AO210" i="5" s="1"/>
  <c r="AO209" i="5" s="1"/>
  <c r="AO208" i="5" s="1"/>
  <c r="AO207" i="5" s="1"/>
  <c r="AO206" i="5" s="1"/>
  <c r="AO205" i="5" s="1"/>
  <c r="AO204" i="5" s="1"/>
  <c r="AO203" i="5" s="1"/>
  <c r="AO202" i="5" s="1"/>
  <c r="AO201" i="5" s="1"/>
  <c r="AO200" i="5" s="1"/>
  <c r="AO199" i="5" s="1"/>
  <c r="AO198" i="5" s="1"/>
  <c r="AO197" i="5" s="1"/>
  <c r="AO196" i="5" s="1"/>
  <c r="AO195" i="5" s="1"/>
  <c r="AO194" i="5" s="1"/>
  <c r="AO193" i="5" s="1"/>
  <c r="AO192" i="5" s="1"/>
  <c r="AO191" i="5" s="1"/>
  <c r="AO190" i="5" s="1"/>
  <c r="AO189" i="5" s="1"/>
  <c r="AO188" i="5" s="1"/>
  <c r="AO187" i="5" s="1"/>
  <c r="AO186" i="5" s="1"/>
  <c r="AO185" i="5" s="1"/>
  <c r="AO184" i="5" s="1"/>
  <c r="AO183" i="5" s="1"/>
  <c r="AO182" i="5" s="1"/>
  <c r="AO181" i="5" s="1"/>
  <c r="AO180" i="5" s="1"/>
  <c r="AO179" i="5" s="1"/>
  <c r="AO178" i="5" s="1"/>
  <c r="AO177" i="5" s="1"/>
  <c r="AO176" i="5" s="1"/>
  <c r="AO175" i="5" s="1"/>
  <c r="AO174" i="5" s="1"/>
  <c r="AO173" i="5" s="1"/>
  <c r="AO172" i="5" s="1"/>
  <c r="AO171" i="5" s="1"/>
  <c r="AO170" i="5" s="1"/>
  <c r="AO169" i="5" s="1"/>
  <c r="AO168" i="5" s="1"/>
  <c r="AO167" i="5" s="1"/>
  <c r="AO166" i="5" s="1"/>
  <c r="AO165" i="5" s="1"/>
  <c r="AO164" i="5" s="1"/>
  <c r="AO163" i="5" s="1"/>
  <c r="AO162" i="5" s="1"/>
  <c r="AO161" i="5" s="1"/>
  <c r="AO160" i="5" s="1"/>
  <c r="AO159" i="5" s="1"/>
  <c r="AO158" i="5" s="1"/>
  <c r="AO157" i="5" s="1"/>
  <c r="AO156" i="5" s="1"/>
  <c r="AO155" i="5" s="1"/>
  <c r="AO154" i="5" s="1"/>
  <c r="AO153" i="5" s="1"/>
  <c r="AO152" i="5" s="1"/>
  <c r="AO151" i="5" s="1"/>
  <c r="AO150" i="5" s="1"/>
  <c r="AO149" i="5" s="1"/>
  <c r="AO148" i="5" s="1"/>
  <c r="AO147" i="5" s="1"/>
  <c r="AO146" i="5" s="1"/>
  <c r="AO145" i="5" s="1"/>
  <c r="AO144" i="5" s="1"/>
  <c r="AO143" i="5" s="1"/>
  <c r="AO142" i="5" s="1"/>
  <c r="AO141" i="5" s="1"/>
  <c r="AO140" i="5" s="1"/>
  <c r="AO139" i="5" s="1"/>
  <c r="AO138" i="5" s="1"/>
  <c r="AO137" i="5" s="1"/>
  <c r="AO136" i="5" s="1"/>
  <c r="AO135" i="5" s="1"/>
  <c r="AO134" i="5" s="1"/>
  <c r="AO133" i="5" s="1"/>
  <c r="AO132" i="5" s="1"/>
  <c r="AO131" i="5" s="1"/>
  <c r="AO130" i="5" s="1"/>
  <c r="AO129" i="5" s="1"/>
  <c r="AO128" i="5" s="1"/>
  <c r="AO127" i="5" s="1"/>
  <c r="AO126" i="5" s="1"/>
  <c r="AO125" i="5" s="1"/>
  <c r="AO124" i="5" s="1"/>
  <c r="AO123" i="5" s="1"/>
  <c r="AO122" i="5" s="1"/>
  <c r="AO121" i="5" s="1"/>
  <c r="AO120" i="5" s="1"/>
  <c r="AO119" i="5" s="1"/>
  <c r="AO118" i="5" s="1"/>
  <c r="AO117" i="5" s="1"/>
  <c r="AO116" i="5" s="1"/>
  <c r="AO115" i="5" s="1"/>
  <c r="AO114" i="5" s="1"/>
  <c r="AO113" i="5" s="1"/>
  <c r="AO112" i="5" s="1"/>
  <c r="AP213" i="5"/>
  <c r="AP212" i="5" s="1"/>
  <c r="AP211" i="5" s="1"/>
  <c r="AP210" i="5" s="1"/>
  <c r="AP209" i="5" s="1"/>
  <c r="AP208" i="5" s="1"/>
  <c r="AP207" i="5" s="1"/>
  <c r="AP206" i="5" s="1"/>
  <c r="AP205" i="5" s="1"/>
  <c r="AP204" i="5" s="1"/>
  <c r="AP203" i="5" s="1"/>
  <c r="AP202" i="5" s="1"/>
  <c r="AP201" i="5" s="1"/>
  <c r="AP200" i="5" s="1"/>
  <c r="AP199" i="5" s="1"/>
  <c r="AP198" i="5" s="1"/>
  <c r="AP197" i="5" s="1"/>
  <c r="AP196" i="5" s="1"/>
  <c r="AP195" i="5" s="1"/>
  <c r="AP194" i="5" s="1"/>
  <c r="AP193" i="5" s="1"/>
  <c r="AP192" i="5" s="1"/>
  <c r="AP191" i="5" s="1"/>
  <c r="AP190" i="5" s="1"/>
  <c r="AP189" i="5" s="1"/>
  <c r="AP188" i="5" s="1"/>
  <c r="AP187" i="5" s="1"/>
  <c r="AP186" i="5" s="1"/>
  <c r="AP185" i="5" s="1"/>
  <c r="AP184" i="5" s="1"/>
  <c r="AP183" i="5" s="1"/>
  <c r="AP182" i="5" s="1"/>
  <c r="AP181" i="5" s="1"/>
  <c r="AP180" i="5" s="1"/>
  <c r="AP179" i="5" s="1"/>
  <c r="AP178" i="5" s="1"/>
  <c r="AP177" i="5" s="1"/>
  <c r="AP176" i="5" s="1"/>
  <c r="AP175" i="5" s="1"/>
  <c r="AP174" i="5" s="1"/>
  <c r="AP173" i="5" s="1"/>
  <c r="AP172" i="5" s="1"/>
  <c r="AP171" i="5" s="1"/>
  <c r="AP170" i="5" s="1"/>
  <c r="AP169" i="5" s="1"/>
  <c r="AP168" i="5" s="1"/>
  <c r="AP167" i="5" s="1"/>
  <c r="AP166" i="5" s="1"/>
  <c r="AP165" i="5" s="1"/>
  <c r="AP164" i="5" s="1"/>
  <c r="AP163" i="5" s="1"/>
  <c r="AP162" i="5" s="1"/>
  <c r="AP161" i="5" s="1"/>
  <c r="AP160" i="5" s="1"/>
  <c r="AP159" i="5" s="1"/>
  <c r="AP158" i="5" s="1"/>
  <c r="AP157" i="5" s="1"/>
  <c r="AP156" i="5" s="1"/>
  <c r="AP155" i="5" s="1"/>
  <c r="AP154" i="5" s="1"/>
  <c r="AP153" i="5" s="1"/>
  <c r="AP152" i="5" s="1"/>
  <c r="AP151" i="5" s="1"/>
  <c r="AP150" i="5" s="1"/>
  <c r="AP149" i="5" s="1"/>
  <c r="AP148" i="5" s="1"/>
  <c r="AP147" i="5" s="1"/>
  <c r="AP146" i="5" s="1"/>
  <c r="AP145" i="5" s="1"/>
  <c r="AP144" i="5" s="1"/>
  <c r="AP143" i="5" s="1"/>
  <c r="AP142" i="5" s="1"/>
  <c r="AP141" i="5" s="1"/>
  <c r="AP140" i="5" s="1"/>
  <c r="AP139" i="5" s="1"/>
  <c r="AP138" i="5" s="1"/>
  <c r="AP137" i="5" s="1"/>
  <c r="AP136" i="5" s="1"/>
  <c r="AP135" i="5" s="1"/>
  <c r="AP134" i="5" s="1"/>
  <c r="AP133" i="5" s="1"/>
  <c r="AP132" i="5" s="1"/>
  <c r="AP131" i="5" s="1"/>
  <c r="AP130" i="5" s="1"/>
  <c r="AP129" i="5" s="1"/>
  <c r="AP128" i="5" s="1"/>
  <c r="AP127" i="5" s="1"/>
  <c r="AP126" i="5" s="1"/>
  <c r="AP125" i="5" s="1"/>
  <c r="AP124" i="5" s="1"/>
  <c r="AP123" i="5" s="1"/>
  <c r="AP122" i="5" s="1"/>
  <c r="AP121" i="5" s="1"/>
  <c r="AP120" i="5" s="1"/>
  <c r="AP119" i="5" s="1"/>
  <c r="AP118" i="5" s="1"/>
  <c r="AP117" i="5" s="1"/>
  <c r="AP116" i="5" s="1"/>
  <c r="AP115" i="5" s="1"/>
  <c r="AP114" i="5" s="1"/>
  <c r="AP113" i="5" s="1"/>
  <c r="AP112" i="5" s="1"/>
  <c r="AQ213" i="5"/>
  <c r="AQ212" i="5" s="1"/>
  <c r="AQ211" i="5" s="1"/>
  <c r="AQ210" i="5" s="1"/>
  <c r="AQ209" i="5" s="1"/>
  <c r="AQ208" i="5" s="1"/>
  <c r="AQ207" i="5" s="1"/>
  <c r="AQ206" i="5" s="1"/>
  <c r="AQ205" i="5" s="1"/>
  <c r="AQ204" i="5" s="1"/>
  <c r="AQ203" i="5" s="1"/>
  <c r="AQ202" i="5" s="1"/>
  <c r="AQ201" i="5" s="1"/>
  <c r="AQ200" i="5" s="1"/>
  <c r="AQ199" i="5" s="1"/>
  <c r="AQ198" i="5" s="1"/>
  <c r="AQ197" i="5" s="1"/>
  <c r="AQ196" i="5" s="1"/>
  <c r="AQ195" i="5" s="1"/>
  <c r="AQ194" i="5" s="1"/>
  <c r="AQ193" i="5" s="1"/>
  <c r="AQ192" i="5" s="1"/>
  <c r="AQ191" i="5" s="1"/>
  <c r="AQ190" i="5" s="1"/>
  <c r="AQ189" i="5" s="1"/>
  <c r="AQ188" i="5" s="1"/>
  <c r="AQ187" i="5" s="1"/>
  <c r="AQ186" i="5" s="1"/>
  <c r="AQ185" i="5" s="1"/>
  <c r="AQ184" i="5" s="1"/>
  <c r="AQ183" i="5" s="1"/>
  <c r="AQ182" i="5" s="1"/>
  <c r="AQ181" i="5" s="1"/>
  <c r="AQ180" i="5" s="1"/>
  <c r="AQ179" i="5" s="1"/>
  <c r="AQ178" i="5" s="1"/>
  <c r="AQ177" i="5" s="1"/>
  <c r="AQ176" i="5" s="1"/>
  <c r="AQ175" i="5" s="1"/>
  <c r="AQ174" i="5" s="1"/>
  <c r="AQ173" i="5" s="1"/>
  <c r="AQ172" i="5" s="1"/>
  <c r="AQ171" i="5" s="1"/>
  <c r="AQ170" i="5" s="1"/>
  <c r="AQ169" i="5" s="1"/>
  <c r="AQ168" i="5" s="1"/>
  <c r="AQ167" i="5" s="1"/>
  <c r="AQ166" i="5" s="1"/>
  <c r="AQ165" i="5" s="1"/>
  <c r="AQ164" i="5" s="1"/>
  <c r="AQ163" i="5" s="1"/>
  <c r="AQ162" i="5" s="1"/>
  <c r="AQ161" i="5" s="1"/>
  <c r="AQ160" i="5" s="1"/>
  <c r="AQ159" i="5" s="1"/>
  <c r="AQ158" i="5" s="1"/>
  <c r="AQ157" i="5" s="1"/>
  <c r="AQ156" i="5" s="1"/>
  <c r="AQ155" i="5" s="1"/>
  <c r="AQ154" i="5" s="1"/>
  <c r="AQ153" i="5" s="1"/>
  <c r="AQ152" i="5" s="1"/>
  <c r="AQ151" i="5" s="1"/>
  <c r="AQ150" i="5" s="1"/>
  <c r="AQ149" i="5" s="1"/>
  <c r="AQ148" i="5" s="1"/>
  <c r="AQ147" i="5" s="1"/>
  <c r="AQ146" i="5" s="1"/>
  <c r="AQ145" i="5" s="1"/>
  <c r="AQ144" i="5" s="1"/>
  <c r="AQ143" i="5" s="1"/>
  <c r="AQ142" i="5" s="1"/>
  <c r="AQ141" i="5" s="1"/>
  <c r="AQ140" i="5" s="1"/>
  <c r="AQ139" i="5" s="1"/>
  <c r="AQ138" i="5" s="1"/>
  <c r="AQ137" i="5" s="1"/>
  <c r="AQ136" i="5" s="1"/>
  <c r="AQ135" i="5" s="1"/>
  <c r="AQ134" i="5" s="1"/>
  <c r="AQ133" i="5" s="1"/>
  <c r="AQ132" i="5" s="1"/>
  <c r="AQ131" i="5" s="1"/>
  <c r="AQ130" i="5" s="1"/>
  <c r="AQ129" i="5" s="1"/>
  <c r="AQ128" i="5" s="1"/>
  <c r="AQ127" i="5" s="1"/>
  <c r="AQ126" i="5" s="1"/>
  <c r="AQ125" i="5" s="1"/>
  <c r="AQ124" i="5" s="1"/>
  <c r="AQ123" i="5" s="1"/>
  <c r="AQ122" i="5" s="1"/>
  <c r="AQ121" i="5" s="1"/>
  <c r="AQ120" i="5" s="1"/>
  <c r="AQ119" i="5" s="1"/>
  <c r="AQ118" i="5" s="1"/>
  <c r="AQ117" i="5" s="1"/>
  <c r="AQ116" i="5" s="1"/>
  <c r="AQ115" i="5" s="1"/>
  <c r="AQ114" i="5" s="1"/>
  <c r="AQ113" i="5" s="1"/>
  <c r="AQ112" i="5" s="1"/>
  <c r="AR213" i="5"/>
  <c r="AR212" i="5" s="1"/>
  <c r="AR211" i="5" s="1"/>
  <c r="AR210" i="5" s="1"/>
  <c r="AR209" i="5" s="1"/>
  <c r="AR208" i="5" s="1"/>
  <c r="AR207" i="5" s="1"/>
  <c r="AR206" i="5" s="1"/>
  <c r="AR205" i="5" s="1"/>
  <c r="AR204" i="5" s="1"/>
  <c r="AR203" i="5" s="1"/>
  <c r="AR202" i="5" s="1"/>
  <c r="AR201" i="5" s="1"/>
  <c r="AR200" i="5" s="1"/>
  <c r="AR199" i="5" s="1"/>
  <c r="AR198" i="5" s="1"/>
  <c r="AR197" i="5" s="1"/>
  <c r="AR196" i="5" s="1"/>
  <c r="AR195" i="5" s="1"/>
  <c r="AR194" i="5" s="1"/>
  <c r="AR193" i="5" s="1"/>
  <c r="AR192" i="5" s="1"/>
  <c r="AR191" i="5" s="1"/>
  <c r="AR190" i="5" s="1"/>
  <c r="AR189" i="5" s="1"/>
  <c r="AR188" i="5" s="1"/>
  <c r="AR187" i="5" s="1"/>
  <c r="AR186" i="5" s="1"/>
  <c r="AR185" i="5" s="1"/>
  <c r="AR184" i="5" s="1"/>
  <c r="AR183" i="5" s="1"/>
  <c r="AR182" i="5" s="1"/>
  <c r="AR181" i="5" s="1"/>
  <c r="AR180" i="5" s="1"/>
  <c r="AR179" i="5" s="1"/>
  <c r="AR178" i="5" s="1"/>
  <c r="AR177" i="5" s="1"/>
  <c r="AR176" i="5" s="1"/>
  <c r="AR175" i="5" s="1"/>
  <c r="AR174" i="5" s="1"/>
  <c r="AR173" i="5" s="1"/>
  <c r="AR172" i="5" s="1"/>
  <c r="AR171" i="5" s="1"/>
  <c r="AR170" i="5" s="1"/>
  <c r="AR169" i="5" s="1"/>
  <c r="AR168" i="5" s="1"/>
  <c r="AR167" i="5" s="1"/>
  <c r="AR166" i="5" s="1"/>
  <c r="AR165" i="5" s="1"/>
  <c r="AR164" i="5" s="1"/>
  <c r="AR163" i="5" s="1"/>
  <c r="AR162" i="5" s="1"/>
  <c r="AR161" i="5" s="1"/>
  <c r="AR160" i="5" s="1"/>
  <c r="AR159" i="5" s="1"/>
  <c r="AR158" i="5" s="1"/>
  <c r="AR157" i="5" s="1"/>
  <c r="AR156" i="5" s="1"/>
  <c r="AR155" i="5" s="1"/>
  <c r="AR154" i="5" s="1"/>
  <c r="AR153" i="5" s="1"/>
  <c r="AR152" i="5" s="1"/>
  <c r="AR151" i="5" s="1"/>
  <c r="AR150" i="5" s="1"/>
  <c r="AR149" i="5" s="1"/>
  <c r="AR148" i="5" s="1"/>
  <c r="AR147" i="5" s="1"/>
  <c r="AR146" i="5" s="1"/>
  <c r="AR145" i="5" s="1"/>
  <c r="AR144" i="5" s="1"/>
  <c r="AR143" i="5" s="1"/>
  <c r="AR142" i="5" s="1"/>
  <c r="AR141" i="5" s="1"/>
  <c r="AR140" i="5" s="1"/>
  <c r="AR139" i="5" s="1"/>
  <c r="AR138" i="5" s="1"/>
  <c r="AR137" i="5" s="1"/>
  <c r="AR136" i="5" s="1"/>
  <c r="AR135" i="5" s="1"/>
  <c r="AR134" i="5" s="1"/>
  <c r="AR133" i="5" s="1"/>
  <c r="AR132" i="5" s="1"/>
  <c r="AR131" i="5" s="1"/>
  <c r="AR130" i="5" s="1"/>
  <c r="AR129" i="5" s="1"/>
  <c r="AR128" i="5" s="1"/>
  <c r="AR127" i="5" s="1"/>
  <c r="AR126" i="5" s="1"/>
  <c r="AR125" i="5" s="1"/>
  <c r="AR124" i="5" s="1"/>
  <c r="AR123" i="5" s="1"/>
  <c r="AR122" i="5" s="1"/>
  <c r="AR121" i="5" s="1"/>
  <c r="AR120" i="5" s="1"/>
  <c r="AR119" i="5" s="1"/>
  <c r="AR118" i="5" s="1"/>
  <c r="AR117" i="5" s="1"/>
  <c r="AR116" i="5" s="1"/>
  <c r="AR115" i="5" s="1"/>
  <c r="AR114" i="5" s="1"/>
  <c r="AR113" i="5" s="1"/>
  <c r="AR112" i="5" s="1"/>
  <c r="AS213" i="5"/>
  <c r="AS212" i="5" s="1"/>
  <c r="AS211" i="5" s="1"/>
  <c r="AS210" i="5" s="1"/>
  <c r="AS209" i="5" s="1"/>
  <c r="AS208" i="5" s="1"/>
  <c r="AS207" i="5" s="1"/>
  <c r="AS206" i="5" s="1"/>
  <c r="AS205" i="5" s="1"/>
  <c r="AS204" i="5" s="1"/>
  <c r="AS203" i="5" s="1"/>
  <c r="AS202" i="5" s="1"/>
  <c r="AS201" i="5" s="1"/>
  <c r="AS200" i="5" s="1"/>
  <c r="AS199" i="5" s="1"/>
  <c r="AS198" i="5" s="1"/>
  <c r="AS197" i="5" s="1"/>
  <c r="AS196" i="5" s="1"/>
  <c r="AS195" i="5" s="1"/>
  <c r="AS194" i="5" s="1"/>
  <c r="AS193" i="5" s="1"/>
  <c r="AS192" i="5" s="1"/>
  <c r="AS191" i="5" s="1"/>
  <c r="AS190" i="5" s="1"/>
  <c r="AS189" i="5" s="1"/>
  <c r="AS188" i="5" s="1"/>
  <c r="AS187" i="5" s="1"/>
  <c r="AS186" i="5" s="1"/>
  <c r="AS185" i="5" s="1"/>
  <c r="AS184" i="5" s="1"/>
  <c r="AS183" i="5" s="1"/>
  <c r="AS182" i="5" s="1"/>
  <c r="AS181" i="5" s="1"/>
  <c r="AS180" i="5" s="1"/>
  <c r="AS179" i="5" s="1"/>
  <c r="AS178" i="5" s="1"/>
  <c r="AS177" i="5" s="1"/>
  <c r="AS176" i="5" s="1"/>
  <c r="AS175" i="5" s="1"/>
  <c r="AS174" i="5" s="1"/>
  <c r="AS173" i="5" s="1"/>
  <c r="AS172" i="5" s="1"/>
  <c r="AS171" i="5" s="1"/>
  <c r="AS170" i="5" s="1"/>
  <c r="AS169" i="5" s="1"/>
  <c r="AS168" i="5" s="1"/>
  <c r="AS167" i="5" s="1"/>
  <c r="AS166" i="5" s="1"/>
  <c r="AS165" i="5" s="1"/>
  <c r="AS164" i="5" s="1"/>
  <c r="AS163" i="5" s="1"/>
  <c r="AS162" i="5" s="1"/>
  <c r="AS161" i="5" s="1"/>
  <c r="AS160" i="5" s="1"/>
  <c r="AS159" i="5" s="1"/>
  <c r="AS158" i="5" s="1"/>
  <c r="AS157" i="5" s="1"/>
  <c r="AS156" i="5" s="1"/>
  <c r="AS155" i="5" s="1"/>
  <c r="AS154" i="5" s="1"/>
  <c r="AS153" i="5" s="1"/>
  <c r="AS152" i="5" s="1"/>
  <c r="AS151" i="5" s="1"/>
  <c r="AS150" i="5" s="1"/>
  <c r="AS149" i="5" s="1"/>
  <c r="AS148" i="5" s="1"/>
  <c r="AS147" i="5" s="1"/>
  <c r="AS146" i="5" s="1"/>
  <c r="AS145" i="5" s="1"/>
  <c r="AS144" i="5" s="1"/>
  <c r="AS143" i="5" s="1"/>
  <c r="AS142" i="5" s="1"/>
  <c r="AS141" i="5" s="1"/>
  <c r="AS140" i="5" s="1"/>
  <c r="AS139" i="5" s="1"/>
  <c r="AS138" i="5" s="1"/>
  <c r="AS137" i="5" s="1"/>
  <c r="AS136" i="5" s="1"/>
  <c r="AS135" i="5" s="1"/>
  <c r="AS134" i="5" s="1"/>
  <c r="AS133" i="5" s="1"/>
  <c r="AS132" i="5" s="1"/>
  <c r="AS131" i="5" s="1"/>
  <c r="AS130" i="5" s="1"/>
  <c r="AS129" i="5" s="1"/>
  <c r="AS128" i="5" s="1"/>
  <c r="AS127" i="5" s="1"/>
  <c r="AS126" i="5" s="1"/>
  <c r="AS125" i="5" s="1"/>
  <c r="AS124" i="5" s="1"/>
  <c r="AS123" i="5" s="1"/>
  <c r="AS122" i="5" s="1"/>
  <c r="AS121" i="5" s="1"/>
  <c r="AS120" i="5" s="1"/>
  <c r="AS119" i="5" s="1"/>
  <c r="AS118" i="5" s="1"/>
  <c r="AS117" i="5" s="1"/>
  <c r="AS116" i="5" s="1"/>
  <c r="AS115" i="5" s="1"/>
  <c r="AS114" i="5" s="1"/>
  <c r="AS113" i="5" s="1"/>
  <c r="AS112" i="5" s="1"/>
  <c r="AT213" i="5"/>
  <c r="AT212" i="5" s="1"/>
  <c r="AT211" i="5" s="1"/>
  <c r="AT210" i="5" s="1"/>
  <c r="AT209" i="5" s="1"/>
  <c r="AT208" i="5" s="1"/>
  <c r="AT207" i="5" s="1"/>
  <c r="AT206" i="5" s="1"/>
  <c r="AT205" i="5" s="1"/>
  <c r="AT204" i="5" s="1"/>
  <c r="AT203" i="5" s="1"/>
  <c r="AT202" i="5" s="1"/>
  <c r="AT201" i="5" s="1"/>
  <c r="AT200" i="5" s="1"/>
  <c r="AT199" i="5" s="1"/>
  <c r="AT198" i="5" s="1"/>
  <c r="AT197" i="5" s="1"/>
  <c r="AT196" i="5" s="1"/>
  <c r="AT195" i="5" s="1"/>
  <c r="AT194" i="5" s="1"/>
  <c r="AT193" i="5" s="1"/>
  <c r="AT192" i="5" s="1"/>
  <c r="AT191" i="5" s="1"/>
  <c r="AT190" i="5" s="1"/>
  <c r="AT189" i="5" s="1"/>
  <c r="AT188" i="5" s="1"/>
  <c r="AT187" i="5" s="1"/>
  <c r="AT186" i="5" s="1"/>
  <c r="AT185" i="5" s="1"/>
  <c r="AT184" i="5" s="1"/>
  <c r="AT183" i="5" s="1"/>
  <c r="AT182" i="5" s="1"/>
  <c r="AT181" i="5" s="1"/>
  <c r="AT180" i="5" s="1"/>
  <c r="AT179" i="5" s="1"/>
  <c r="AT178" i="5" s="1"/>
  <c r="AT177" i="5" s="1"/>
  <c r="AT176" i="5" s="1"/>
  <c r="AT175" i="5" s="1"/>
  <c r="AT174" i="5" s="1"/>
  <c r="AT173" i="5" s="1"/>
  <c r="AT172" i="5" s="1"/>
  <c r="AT171" i="5" s="1"/>
  <c r="AT170" i="5" s="1"/>
  <c r="AT169" i="5" s="1"/>
  <c r="AT168" i="5" s="1"/>
  <c r="AT167" i="5" s="1"/>
  <c r="AT166" i="5" s="1"/>
  <c r="AT165" i="5" s="1"/>
  <c r="AT164" i="5" s="1"/>
  <c r="AT163" i="5" s="1"/>
  <c r="AT162" i="5" s="1"/>
  <c r="AT161" i="5" s="1"/>
  <c r="AT160" i="5" s="1"/>
  <c r="AT159" i="5" s="1"/>
  <c r="AT158" i="5" s="1"/>
  <c r="AT157" i="5" s="1"/>
  <c r="AT156" i="5" s="1"/>
  <c r="AT155" i="5" s="1"/>
  <c r="AT154" i="5" s="1"/>
  <c r="AT153" i="5" s="1"/>
  <c r="AT152" i="5" s="1"/>
  <c r="AT151" i="5" s="1"/>
  <c r="AT150" i="5" s="1"/>
  <c r="AT149" i="5" s="1"/>
  <c r="AT148" i="5" s="1"/>
  <c r="AT147" i="5" s="1"/>
  <c r="AT146" i="5" s="1"/>
  <c r="AT145" i="5" s="1"/>
  <c r="AT144" i="5" s="1"/>
  <c r="AT143" i="5" s="1"/>
  <c r="AT142" i="5" s="1"/>
  <c r="AT141" i="5" s="1"/>
  <c r="AT140" i="5" s="1"/>
  <c r="AT139" i="5" s="1"/>
  <c r="AT138" i="5" s="1"/>
  <c r="AT137" i="5" s="1"/>
  <c r="AT136" i="5" s="1"/>
  <c r="AT135" i="5" s="1"/>
  <c r="AT134" i="5" s="1"/>
  <c r="AT133" i="5" s="1"/>
  <c r="AT132" i="5" s="1"/>
  <c r="AT131" i="5" s="1"/>
  <c r="AT130" i="5" s="1"/>
  <c r="AT129" i="5" s="1"/>
  <c r="AT128" i="5" s="1"/>
  <c r="AT127" i="5" s="1"/>
  <c r="AT126" i="5" s="1"/>
  <c r="AT125" i="5" s="1"/>
  <c r="AT124" i="5" s="1"/>
  <c r="AT123" i="5" s="1"/>
  <c r="AT122" i="5" s="1"/>
  <c r="AT121" i="5" s="1"/>
  <c r="AT120" i="5" s="1"/>
  <c r="AT119" i="5" s="1"/>
  <c r="AT118" i="5" s="1"/>
  <c r="AT117" i="5" s="1"/>
  <c r="AT116" i="5" s="1"/>
  <c r="AT115" i="5" s="1"/>
  <c r="AT114" i="5" s="1"/>
  <c r="AT113" i="5" s="1"/>
  <c r="AT112" i="5" s="1"/>
  <c r="AU213" i="5"/>
  <c r="AU212" i="5" s="1"/>
  <c r="AU211" i="5" s="1"/>
  <c r="AU210" i="5" s="1"/>
  <c r="AU209" i="5" s="1"/>
  <c r="AU208" i="5" s="1"/>
  <c r="AU207" i="5" s="1"/>
  <c r="AU206" i="5" s="1"/>
  <c r="AU205" i="5" s="1"/>
  <c r="AU204" i="5" s="1"/>
  <c r="AU203" i="5" s="1"/>
  <c r="AU202" i="5" s="1"/>
  <c r="AU201" i="5" s="1"/>
  <c r="AU200" i="5" s="1"/>
  <c r="AU199" i="5" s="1"/>
  <c r="AU198" i="5" s="1"/>
  <c r="AU197" i="5" s="1"/>
  <c r="AU196" i="5" s="1"/>
  <c r="AU195" i="5" s="1"/>
  <c r="AU194" i="5" s="1"/>
  <c r="AU193" i="5" s="1"/>
  <c r="AU192" i="5" s="1"/>
  <c r="AU191" i="5" s="1"/>
  <c r="AU190" i="5" s="1"/>
  <c r="AU189" i="5" s="1"/>
  <c r="AU188" i="5" s="1"/>
  <c r="AU187" i="5" s="1"/>
  <c r="AU186" i="5" s="1"/>
  <c r="AU185" i="5" s="1"/>
  <c r="AU184" i="5" s="1"/>
  <c r="AU183" i="5" s="1"/>
  <c r="AU182" i="5" s="1"/>
  <c r="AU181" i="5" s="1"/>
  <c r="AU180" i="5" s="1"/>
  <c r="AU179" i="5" s="1"/>
  <c r="AU178" i="5" s="1"/>
  <c r="AU177" i="5" s="1"/>
  <c r="AU176" i="5" s="1"/>
  <c r="AU175" i="5" s="1"/>
  <c r="AU174" i="5" s="1"/>
  <c r="AU173" i="5" s="1"/>
  <c r="AU172" i="5" s="1"/>
  <c r="AU171" i="5" s="1"/>
  <c r="AU170" i="5" s="1"/>
  <c r="AU169" i="5" s="1"/>
  <c r="AU168" i="5" s="1"/>
  <c r="AU167" i="5" s="1"/>
  <c r="AU166" i="5" s="1"/>
  <c r="AU165" i="5" s="1"/>
  <c r="AU164" i="5" s="1"/>
  <c r="AU163" i="5" s="1"/>
  <c r="AU162" i="5" s="1"/>
  <c r="AU161" i="5" s="1"/>
  <c r="AU160" i="5" s="1"/>
  <c r="AU159" i="5" s="1"/>
  <c r="AU158" i="5" s="1"/>
  <c r="AU157" i="5" s="1"/>
  <c r="AU156" i="5" s="1"/>
  <c r="AU155" i="5" s="1"/>
  <c r="AU154" i="5" s="1"/>
  <c r="AU153" i="5" s="1"/>
  <c r="AU152" i="5" s="1"/>
  <c r="AU151" i="5" s="1"/>
  <c r="AU150" i="5" s="1"/>
  <c r="AU149" i="5" s="1"/>
  <c r="AU148" i="5" s="1"/>
  <c r="AU147" i="5" s="1"/>
  <c r="AU146" i="5" s="1"/>
  <c r="AU145" i="5" s="1"/>
  <c r="AU144" i="5" s="1"/>
  <c r="AU143" i="5" s="1"/>
  <c r="AU142" i="5" s="1"/>
  <c r="AU141" i="5" s="1"/>
  <c r="AU140" i="5" s="1"/>
  <c r="AU139" i="5" s="1"/>
  <c r="AU138" i="5" s="1"/>
  <c r="AU137" i="5" s="1"/>
  <c r="AU136" i="5" s="1"/>
  <c r="AU135" i="5" s="1"/>
  <c r="AU134" i="5" s="1"/>
  <c r="AU133" i="5" s="1"/>
  <c r="AU132" i="5" s="1"/>
  <c r="AU131" i="5" s="1"/>
  <c r="AU130" i="5" s="1"/>
  <c r="AU129" i="5" s="1"/>
  <c r="AU128" i="5" s="1"/>
  <c r="AU127" i="5" s="1"/>
  <c r="AU126" i="5" s="1"/>
  <c r="AU125" i="5" s="1"/>
  <c r="AU124" i="5" s="1"/>
  <c r="AU123" i="5" s="1"/>
  <c r="AU122" i="5" s="1"/>
  <c r="AU121" i="5" s="1"/>
  <c r="AU120" i="5" s="1"/>
  <c r="AU119" i="5" s="1"/>
  <c r="AU118" i="5" s="1"/>
  <c r="AU117" i="5" s="1"/>
  <c r="AU116" i="5" s="1"/>
  <c r="AU115" i="5" s="1"/>
  <c r="AU114" i="5" s="1"/>
  <c r="AU113" i="5" s="1"/>
  <c r="AU112" i="5" s="1"/>
  <c r="AV213" i="5"/>
  <c r="AV212" i="5" s="1"/>
  <c r="AV211" i="5" s="1"/>
  <c r="AV210" i="5" s="1"/>
  <c r="AV209" i="5" s="1"/>
  <c r="AV208" i="5" s="1"/>
  <c r="AV207" i="5" s="1"/>
  <c r="AV206" i="5" s="1"/>
  <c r="AV205" i="5" s="1"/>
  <c r="AV204" i="5" s="1"/>
  <c r="AV203" i="5" s="1"/>
  <c r="AV202" i="5" s="1"/>
  <c r="AV201" i="5" s="1"/>
  <c r="AV200" i="5" s="1"/>
  <c r="AV199" i="5" s="1"/>
  <c r="AV198" i="5" s="1"/>
  <c r="AV197" i="5" s="1"/>
  <c r="AV196" i="5" s="1"/>
  <c r="AV195" i="5" s="1"/>
  <c r="AV194" i="5" s="1"/>
  <c r="AV193" i="5" s="1"/>
  <c r="AV192" i="5" s="1"/>
  <c r="AV191" i="5" s="1"/>
  <c r="AV190" i="5" s="1"/>
  <c r="AV189" i="5" s="1"/>
  <c r="AV188" i="5" s="1"/>
  <c r="AV187" i="5" s="1"/>
  <c r="AV186" i="5" s="1"/>
  <c r="AV185" i="5" s="1"/>
  <c r="AV184" i="5" s="1"/>
  <c r="AV183" i="5" s="1"/>
  <c r="AV182" i="5" s="1"/>
  <c r="AV181" i="5" s="1"/>
  <c r="AV180" i="5" s="1"/>
  <c r="AV179" i="5" s="1"/>
  <c r="AV178" i="5" s="1"/>
  <c r="AV177" i="5" s="1"/>
  <c r="AV176" i="5" s="1"/>
  <c r="AV175" i="5" s="1"/>
  <c r="AV174" i="5" s="1"/>
  <c r="AV173" i="5" s="1"/>
  <c r="AV172" i="5" s="1"/>
  <c r="AV171" i="5" s="1"/>
  <c r="AV170" i="5" s="1"/>
  <c r="AV169" i="5" s="1"/>
  <c r="AV168" i="5" s="1"/>
  <c r="AV167" i="5" s="1"/>
  <c r="AV166" i="5" s="1"/>
  <c r="AV165" i="5" s="1"/>
  <c r="AV164" i="5" s="1"/>
  <c r="AV163" i="5" s="1"/>
  <c r="AV162" i="5" s="1"/>
  <c r="AV161" i="5" s="1"/>
  <c r="AV160" i="5" s="1"/>
  <c r="AV159" i="5" s="1"/>
  <c r="AV158" i="5" s="1"/>
  <c r="AV157" i="5" s="1"/>
  <c r="AV156" i="5" s="1"/>
  <c r="AV155" i="5" s="1"/>
  <c r="AV154" i="5" s="1"/>
  <c r="AV153" i="5" s="1"/>
  <c r="AV152" i="5" s="1"/>
  <c r="AV151" i="5" s="1"/>
  <c r="AV150" i="5" s="1"/>
  <c r="AV149" i="5" s="1"/>
  <c r="AV148" i="5" s="1"/>
  <c r="AV147" i="5" s="1"/>
  <c r="AV146" i="5" s="1"/>
  <c r="AV145" i="5" s="1"/>
  <c r="AV144" i="5" s="1"/>
  <c r="AV143" i="5" s="1"/>
  <c r="AV142" i="5" s="1"/>
  <c r="AV141" i="5" s="1"/>
  <c r="AV140" i="5" s="1"/>
  <c r="AV139" i="5" s="1"/>
  <c r="AV138" i="5" s="1"/>
  <c r="AV137" i="5" s="1"/>
  <c r="AV136" i="5" s="1"/>
  <c r="AV135" i="5" s="1"/>
  <c r="AV134" i="5" s="1"/>
  <c r="AV133" i="5" s="1"/>
  <c r="AV132" i="5" s="1"/>
  <c r="AV131" i="5" s="1"/>
  <c r="AV130" i="5" s="1"/>
  <c r="AV129" i="5" s="1"/>
  <c r="AV128" i="5" s="1"/>
  <c r="AV127" i="5" s="1"/>
  <c r="AV126" i="5" s="1"/>
  <c r="AV125" i="5" s="1"/>
  <c r="AV124" i="5" s="1"/>
  <c r="AV123" i="5" s="1"/>
  <c r="AV122" i="5" s="1"/>
  <c r="AV121" i="5" s="1"/>
  <c r="AV120" i="5" s="1"/>
  <c r="AV119" i="5" s="1"/>
  <c r="AV118" i="5" s="1"/>
  <c r="AV117" i="5" s="1"/>
  <c r="AV116" i="5" s="1"/>
  <c r="AV115" i="5" s="1"/>
  <c r="AV114" i="5" s="1"/>
  <c r="AV113" i="5" s="1"/>
  <c r="AV112" i="5" s="1"/>
  <c r="AW213" i="5"/>
  <c r="AW212" i="5" s="1"/>
  <c r="AW211" i="5" s="1"/>
  <c r="AW210" i="5" s="1"/>
  <c r="AW209" i="5" s="1"/>
  <c r="AW208" i="5" s="1"/>
  <c r="AW207" i="5" s="1"/>
  <c r="AW206" i="5" s="1"/>
  <c r="AW205" i="5" s="1"/>
  <c r="AW204" i="5" s="1"/>
  <c r="AW203" i="5" s="1"/>
  <c r="AW202" i="5" s="1"/>
  <c r="AW201" i="5" s="1"/>
  <c r="AW200" i="5" s="1"/>
  <c r="AW199" i="5" s="1"/>
  <c r="AW198" i="5" s="1"/>
  <c r="AW197" i="5" s="1"/>
  <c r="AW196" i="5" s="1"/>
  <c r="AW195" i="5" s="1"/>
  <c r="AW194" i="5" s="1"/>
  <c r="AW193" i="5" s="1"/>
  <c r="AW192" i="5" s="1"/>
  <c r="AW191" i="5" s="1"/>
  <c r="AW190" i="5" s="1"/>
  <c r="AW189" i="5" s="1"/>
  <c r="AW188" i="5" s="1"/>
  <c r="AW187" i="5" s="1"/>
  <c r="AW186" i="5" s="1"/>
  <c r="AW185" i="5" s="1"/>
  <c r="AW184" i="5" s="1"/>
  <c r="AW183" i="5" s="1"/>
  <c r="AW182" i="5" s="1"/>
  <c r="AW181" i="5" s="1"/>
  <c r="AW180" i="5" s="1"/>
  <c r="AW179" i="5" s="1"/>
  <c r="AW178" i="5" s="1"/>
  <c r="AW177" i="5" s="1"/>
  <c r="AW176" i="5" s="1"/>
  <c r="AW175" i="5" s="1"/>
  <c r="AW174" i="5" s="1"/>
  <c r="AW173" i="5" s="1"/>
  <c r="AW172" i="5" s="1"/>
  <c r="AW171" i="5" s="1"/>
  <c r="AW170" i="5" s="1"/>
  <c r="AW169" i="5" s="1"/>
  <c r="AW168" i="5" s="1"/>
  <c r="AW167" i="5" s="1"/>
  <c r="AW166" i="5" s="1"/>
  <c r="AW165" i="5" s="1"/>
  <c r="AW164" i="5" s="1"/>
  <c r="AW163" i="5" s="1"/>
  <c r="AW162" i="5" s="1"/>
  <c r="AW161" i="5" s="1"/>
  <c r="AW160" i="5" s="1"/>
  <c r="AW159" i="5" s="1"/>
  <c r="AW158" i="5" s="1"/>
  <c r="AW157" i="5" s="1"/>
  <c r="AW156" i="5" s="1"/>
  <c r="AW155" i="5" s="1"/>
  <c r="AW154" i="5" s="1"/>
  <c r="AW153" i="5" s="1"/>
  <c r="AW152" i="5" s="1"/>
  <c r="AW151" i="5" s="1"/>
  <c r="AW150" i="5" s="1"/>
  <c r="AW149" i="5" s="1"/>
  <c r="AW148" i="5" s="1"/>
  <c r="AW147" i="5" s="1"/>
  <c r="AW146" i="5" s="1"/>
  <c r="AW145" i="5" s="1"/>
  <c r="AW144" i="5" s="1"/>
  <c r="AW143" i="5" s="1"/>
  <c r="AW142" i="5" s="1"/>
  <c r="AW141" i="5" s="1"/>
  <c r="AW140" i="5" s="1"/>
  <c r="AW139" i="5" s="1"/>
  <c r="AW138" i="5" s="1"/>
  <c r="AW137" i="5" s="1"/>
  <c r="AW136" i="5" s="1"/>
  <c r="AW135" i="5" s="1"/>
  <c r="AW134" i="5" s="1"/>
  <c r="AW133" i="5" s="1"/>
  <c r="AW132" i="5" s="1"/>
  <c r="AW131" i="5" s="1"/>
  <c r="AW130" i="5" s="1"/>
  <c r="AW129" i="5" s="1"/>
  <c r="AW128" i="5" s="1"/>
  <c r="AW127" i="5" s="1"/>
  <c r="AW126" i="5" s="1"/>
  <c r="AW125" i="5" s="1"/>
  <c r="AW124" i="5" s="1"/>
  <c r="AW123" i="5" s="1"/>
  <c r="AW122" i="5" s="1"/>
  <c r="AW121" i="5" s="1"/>
  <c r="AW120" i="5" s="1"/>
  <c r="AW119" i="5" s="1"/>
  <c r="AW118" i="5" s="1"/>
  <c r="AW117" i="5" s="1"/>
  <c r="AW116" i="5" s="1"/>
  <c r="AW115" i="5" s="1"/>
  <c r="AW114" i="5" s="1"/>
  <c r="AW113" i="5" s="1"/>
  <c r="AW112" i="5" s="1"/>
  <c r="AX213" i="5"/>
  <c r="AX212" i="5" s="1"/>
  <c r="AX211" i="5" s="1"/>
  <c r="AX210" i="5" s="1"/>
  <c r="AX209" i="5" s="1"/>
  <c r="AX208" i="5" s="1"/>
  <c r="AX207" i="5" s="1"/>
  <c r="AX206" i="5" s="1"/>
  <c r="AX205" i="5" s="1"/>
  <c r="AX204" i="5" s="1"/>
  <c r="AX203" i="5" s="1"/>
  <c r="AX202" i="5" s="1"/>
  <c r="AX201" i="5" s="1"/>
  <c r="AX200" i="5" s="1"/>
  <c r="AX199" i="5" s="1"/>
  <c r="AX198" i="5" s="1"/>
  <c r="AX197" i="5" s="1"/>
  <c r="AX196" i="5" s="1"/>
  <c r="AX195" i="5" s="1"/>
  <c r="AX194" i="5" s="1"/>
  <c r="AX193" i="5" s="1"/>
  <c r="AX192" i="5" s="1"/>
  <c r="AX191" i="5" s="1"/>
  <c r="AX190" i="5" s="1"/>
  <c r="AX189" i="5" s="1"/>
  <c r="AX188" i="5" s="1"/>
  <c r="AX187" i="5" s="1"/>
  <c r="AX186" i="5" s="1"/>
  <c r="AX185" i="5" s="1"/>
  <c r="AX184" i="5" s="1"/>
  <c r="AX183" i="5" s="1"/>
  <c r="AX182" i="5" s="1"/>
  <c r="AX181" i="5" s="1"/>
  <c r="AX180" i="5" s="1"/>
  <c r="AX179" i="5" s="1"/>
  <c r="AX178" i="5" s="1"/>
  <c r="AX177" i="5" s="1"/>
  <c r="AX176" i="5" s="1"/>
  <c r="AX175" i="5" s="1"/>
  <c r="AX174" i="5" s="1"/>
  <c r="AX173" i="5" s="1"/>
  <c r="AX172" i="5" s="1"/>
  <c r="AX171" i="5" s="1"/>
  <c r="AX170" i="5" s="1"/>
  <c r="AX169" i="5" s="1"/>
  <c r="AX168" i="5" s="1"/>
  <c r="AX167" i="5" s="1"/>
  <c r="AX166" i="5" s="1"/>
  <c r="AX165" i="5" s="1"/>
  <c r="AX164" i="5" s="1"/>
  <c r="AX163" i="5" s="1"/>
  <c r="AX162" i="5" s="1"/>
  <c r="AX161" i="5" s="1"/>
  <c r="AX160" i="5" s="1"/>
  <c r="AX159" i="5" s="1"/>
  <c r="AX158" i="5" s="1"/>
  <c r="AX157" i="5" s="1"/>
  <c r="AX156" i="5" s="1"/>
  <c r="AX155" i="5" s="1"/>
  <c r="AX154" i="5" s="1"/>
  <c r="AX153" i="5" s="1"/>
  <c r="AX152" i="5" s="1"/>
  <c r="AX151" i="5" s="1"/>
  <c r="AX150" i="5" s="1"/>
  <c r="AX149" i="5" s="1"/>
  <c r="AX148" i="5" s="1"/>
  <c r="AX147" i="5" s="1"/>
  <c r="AX146" i="5" s="1"/>
  <c r="AX145" i="5" s="1"/>
  <c r="AX144" i="5" s="1"/>
  <c r="AX143" i="5" s="1"/>
  <c r="AX142" i="5" s="1"/>
  <c r="AX141" i="5" s="1"/>
  <c r="AX140" i="5" s="1"/>
  <c r="AX139" i="5" s="1"/>
  <c r="AX138" i="5" s="1"/>
  <c r="AX137" i="5" s="1"/>
  <c r="AX136" i="5" s="1"/>
  <c r="AX135" i="5" s="1"/>
  <c r="AX134" i="5" s="1"/>
  <c r="AX133" i="5" s="1"/>
  <c r="AX132" i="5" s="1"/>
  <c r="AX131" i="5" s="1"/>
  <c r="AX130" i="5" s="1"/>
  <c r="AX129" i="5" s="1"/>
  <c r="AX128" i="5" s="1"/>
  <c r="AX127" i="5" s="1"/>
  <c r="AX126" i="5" s="1"/>
  <c r="AX125" i="5" s="1"/>
  <c r="AX124" i="5" s="1"/>
  <c r="AX123" i="5" s="1"/>
  <c r="AX122" i="5" s="1"/>
  <c r="AX121" i="5" s="1"/>
  <c r="AX120" i="5" s="1"/>
  <c r="AX119" i="5" s="1"/>
  <c r="AX118" i="5" s="1"/>
  <c r="AX117" i="5" s="1"/>
  <c r="AX116" i="5" s="1"/>
  <c r="AX115" i="5" s="1"/>
  <c r="AX114" i="5" s="1"/>
  <c r="AX113" i="5" s="1"/>
  <c r="AX112" i="5" s="1"/>
  <c r="AY213" i="5"/>
  <c r="AY212" i="5" s="1"/>
  <c r="AY211" i="5" s="1"/>
  <c r="AY210" i="5" s="1"/>
  <c r="AY209" i="5" s="1"/>
  <c r="AY208" i="5" s="1"/>
  <c r="AY207" i="5" s="1"/>
  <c r="AY206" i="5" s="1"/>
  <c r="AY205" i="5" s="1"/>
  <c r="AY204" i="5" s="1"/>
  <c r="AY203" i="5" s="1"/>
  <c r="AY202" i="5" s="1"/>
  <c r="AY201" i="5" s="1"/>
  <c r="AY200" i="5" s="1"/>
  <c r="AY199" i="5" s="1"/>
  <c r="AY198" i="5" s="1"/>
  <c r="AY197" i="5" s="1"/>
  <c r="AY196" i="5" s="1"/>
  <c r="AY195" i="5" s="1"/>
  <c r="AY194" i="5" s="1"/>
  <c r="AY193" i="5" s="1"/>
  <c r="AY192" i="5" s="1"/>
  <c r="AY191" i="5" s="1"/>
  <c r="AY190" i="5" s="1"/>
  <c r="AY189" i="5" s="1"/>
  <c r="AY188" i="5" s="1"/>
  <c r="AY187" i="5" s="1"/>
  <c r="AY186" i="5" s="1"/>
  <c r="AY185" i="5" s="1"/>
  <c r="AY184" i="5" s="1"/>
  <c r="AY183" i="5" s="1"/>
  <c r="AY182" i="5" s="1"/>
  <c r="AY181" i="5" s="1"/>
  <c r="AY180" i="5" s="1"/>
  <c r="AY179" i="5" s="1"/>
  <c r="AY178" i="5" s="1"/>
  <c r="AY177" i="5" s="1"/>
  <c r="AY176" i="5" s="1"/>
  <c r="AY175" i="5" s="1"/>
  <c r="AY174" i="5" s="1"/>
  <c r="AY173" i="5" s="1"/>
  <c r="AY172" i="5" s="1"/>
  <c r="AY171" i="5" s="1"/>
  <c r="AY170" i="5" s="1"/>
  <c r="AY169" i="5" s="1"/>
  <c r="AY168" i="5" s="1"/>
  <c r="AY167" i="5" s="1"/>
  <c r="AY166" i="5" s="1"/>
  <c r="AY165" i="5" s="1"/>
  <c r="AY164" i="5" s="1"/>
  <c r="AY163" i="5" s="1"/>
  <c r="AY162" i="5" s="1"/>
  <c r="AY161" i="5" s="1"/>
  <c r="AY160" i="5" s="1"/>
  <c r="AY159" i="5" s="1"/>
  <c r="AY158" i="5" s="1"/>
  <c r="AY157" i="5" s="1"/>
  <c r="AY156" i="5" s="1"/>
  <c r="AY155" i="5" s="1"/>
  <c r="AY154" i="5" s="1"/>
  <c r="AY153" i="5" s="1"/>
  <c r="AY152" i="5" s="1"/>
  <c r="AY151" i="5" s="1"/>
  <c r="AY150" i="5" s="1"/>
  <c r="AY149" i="5" s="1"/>
  <c r="AY148" i="5" s="1"/>
  <c r="AY147" i="5" s="1"/>
  <c r="AY146" i="5" s="1"/>
  <c r="AY145" i="5" s="1"/>
  <c r="AY144" i="5" s="1"/>
  <c r="AY143" i="5" s="1"/>
  <c r="AY142" i="5" s="1"/>
  <c r="AY141" i="5" s="1"/>
  <c r="AY140" i="5" s="1"/>
  <c r="AY139" i="5" s="1"/>
  <c r="AY138" i="5" s="1"/>
  <c r="AY137" i="5" s="1"/>
  <c r="AY136" i="5" s="1"/>
  <c r="AY135" i="5" s="1"/>
  <c r="AY134" i="5" s="1"/>
  <c r="AY133" i="5" s="1"/>
  <c r="AY132" i="5" s="1"/>
  <c r="AY131" i="5" s="1"/>
  <c r="AY130" i="5" s="1"/>
  <c r="AY129" i="5" s="1"/>
  <c r="AY128" i="5" s="1"/>
  <c r="AY127" i="5" s="1"/>
  <c r="AY126" i="5" s="1"/>
  <c r="AY125" i="5" s="1"/>
  <c r="AY124" i="5" s="1"/>
  <c r="AY123" i="5" s="1"/>
  <c r="AY122" i="5" s="1"/>
  <c r="AY121" i="5" s="1"/>
  <c r="AY120" i="5" s="1"/>
  <c r="AY119" i="5" s="1"/>
  <c r="AY118" i="5" s="1"/>
  <c r="AY117" i="5" s="1"/>
  <c r="AY116" i="5" s="1"/>
  <c r="AY115" i="5" s="1"/>
  <c r="AY114" i="5" s="1"/>
  <c r="AY113" i="5" s="1"/>
  <c r="AY112" i="5" s="1"/>
  <c r="AZ213" i="5"/>
  <c r="AZ212" i="5" s="1"/>
  <c r="AZ211" i="5" s="1"/>
  <c r="AZ210" i="5" s="1"/>
  <c r="AZ209" i="5" s="1"/>
  <c r="AZ208" i="5" s="1"/>
  <c r="AZ207" i="5" s="1"/>
  <c r="AZ206" i="5" s="1"/>
  <c r="AZ205" i="5" s="1"/>
  <c r="AZ204" i="5" s="1"/>
  <c r="AZ203" i="5" s="1"/>
  <c r="AZ202" i="5" s="1"/>
  <c r="AZ201" i="5" s="1"/>
  <c r="AZ200" i="5" s="1"/>
  <c r="AZ199" i="5" s="1"/>
  <c r="AZ198" i="5" s="1"/>
  <c r="AZ197" i="5" s="1"/>
  <c r="AZ196" i="5" s="1"/>
  <c r="AZ195" i="5" s="1"/>
  <c r="AZ194" i="5" s="1"/>
  <c r="AZ193" i="5" s="1"/>
  <c r="AZ192" i="5" s="1"/>
  <c r="AZ191" i="5" s="1"/>
  <c r="AZ190" i="5" s="1"/>
  <c r="AZ189" i="5" s="1"/>
  <c r="AZ188" i="5" s="1"/>
  <c r="AZ187" i="5" s="1"/>
  <c r="AZ186" i="5" s="1"/>
  <c r="AZ185" i="5" s="1"/>
  <c r="AZ184" i="5" s="1"/>
  <c r="AZ183" i="5" s="1"/>
  <c r="AZ182" i="5" s="1"/>
  <c r="AZ181" i="5" s="1"/>
  <c r="AZ180" i="5" s="1"/>
  <c r="AZ179" i="5" s="1"/>
  <c r="AZ178" i="5" s="1"/>
  <c r="AZ177" i="5" s="1"/>
  <c r="AZ176" i="5" s="1"/>
  <c r="AZ175" i="5" s="1"/>
  <c r="AZ174" i="5" s="1"/>
  <c r="AZ173" i="5" s="1"/>
  <c r="AZ172" i="5" s="1"/>
  <c r="AZ171" i="5" s="1"/>
  <c r="AZ170" i="5" s="1"/>
  <c r="AZ169" i="5" s="1"/>
  <c r="AZ168" i="5" s="1"/>
  <c r="AZ167" i="5" s="1"/>
  <c r="AZ166" i="5" s="1"/>
  <c r="AZ165" i="5" s="1"/>
  <c r="AZ164" i="5" s="1"/>
  <c r="AZ163" i="5" s="1"/>
  <c r="AZ162" i="5" s="1"/>
  <c r="AZ161" i="5" s="1"/>
  <c r="AZ160" i="5" s="1"/>
  <c r="AZ159" i="5" s="1"/>
  <c r="AZ158" i="5" s="1"/>
  <c r="AZ157" i="5" s="1"/>
  <c r="AZ156" i="5" s="1"/>
  <c r="AZ155" i="5" s="1"/>
  <c r="AZ154" i="5" s="1"/>
  <c r="AZ153" i="5" s="1"/>
  <c r="AZ152" i="5" s="1"/>
  <c r="AZ151" i="5" s="1"/>
  <c r="AZ150" i="5" s="1"/>
  <c r="AZ149" i="5" s="1"/>
  <c r="AZ148" i="5" s="1"/>
  <c r="AZ147" i="5" s="1"/>
  <c r="AZ146" i="5" s="1"/>
  <c r="AZ145" i="5" s="1"/>
  <c r="AZ144" i="5" s="1"/>
  <c r="AZ143" i="5" s="1"/>
  <c r="AZ142" i="5" s="1"/>
  <c r="AZ141" i="5" s="1"/>
  <c r="AZ140" i="5" s="1"/>
  <c r="AZ139" i="5" s="1"/>
  <c r="AZ138" i="5" s="1"/>
  <c r="AZ137" i="5" s="1"/>
  <c r="AZ136" i="5" s="1"/>
  <c r="AZ135" i="5" s="1"/>
  <c r="AZ134" i="5" s="1"/>
  <c r="AZ133" i="5" s="1"/>
  <c r="AZ132" i="5" s="1"/>
  <c r="AZ131" i="5" s="1"/>
  <c r="AZ130" i="5" s="1"/>
  <c r="AZ129" i="5" s="1"/>
  <c r="AZ128" i="5" s="1"/>
  <c r="AZ127" i="5" s="1"/>
  <c r="AZ126" i="5" s="1"/>
  <c r="AZ125" i="5" s="1"/>
  <c r="AZ124" i="5" s="1"/>
  <c r="AZ123" i="5" s="1"/>
  <c r="AZ122" i="5" s="1"/>
  <c r="AZ121" i="5" s="1"/>
  <c r="AZ120" i="5" s="1"/>
  <c r="AZ119" i="5" s="1"/>
  <c r="AZ118" i="5" s="1"/>
  <c r="AZ117" i="5" s="1"/>
  <c r="AZ116" i="5" s="1"/>
  <c r="AZ115" i="5" s="1"/>
  <c r="AZ114" i="5" s="1"/>
  <c r="AZ113" i="5" s="1"/>
  <c r="AZ112" i="5" s="1"/>
  <c r="BA213" i="5"/>
  <c r="BA212" i="5" s="1"/>
  <c r="BA211" i="5" s="1"/>
  <c r="BA210" i="5" s="1"/>
  <c r="BA209" i="5" s="1"/>
  <c r="BA208" i="5" s="1"/>
  <c r="BA207" i="5" s="1"/>
  <c r="BA206" i="5" s="1"/>
  <c r="BA205" i="5" s="1"/>
  <c r="BA204" i="5" s="1"/>
  <c r="BA203" i="5" s="1"/>
  <c r="BA202" i="5" s="1"/>
  <c r="BA201" i="5" s="1"/>
  <c r="BA200" i="5" s="1"/>
  <c r="BA199" i="5" s="1"/>
  <c r="BA198" i="5" s="1"/>
  <c r="BA197" i="5" s="1"/>
  <c r="BA196" i="5" s="1"/>
  <c r="BA195" i="5" s="1"/>
  <c r="BA194" i="5" s="1"/>
  <c r="BA193" i="5" s="1"/>
  <c r="BA192" i="5" s="1"/>
  <c r="BA191" i="5" s="1"/>
  <c r="BA190" i="5" s="1"/>
  <c r="BA189" i="5" s="1"/>
  <c r="BA188" i="5" s="1"/>
  <c r="BA187" i="5" s="1"/>
  <c r="BA186" i="5" s="1"/>
  <c r="BA185" i="5" s="1"/>
  <c r="BA184" i="5" s="1"/>
  <c r="BA183" i="5" s="1"/>
  <c r="BA182" i="5" s="1"/>
  <c r="BA181" i="5" s="1"/>
  <c r="BA180" i="5" s="1"/>
  <c r="BA179" i="5" s="1"/>
  <c r="BA178" i="5" s="1"/>
  <c r="BA177" i="5" s="1"/>
  <c r="BA176" i="5" s="1"/>
  <c r="BA175" i="5" s="1"/>
  <c r="BA174" i="5" s="1"/>
  <c r="BA173" i="5" s="1"/>
  <c r="BA172" i="5" s="1"/>
  <c r="BA171" i="5" s="1"/>
  <c r="BA170" i="5" s="1"/>
  <c r="BA169" i="5" s="1"/>
  <c r="BA168" i="5" s="1"/>
  <c r="BA167" i="5" s="1"/>
  <c r="BA166" i="5" s="1"/>
  <c r="BA165" i="5" s="1"/>
  <c r="BA164" i="5" s="1"/>
  <c r="BA163" i="5" s="1"/>
  <c r="BA162" i="5" s="1"/>
  <c r="BA161" i="5" s="1"/>
  <c r="BA160" i="5" s="1"/>
  <c r="BA159" i="5" s="1"/>
  <c r="BA158" i="5" s="1"/>
  <c r="BA157" i="5" s="1"/>
  <c r="BA156" i="5" s="1"/>
  <c r="BA155" i="5" s="1"/>
  <c r="BA154" i="5" s="1"/>
  <c r="BA153" i="5" s="1"/>
  <c r="BA152" i="5" s="1"/>
  <c r="BA151" i="5" s="1"/>
  <c r="BA150" i="5" s="1"/>
  <c r="BA149" i="5" s="1"/>
  <c r="BA148" i="5" s="1"/>
  <c r="BA147" i="5" s="1"/>
  <c r="BA146" i="5" s="1"/>
  <c r="BA145" i="5" s="1"/>
  <c r="BA144" i="5" s="1"/>
  <c r="BA143" i="5" s="1"/>
  <c r="BA142" i="5" s="1"/>
  <c r="BA141" i="5" s="1"/>
  <c r="BA140" i="5" s="1"/>
  <c r="BA139" i="5" s="1"/>
  <c r="BA138" i="5" s="1"/>
  <c r="BA137" i="5" s="1"/>
  <c r="BA136" i="5" s="1"/>
  <c r="BA135" i="5" s="1"/>
  <c r="BA134" i="5" s="1"/>
  <c r="BA133" i="5" s="1"/>
  <c r="BA132" i="5" s="1"/>
  <c r="BA131" i="5" s="1"/>
  <c r="BA130" i="5" s="1"/>
  <c r="BA129" i="5" s="1"/>
  <c r="BA128" i="5" s="1"/>
  <c r="BA127" i="5" s="1"/>
  <c r="BA126" i="5" s="1"/>
  <c r="BA125" i="5" s="1"/>
  <c r="BA124" i="5" s="1"/>
  <c r="BA123" i="5" s="1"/>
  <c r="BA122" i="5" s="1"/>
  <c r="BA121" i="5" s="1"/>
  <c r="BA120" i="5" s="1"/>
  <c r="BA119" i="5" s="1"/>
  <c r="BA118" i="5" s="1"/>
  <c r="BA117" i="5" s="1"/>
  <c r="BA116" i="5" s="1"/>
  <c r="BA115" i="5" s="1"/>
  <c r="BA114" i="5" s="1"/>
  <c r="BA113" i="5" s="1"/>
  <c r="BA112" i="5" s="1"/>
  <c r="BB213" i="5"/>
  <c r="BB212" i="5" s="1"/>
  <c r="BB211" i="5" s="1"/>
  <c r="BB210" i="5" s="1"/>
  <c r="BB209" i="5" s="1"/>
  <c r="BB208" i="5" s="1"/>
  <c r="BB207" i="5" s="1"/>
  <c r="BB206" i="5" s="1"/>
  <c r="BB205" i="5" s="1"/>
  <c r="BB204" i="5" s="1"/>
  <c r="BB203" i="5" s="1"/>
  <c r="BB202" i="5" s="1"/>
  <c r="BB201" i="5" s="1"/>
  <c r="BB200" i="5" s="1"/>
  <c r="BB199" i="5" s="1"/>
  <c r="BB198" i="5" s="1"/>
  <c r="BB197" i="5" s="1"/>
  <c r="BB196" i="5" s="1"/>
  <c r="BB195" i="5" s="1"/>
  <c r="BB194" i="5" s="1"/>
  <c r="BB193" i="5" s="1"/>
  <c r="BB192" i="5" s="1"/>
  <c r="BB191" i="5" s="1"/>
  <c r="BB190" i="5" s="1"/>
  <c r="BB189" i="5" s="1"/>
  <c r="BB188" i="5" s="1"/>
  <c r="BB187" i="5" s="1"/>
  <c r="BB186" i="5" s="1"/>
  <c r="BB185" i="5" s="1"/>
  <c r="BB184" i="5" s="1"/>
  <c r="BB183" i="5" s="1"/>
  <c r="BB182" i="5" s="1"/>
  <c r="BB181" i="5" s="1"/>
  <c r="BB180" i="5" s="1"/>
  <c r="BB179" i="5" s="1"/>
  <c r="BB178" i="5" s="1"/>
  <c r="BB177" i="5" s="1"/>
  <c r="BB176" i="5" s="1"/>
  <c r="BB175" i="5" s="1"/>
  <c r="BB174" i="5" s="1"/>
  <c r="BB173" i="5" s="1"/>
  <c r="BB172" i="5" s="1"/>
  <c r="BB171" i="5" s="1"/>
  <c r="BB170" i="5" s="1"/>
  <c r="BB169" i="5" s="1"/>
  <c r="BB168" i="5" s="1"/>
  <c r="BB167" i="5" s="1"/>
  <c r="BB166" i="5" s="1"/>
  <c r="BB165" i="5" s="1"/>
  <c r="BB164" i="5" s="1"/>
  <c r="BB163" i="5" s="1"/>
  <c r="BB162" i="5" s="1"/>
  <c r="BB161" i="5" s="1"/>
  <c r="BB160" i="5" s="1"/>
  <c r="BB159" i="5" s="1"/>
  <c r="BB158" i="5" s="1"/>
  <c r="BB157" i="5" s="1"/>
  <c r="BB156" i="5" s="1"/>
  <c r="BB155" i="5" s="1"/>
  <c r="BB154" i="5" s="1"/>
  <c r="BB153" i="5" s="1"/>
  <c r="BB152" i="5" s="1"/>
  <c r="BB151" i="5" s="1"/>
  <c r="BB150" i="5" s="1"/>
  <c r="BB149" i="5" s="1"/>
  <c r="BB148" i="5" s="1"/>
  <c r="BB147" i="5" s="1"/>
  <c r="BB146" i="5" s="1"/>
  <c r="BB145" i="5" s="1"/>
  <c r="BB144" i="5" s="1"/>
  <c r="BB143" i="5" s="1"/>
  <c r="BB142" i="5" s="1"/>
  <c r="BB141" i="5" s="1"/>
  <c r="BB140" i="5" s="1"/>
  <c r="BB139" i="5" s="1"/>
  <c r="BB138" i="5" s="1"/>
  <c r="BB137" i="5" s="1"/>
  <c r="BB136" i="5" s="1"/>
  <c r="BB135" i="5" s="1"/>
  <c r="BB134" i="5" s="1"/>
  <c r="BB133" i="5" s="1"/>
  <c r="BB132" i="5" s="1"/>
  <c r="BB131" i="5" s="1"/>
  <c r="BB130" i="5" s="1"/>
  <c r="BB129" i="5" s="1"/>
  <c r="BB128" i="5" s="1"/>
  <c r="BB127" i="5" s="1"/>
  <c r="BB126" i="5" s="1"/>
  <c r="BB125" i="5" s="1"/>
  <c r="BB124" i="5" s="1"/>
  <c r="BB123" i="5" s="1"/>
  <c r="BB122" i="5" s="1"/>
  <c r="BB121" i="5" s="1"/>
  <c r="BB120" i="5" s="1"/>
  <c r="BB119" i="5" s="1"/>
  <c r="BB118" i="5" s="1"/>
  <c r="BB117" i="5" s="1"/>
  <c r="BB116" i="5" s="1"/>
  <c r="BB115" i="5" s="1"/>
  <c r="BB114" i="5" s="1"/>
  <c r="BB113" i="5" s="1"/>
  <c r="BB112" i="5" s="1"/>
  <c r="BC213" i="5"/>
  <c r="BC212" i="5" s="1"/>
  <c r="BC211" i="5" s="1"/>
  <c r="BC210" i="5" s="1"/>
  <c r="BC209" i="5" s="1"/>
  <c r="BC208" i="5" s="1"/>
  <c r="BC207" i="5" s="1"/>
  <c r="BC206" i="5" s="1"/>
  <c r="BC205" i="5" s="1"/>
  <c r="BC204" i="5" s="1"/>
  <c r="BC203" i="5" s="1"/>
  <c r="BC202" i="5" s="1"/>
  <c r="BC201" i="5" s="1"/>
  <c r="BC200" i="5" s="1"/>
  <c r="BC199" i="5" s="1"/>
  <c r="BC198" i="5" s="1"/>
  <c r="BC197" i="5" s="1"/>
  <c r="BC196" i="5" s="1"/>
  <c r="BC195" i="5" s="1"/>
  <c r="BC194" i="5" s="1"/>
  <c r="BC193" i="5" s="1"/>
  <c r="BC192" i="5" s="1"/>
  <c r="BC191" i="5" s="1"/>
  <c r="BC190" i="5" s="1"/>
  <c r="BC189" i="5" s="1"/>
  <c r="BC188" i="5" s="1"/>
  <c r="BC187" i="5" s="1"/>
  <c r="BC186" i="5" s="1"/>
  <c r="BC185" i="5" s="1"/>
  <c r="BC184" i="5" s="1"/>
  <c r="BC183" i="5" s="1"/>
  <c r="BC182" i="5" s="1"/>
  <c r="BC181" i="5" s="1"/>
  <c r="BC180" i="5" s="1"/>
  <c r="BC179" i="5" s="1"/>
  <c r="BC178" i="5" s="1"/>
  <c r="BC177" i="5" s="1"/>
  <c r="BC176" i="5" s="1"/>
  <c r="BC175" i="5" s="1"/>
  <c r="BC174" i="5" s="1"/>
  <c r="BC173" i="5" s="1"/>
  <c r="BC172" i="5" s="1"/>
  <c r="BC171" i="5" s="1"/>
  <c r="BC170" i="5" s="1"/>
  <c r="BC169" i="5" s="1"/>
  <c r="BC168" i="5" s="1"/>
  <c r="BC167" i="5" s="1"/>
  <c r="BC166" i="5" s="1"/>
  <c r="BC165" i="5" s="1"/>
  <c r="BC164" i="5" s="1"/>
  <c r="BC163" i="5" s="1"/>
  <c r="BC162" i="5" s="1"/>
  <c r="BC161" i="5" s="1"/>
  <c r="BC160" i="5" s="1"/>
  <c r="BC159" i="5" s="1"/>
  <c r="BC158" i="5" s="1"/>
  <c r="BC157" i="5" s="1"/>
  <c r="BC156" i="5" s="1"/>
  <c r="BC155" i="5" s="1"/>
  <c r="BC154" i="5" s="1"/>
  <c r="BC153" i="5" s="1"/>
  <c r="BC152" i="5" s="1"/>
  <c r="BC151" i="5" s="1"/>
  <c r="BC150" i="5" s="1"/>
  <c r="BC149" i="5" s="1"/>
  <c r="BC148" i="5" s="1"/>
  <c r="BC147" i="5" s="1"/>
  <c r="BC146" i="5" s="1"/>
  <c r="BC145" i="5" s="1"/>
  <c r="BC144" i="5" s="1"/>
  <c r="BC143" i="5" s="1"/>
  <c r="BC142" i="5" s="1"/>
  <c r="BC141" i="5" s="1"/>
  <c r="BC140" i="5" s="1"/>
  <c r="BC139" i="5" s="1"/>
  <c r="BC138" i="5" s="1"/>
  <c r="BC137" i="5" s="1"/>
  <c r="BC136" i="5" s="1"/>
  <c r="BC135" i="5" s="1"/>
  <c r="BC134" i="5" s="1"/>
  <c r="BC133" i="5" s="1"/>
  <c r="BC132" i="5" s="1"/>
  <c r="BC131" i="5" s="1"/>
  <c r="BC130" i="5" s="1"/>
  <c r="BC129" i="5" s="1"/>
  <c r="BC128" i="5" s="1"/>
  <c r="BC127" i="5" s="1"/>
  <c r="BC126" i="5" s="1"/>
  <c r="BC125" i="5" s="1"/>
  <c r="BC124" i="5" s="1"/>
  <c r="BC123" i="5" s="1"/>
  <c r="BC122" i="5" s="1"/>
  <c r="BC121" i="5" s="1"/>
  <c r="BC120" i="5" s="1"/>
  <c r="BC119" i="5" s="1"/>
  <c r="BC118" i="5" s="1"/>
  <c r="BC117" i="5" s="1"/>
  <c r="BC116" i="5" s="1"/>
  <c r="BC115" i="5" s="1"/>
  <c r="BC114" i="5" s="1"/>
  <c r="BC113" i="5" s="1"/>
  <c r="BC112" i="5" s="1"/>
  <c r="BD213" i="5"/>
  <c r="BD212" i="5" s="1"/>
  <c r="BD211" i="5" s="1"/>
  <c r="BD210" i="5" s="1"/>
  <c r="BD209" i="5" s="1"/>
  <c r="BD208" i="5" s="1"/>
  <c r="BD207" i="5" s="1"/>
  <c r="BD206" i="5" s="1"/>
  <c r="BD205" i="5" s="1"/>
  <c r="BD204" i="5" s="1"/>
  <c r="BD203" i="5" s="1"/>
  <c r="BD202" i="5" s="1"/>
  <c r="BD201" i="5" s="1"/>
  <c r="BD200" i="5" s="1"/>
  <c r="BD199" i="5" s="1"/>
  <c r="BD198" i="5" s="1"/>
  <c r="BD197" i="5" s="1"/>
  <c r="BD196" i="5" s="1"/>
  <c r="BD195" i="5" s="1"/>
  <c r="BD194" i="5" s="1"/>
  <c r="BD193" i="5" s="1"/>
  <c r="BD192" i="5" s="1"/>
  <c r="BD191" i="5" s="1"/>
  <c r="BD190" i="5" s="1"/>
  <c r="BD189" i="5" s="1"/>
  <c r="BD188" i="5" s="1"/>
  <c r="BD187" i="5" s="1"/>
  <c r="BD186" i="5" s="1"/>
  <c r="BD185" i="5" s="1"/>
  <c r="BD184" i="5" s="1"/>
  <c r="BD183" i="5" s="1"/>
  <c r="BD182" i="5" s="1"/>
  <c r="BD181" i="5" s="1"/>
  <c r="BD180" i="5" s="1"/>
  <c r="BD179" i="5" s="1"/>
  <c r="BD178" i="5" s="1"/>
  <c r="BD177" i="5" s="1"/>
  <c r="BD176" i="5" s="1"/>
  <c r="BD175" i="5" s="1"/>
  <c r="BD174" i="5" s="1"/>
  <c r="BD173" i="5" s="1"/>
  <c r="BD172" i="5" s="1"/>
  <c r="BD171" i="5" s="1"/>
  <c r="BD170" i="5" s="1"/>
  <c r="BD169" i="5" s="1"/>
  <c r="BD168" i="5" s="1"/>
  <c r="BD167" i="5" s="1"/>
  <c r="BD166" i="5" s="1"/>
  <c r="BD165" i="5" s="1"/>
  <c r="BD164" i="5" s="1"/>
  <c r="BD163" i="5" s="1"/>
  <c r="BD162" i="5" s="1"/>
  <c r="BD161" i="5" s="1"/>
  <c r="BD160" i="5" s="1"/>
  <c r="BD159" i="5" s="1"/>
  <c r="BD158" i="5" s="1"/>
  <c r="BD157" i="5" s="1"/>
  <c r="BD156" i="5" s="1"/>
  <c r="BD155" i="5" s="1"/>
  <c r="BD154" i="5" s="1"/>
  <c r="BD153" i="5" s="1"/>
  <c r="BD152" i="5" s="1"/>
  <c r="BD151" i="5" s="1"/>
  <c r="BD150" i="5" s="1"/>
  <c r="BD149" i="5" s="1"/>
  <c r="BD148" i="5" s="1"/>
  <c r="BD147" i="5" s="1"/>
  <c r="BD146" i="5" s="1"/>
  <c r="BD145" i="5" s="1"/>
  <c r="BD144" i="5" s="1"/>
  <c r="BD143" i="5" s="1"/>
  <c r="BD142" i="5" s="1"/>
  <c r="BD141" i="5" s="1"/>
  <c r="BD140" i="5" s="1"/>
  <c r="BD139" i="5" s="1"/>
  <c r="BD138" i="5" s="1"/>
  <c r="BD137" i="5" s="1"/>
  <c r="BD136" i="5" s="1"/>
  <c r="BD135" i="5" s="1"/>
  <c r="BD134" i="5" s="1"/>
  <c r="BD133" i="5" s="1"/>
  <c r="BD132" i="5" s="1"/>
  <c r="BD131" i="5" s="1"/>
  <c r="BD130" i="5" s="1"/>
  <c r="BD129" i="5" s="1"/>
  <c r="BD128" i="5" s="1"/>
  <c r="BD127" i="5" s="1"/>
  <c r="BD126" i="5" s="1"/>
  <c r="BD125" i="5" s="1"/>
  <c r="BD124" i="5" s="1"/>
  <c r="BD123" i="5" s="1"/>
  <c r="BD122" i="5" s="1"/>
  <c r="BD121" i="5" s="1"/>
  <c r="BD120" i="5" s="1"/>
  <c r="BD119" i="5" s="1"/>
  <c r="BD118" i="5" s="1"/>
  <c r="BD117" i="5" s="1"/>
  <c r="BD116" i="5" s="1"/>
  <c r="BD115" i="5" s="1"/>
  <c r="BD114" i="5" s="1"/>
  <c r="BD113" i="5" s="1"/>
  <c r="BD112" i="5" s="1"/>
  <c r="BE213" i="5"/>
  <c r="BE212" i="5" s="1"/>
  <c r="BE211" i="5" s="1"/>
  <c r="BE210" i="5" s="1"/>
  <c r="BE209" i="5" s="1"/>
  <c r="BE208" i="5" s="1"/>
  <c r="BE207" i="5" s="1"/>
  <c r="BE206" i="5" s="1"/>
  <c r="BE205" i="5" s="1"/>
  <c r="BE204" i="5" s="1"/>
  <c r="BE203" i="5" s="1"/>
  <c r="BE202" i="5" s="1"/>
  <c r="BE201" i="5" s="1"/>
  <c r="BE200" i="5" s="1"/>
  <c r="BE199" i="5" s="1"/>
  <c r="BE198" i="5" s="1"/>
  <c r="BE197" i="5" s="1"/>
  <c r="BE196" i="5" s="1"/>
  <c r="BE195" i="5" s="1"/>
  <c r="BE194" i="5" s="1"/>
  <c r="BE193" i="5" s="1"/>
  <c r="BE192" i="5" s="1"/>
  <c r="BE191" i="5" s="1"/>
  <c r="BE190" i="5" s="1"/>
  <c r="BE189" i="5" s="1"/>
  <c r="BE188" i="5" s="1"/>
  <c r="BE187" i="5" s="1"/>
  <c r="BE186" i="5" s="1"/>
  <c r="BE185" i="5" s="1"/>
  <c r="BE184" i="5" s="1"/>
  <c r="BE183" i="5" s="1"/>
  <c r="BE182" i="5" s="1"/>
  <c r="BE181" i="5" s="1"/>
  <c r="BE180" i="5" s="1"/>
  <c r="BE179" i="5" s="1"/>
  <c r="BE178" i="5" s="1"/>
  <c r="BE177" i="5" s="1"/>
  <c r="BE176" i="5" s="1"/>
  <c r="BE175" i="5" s="1"/>
  <c r="BE174" i="5" s="1"/>
  <c r="BE173" i="5" s="1"/>
  <c r="BE172" i="5" s="1"/>
  <c r="BE171" i="5" s="1"/>
  <c r="BE170" i="5" s="1"/>
  <c r="BE169" i="5" s="1"/>
  <c r="BE168" i="5" s="1"/>
  <c r="BE167" i="5" s="1"/>
  <c r="BE166" i="5" s="1"/>
  <c r="BE165" i="5" s="1"/>
  <c r="BE164" i="5" s="1"/>
  <c r="BE163" i="5" s="1"/>
  <c r="BE162" i="5" s="1"/>
  <c r="BE161" i="5" s="1"/>
  <c r="BE160" i="5" s="1"/>
  <c r="BE159" i="5" s="1"/>
  <c r="BE158" i="5" s="1"/>
  <c r="BE157" i="5" s="1"/>
  <c r="BE156" i="5" s="1"/>
  <c r="BE155" i="5" s="1"/>
  <c r="BE154" i="5" s="1"/>
  <c r="BE153" i="5" s="1"/>
  <c r="BE152" i="5" s="1"/>
  <c r="BE151" i="5" s="1"/>
  <c r="BE150" i="5" s="1"/>
  <c r="BE149" i="5" s="1"/>
  <c r="BE148" i="5" s="1"/>
  <c r="BE147" i="5" s="1"/>
  <c r="BE146" i="5" s="1"/>
  <c r="BE145" i="5" s="1"/>
  <c r="BE144" i="5" s="1"/>
  <c r="BE143" i="5" s="1"/>
  <c r="BE142" i="5" s="1"/>
  <c r="BE141" i="5" s="1"/>
  <c r="BE140" i="5" s="1"/>
  <c r="BE139" i="5" s="1"/>
  <c r="BE138" i="5" s="1"/>
  <c r="BE137" i="5" s="1"/>
  <c r="BE136" i="5" s="1"/>
  <c r="BE135" i="5" s="1"/>
  <c r="BE134" i="5" s="1"/>
  <c r="BE133" i="5" s="1"/>
  <c r="BE132" i="5" s="1"/>
  <c r="BE131" i="5" s="1"/>
  <c r="BE130" i="5" s="1"/>
  <c r="BE129" i="5" s="1"/>
  <c r="BE128" i="5" s="1"/>
  <c r="BE127" i="5" s="1"/>
  <c r="BE126" i="5" s="1"/>
  <c r="BE125" i="5" s="1"/>
  <c r="BE124" i="5" s="1"/>
  <c r="BE123" i="5" s="1"/>
  <c r="BE122" i="5" s="1"/>
  <c r="BE121" i="5" s="1"/>
  <c r="BE120" i="5" s="1"/>
  <c r="BE119" i="5" s="1"/>
  <c r="BE118" i="5" s="1"/>
  <c r="BE117" i="5" s="1"/>
  <c r="BE116" i="5" s="1"/>
  <c r="BE115" i="5" s="1"/>
  <c r="BE114" i="5" s="1"/>
  <c r="BE113" i="5" s="1"/>
  <c r="BE112" i="5" s="1"/>
  <c r="BF213" i="5"/>
  <c r="BF212" i="5" s="1"/>
  <c r="BF211" i="5" s="1"/>
  <c r="BF210" i="5" s="1"/>
  <c r="BF209" i="5" s="1"/>
  <c r="BF208" i="5" s="1"/>
  <c r="BF207" i="5" s="1"/>
  <c r="BF206" i="5" s="1"/>
  <c r="BF205" i="5" s="1"/>
  <c r="BF204" i="5" s="1"/>
  <c r="BF203" i="5" s="1"/>
  <c r="BF202" i="5" s="1"/>
  <c r="BF201" i="5" s="1"/>
  <c r="BF200" i="5" s="1"/>
  <c r="BF199" i="5" s="1"/>
  <c r="BF198" i="5" s="1"/>
  <c r="BF197" i="5" s="1"/>
  <c r="BF196" i="5" s="1"/>
  <c r="BF195" i="5" s="1"/>
  <c r="BF194" i="5" s="1"/>
  <c r="BF193" i="5" s="1"/>
  <c r="BF192" i="5" s="1"/>
  <c r="BF191" i="5" s="1"/>
  <c r="BF190" i="5" s="1"/>
  <c r="BF189" i="5" s="1"/>
  <c r="BF188" i="5" s="1"/>
  <c r="BF187" i="5" s="1"/>
  <c r="BF186" i="5" s="1"/>
  <c r="BF185" i="5" s="1"/>
  <c r="BF184" i="5" s="1"/>
  <c r="BF183" i="5" s="1"/>
  <c r="BF182" i="5" s="1"/>
  <c r="BF181" i="5" s="1"/>
  <c r="BF180" i="5" s="1"/>
  <c r="BF179" i="5" s="1"/>
  <c r="BF178" i="5" s="1"/>
  <c r="BF177" i="5" s="1"/>
  <c r="BF176" i="5" s="1"/>
  <c r="BF175" i="5" s="1"/>
  <c r="BF174" i="5" s="1"/>
  <c r="BF173" i="5" s="1"/>
  <c r="BF172" i="5" s="1"/>
  <c r="BF171" i="5" s="1"/>
  <c r="BF170" i="5" s="1"/>
  <c r="BF169" i="5" s="1"/>
  <c r="BF168" i="5" s="1"/>
  <c r="BF167" i="5" s="1"/>
  <c r="BF166" i="5" s="1"/>
  <c r="BF165" i="5" s="1"/>
  <c r="BF164" i="5" s="1"/>
  <c r="BF163" i="5" s="1"/>
  <c r="BF162" i="5" s="1"/>
  <c r="BF161" i="5" s="1"/>
  <c r="BF160" i="5" s="1"/>
  <c r="BF159" i="5" s="1"/>
  <c r="BF158" i="5" s="1"/>
  <c r="BF157" i="5" s="1"/>
  <c r="BF156" i="5" s="1"/>
  <c r="BF155" i="5" s="1"/>
  <c r="BF154" i="5" s="1"/>
  <c r="BF153" i="5" s="1"/>
  <c r="BF152" i="5" s="1"/>
  <c r="BF151" i="5" s="1"/>
  <c r="BF150" i="5" s="1"/>
  <c r="BF149" i="5" s="1"/>
  <c r="BF148" i="5" s="1"/>
  <c r="BF147" i="5" s="1"/>
  <c r="BF146" i="5" s="1"/>
  <c r="BF145" i="5" s="1"/>
  <c r="BF144" i="5" s="1"/>
  <c r="BF143" i="5" s="1"/>
  <c r="BF142" i="5" s="1"/>
  <c r="BF141" i="5" s="1"/>
  <c r="BF140" i="5" s="1"/>
  <c r="BF139" i="5" s="1"/>
  <c r="BF138" i="5" s="1"/>
  <c r="BF137" i="5" s="1"/>
  <c r="BF136" i="5" s="1"/>
  <c r="BF135" i="5" s="1"/>
  <c r="BF134" i="5" s="1"/>
  <c r="BF133" i="5" s="1"/>
  <c r="BF132" i="5" s="1"/>
  <c r="BF131" i="5" s="1"/>
  <c r="BF130" i="5" s="1"/>
  <c r="BF129" i="5" s="1"/>
  <c r="BF128" i="5" s="1"/>
  <c r="BF127" i="5" s="1"/>
  <c r="BF126" i="5" s="1"/>
  <c r="BF125" i="5" s="1"/>
  <c r="BF124" i="5" s="1"/>
  <c r="BF123" i="5" s="1"/>
  <c r="BF122" i="5" s="1"/>
  <c r="BF121" i="5" s="1"/>
  <c r="BF120" i="5" s="1"/>
  <c r="BF119" i="5" s="1"/>
  <c r="BF118" i="5" s="1"/>
  <c r="BF117" i="5" s="1"/>
  <c r="BF116" i="5" s="1"/>
  <c r="BF115" i="5" s="1"/>
  <c r="BF114" i="5" s="1"/>
  <c r="BF113" i="5" s="1"/>
  <c r="BF112" i="5" s="1"/>
  <c r="BG213" i="5"/>
  <c r="BG212" i="5" s="1"/>
  <c r="BG211" i="5" s="1"/>
  <c r="BG210" i="5" s="1"/>
  <c r="BG209" i="5" s="1"/>
  <c r="BG208" i="5" s="1"/>
  <c r="BG207" i="5" s="1"/>
  <c r="BG206" i="5" s="1"/>
  <c r="BG205" i="5" s="1"/>
  <c r="BG204" i="5" s="1"/>
  <c r="BG203" i="5" s="1"/>
  <c r="BG202" i="5" s="1"/>
  <c r="BG201" i="5" s="1"/>
  <c r="BG200" i="5" s="1"/>
  <c r="BG199" i="5" s="1"/>
  <c r="BG198" i="5" s="1"/>
  <c r="BG197" i="5" s="1"/>
  <c r="BG196" i="5" s="1"/>
  <c r="BG195" i="5" s="1"/>
  <c r="BG194" i="5" s="1"/>
  <c r="BG193" i="5" s="1"/>
  <c r="BG192" i="5" s="1"/>
  <c r="BG191" i="5" s="1"/>
  <c r="BG190" i="5" s="1"/>
  <c r="BG189" i="5" s="1"/>
  <c r="BG188" i="5" s="1"/>
  <c r="BG187" i="5" s="1"/>
  <c r="BG186" i="5" s="1"/>
  <c r="BG185" i="5" s="1"/>
  <c r="BG184" i="5" s="1"/>
  <c r="BG183" i="5" s="1"/>
  <c r="BG182" i="5" s="1"/>
  <c r="BG181" i="5" s="1"/>
  <c r="BG180" i="5" s="1"/>
  <c r="BG179" i="5" s="1"/>
  <c r="BG178" i="5" s="1"/>
  <c r="BG177" i="5" s="1"/>
  <c r="BG176" i="5" s="1"/>
  <c r="BG175" i="5" s="1"/>
  <c r="BG174" i="5" s="1"/>
  <c r="BG173" i="5" s="1"/>
  <c r="BG172" i="5" s="1"/>
  <c r="BG171" i="5" s="1"/>
  <c r="BG170" i="5" s="1"/>
  <c r="BG169" i="5" s="1"/>
  <c r="BG168" i="5" s="1"/>
  <c r="BG167" i="5" s="1"/>
  <c r="BG166" i="5" s="1"/>
  <c r="BG165" i="5" s="1"/>
  <c r="BG164" i="5" s="1"/>
  <c r="BG163" i="5" s="1"/>
  <c r="BG162" i="5" s="1"/>
  <c r="BG161" i="5" s="1"/>
  <c r="BG160" i="5" s="1"/>
  <c r="BG159" i="5" s="1"/>
  <c r="BG158" i="5" s="1"/>
  <c r="BG157" i="5" s="1"/>
  <c r="BG156" i="5" s="1"/>
  <c r="BG155" i="5" s="1"/>
  <c r="BG154" i="5" s="1"/>
  <c r="BG153" i="5" s="1"/>
  <c r="BG152" i="5" s="1"/>
  <c r="BG151" i="5" s="1"/>
  <c r="BG150" i="5" s="1"/>
  <c r="BG149" i="5" s="1"/>
  <c r="BG148" i="5" s="1"/>
  <c r="BG147" i="5" s="1"/>
  <c r="BG146" i="5" s="1"/>
  <c r="BG145" i="5" s="1"/>
  <c r="BG144" i="5" s="1"/>
  <c r="BG143" i="5" s="1"/>
  <c r="BG142" i="5" s="1"/>
  <c r="BG141" i="5" s="1"/>
  <c r="BG140" i="5" s="1"/>
  <c r="BG139" i="5" s="1"/>
  <c r="BG138" i="5" s="1"/>
  <c r="BG137" i="5" s="1"/>
  <c r="BG136" i="5" s="1"/>
  <c r="BG135" i="5" s="1"/>
  <c r="BG134" i="5" s="1"/>
  <c r="BG133" i="5" s="1"/>
  <c r="BG132" i="5" s="1"/>
  <c r="BG131" i="5" s="1"/>
  <c r="BG130" i="5" s="1"/>
  <c r="BG129" i="5" s="1"/>
  <c r="BG128" i="5" s="1"/>
  <c r="BG127" i="5" s="1"/>
  <c r="BG126" i="5" s="1"/>
  <c r="BG125" i="5" s="1"/>
  <c r="BG124" i="5" s="1"/>
  <c r="BG123" i="5" s="1"/>
  <c r="BG122" i="5" s="1"/>
  <c r="BG121" i="5" s="1"/>
  <c r="BG120" i="5" s="1"/>
  <c r="BG119" i="5" s="1"/>
  <c r="BG118" i="5" s="1"/>
  <c r="BG117" i="5" s="1"/>
  <c r="BG116" i="5" s="1"/>
  <c r="BG115" i="5" s="1"/>
  <c r="BG114" i="5" s="1"/>
  <c r="BG113" i="5" s="1"/>
  <c r="BG112" i="5" s="1"/>
  <c r="BH213" i="5"/>
  <c r="BH212" i="5" s="1"/>
  <c r="BH211" i="5" s="1"/>
  <c r="BH210" i="5" s="1"/>
  <c r="BH209" i="5" s="1"/>
  <c r="BH208" i="5" s="1"/>
  <c r="BH207" i="5" s="1"/>
  <c r="BH206" i="5" s="1"/>
  <c r="BH205" i="5" s="1"/>
  <c r="BH204" i="5" s="1"/>
  <c r="BH203" i="5" s="1"/>
  <c r="BH202" i="5" s="1"/>
  <c r="BH201" i="5" s="1"/>
  <c r="BH200" i="5" s="1"/>
  <c r="BH199" i="5" s="1"/>
  <c r="BH198" i="5" s="1"/>
  <c r="BH197" i="5" s="1"/>
  <c r="BH196" i="5" s="1"/>
  <c r="BH195" i="5" s="1"/>
  <c r="BH194" i="5" s="1"/>
  <c r="BH193" i="5" s="1"/>
  <c r="BH192" i="5" s="1"/>
  <c r="BH191" i="5" s="1"/>
  <c r="BH190" i="5" s="1"/>
  <c r="BH189" i="5" s="1"/>
  <c r="BH188" i="5" s="1"/>
  <c r="BH187" i="5" s="1"/>
  <c r="BH186" i="5" s="1"/>
  <c r="BH185" i="5" s="1"/>
  <c r="BH184" i="5" s="1"/>
  <c r="BH183" i="5" s="1"/>
  <c r="BH182" i="5" s="1"/>
  <c r="BH181" i="5" s="1"/>
  <c r="BH180" i="5" s="1"/>
  <c r="BH179" i="5" s="1"/>
  <c r="BH178" i="5" s="1"/>
  <c r="BH177" i="5" s="1"/>
  <c r="BH176" i="5" s="1"/>
  <c r="BH175" i="5" s="1"/>
  <c r="BH174" i="5" s="1"/>
  <c r="BH173" i="5" s="1"/>
  <c r="BH172" i="5" s="1"/>
  <c r="BH171" i="5" s="1"/>
  <c r="BH170" i="5" s="1"/>
  <c r="BH169" i="5" s="1"/>
  <c r="BH168" i="5" s="1"/>
  <c r="BH167" i="5" s="1"/>
  <c r="BH166" i="5" s="1"/>
  <c r="BH165" i="5" s="1"/>
  <c r="BH164" i="5" s="1"/>
  <c r="BH163" i="5" s="1"/>
  <c r="BH162" i="5" s="1"/>
  <c r="BH161" i="5" s="1"/>
  <c r="BH160" i="5" s="1"/>
  <c r="BH159" i="5" s="1"/>
  <c r="BH158" i="5" s="1"/>
  <c r="BH157" i="5" s="1"/>
  <c r="BH156" i="5" s="1"/>
  <c r="BH155" i="5" s="1"/>
  <c r="BH154" i="5" s="1"/>
  <c r="BH153" i="5" s="1"/>
  <c r="BH152" i="5" s="1"/>
  <c r="BH151" i="5" s="1"/>
  <c r="BH150" i="5" s="1"/>
  <c r="BH149" i="5" s="1"/>
  <c r="BH148" i="5" s="1"/>
  <c r="BH147" i="5" s="1"/>
  <c r="BH146" i="5" s="1"/>
  <c r="BH145" i="5" s="1"/>
  <c r="BH144" i="5" s="1"/>
  <c r="BH143" i="5" s="1"/>
  <c r="BH142" i="5" s="1"/>
  <c r="BH141" i="5" s="1"/>
  <c r="BH140" i="5" s="1"/>
  <c r="BH139" i="5" s="1"/>
  <c r="BH138" i="5" s="1"/>
  <c r="BH137" i="5" s="1"/>
  <c r="BH136" i="5" s="1"/>
  <c r="BH135" i="5" s="1"/>
  <c r="BH134" i="5" s="1"/>
  <c r="BH133" i="5" s="1"/>
  <c r="BH132" i="5" s="1"/>
  <c r="BH131" i="5" s="1"/>
  <c r="BH130" i="5" s="1"/>
  <c r="BH129" i="5" s="1"/>
  <c r="BH128" i="5" s="1"/>
  <c r="BH127" i="5" s="1"/>
  <c r="BH126" i="5" s="1"/>
  <c r="BH125" i="5" s="1"/>
  <c r="BH124" i="5" s="1"/>
  <c r="BH123" i="5" s="1"/>
  <c r="BH122" i="5" s="1"/>
  <c r="BH121" i="5" s="1"/>
  <c r="BH120" i="5" s="1"/>
  <c r="BH119" i="5" s="1"/>
  <c r="BH118" i="5" s="1"/>
  <c r="BH117" i="5" s="1"/>
  <c r="BH116" i="5" s="1"/>
  <c r="BH115" i="5" s="1"/>
  <c r="BH114" i="5" s="1"/>
  <c r="BH113" i="5" s="1"/>
  <c r="BH112" i="5" s="1"/>
  <c r="BI213" i="5"/>
  <c r="BI212" i="5" s="1"/>
  <c r="BI211" i="5" s="1"/>
  <c r="BI210" i="5" s="1"/>
  <c r="BI209" i="5" s="1"/>
  <c r="BI208" i="5" s="1"/>
  <c r="BI207" i="5" s="1"/>
  <c r="BI206" i="5" s="1"/>
  <c r="BI205" i="5" s="1"/>
  <c r="BI204" i="5" s="1"/>
  <c r="BI203" i="5" s="1"/>
  <c r="BI202" i="5" s="1"/>
  <c r="BI201" i="5" s="1"/>
  <c r="BI200" i="5" s="1"/>
  <c r="BI199" i="5" s="1"/>
  <c r="BI198" i="5" s="1"/>
  <c r="BI197" i="5" s="1"/>
  <c r="BI196" i="5" s="1"/>
  <c r="BI195" i="5" s="1"/>
  <c r="BI194" i="5" s="1"/>
  <c r="BI193" i="5" s="1"/>
  <c r="BI192" i="5" s="1"/>
  <c r="BI191" i="5" s="1"/>
  <c r="BI190" i="5" s="1"/>
  <c r="BI189" i="5" s="1"/>
  <c r="BI188" i="5" s="1"/>
  <c r="BI187" i="5" s="1"/>
  <c r="BI186" i="5" s="1"/>
  <c r="BI185" i="5" s="1"/>
  <c r="BI184" i="5" s="1"/>
  <c r="BI183" i="5" s="1"/>
  <c r="BI182" i="5" s="1"/>
  <c r="BI181" i="5" s="1"/>
  <c r="BI180" i="5" s="1"/>
  <c r="BI179" i="5" s="1"/>
  <c r="BI178" i="5" s="1"/>
  <c r="BI177" i="5" s="1"/>
  <c r="BI176" i="5" s="1"/>
  <c r="BI175" i="5" s="1"/>
  <c r="BI174" i="5" s="1"/>
  <c r="BI173" i="5" s="1"/>
  <c r="BI172" i="5" s="1"/>
  <c r="BI171" i="5" s="1"/>
  <c r="BI170" i="5" s="1"/>
  <c r="BI169" i="5" s="1"/>
  <c r="BI168" i="5" s="1"/>
  <c r="BI167" i="5" s="1"/>
  <c r="BI166" i="5" s="1"/>
  <c r="BI165" i="5" s="1"/>
  <c r="BI164" i="5" s="1"/>
  <c r="BI163" i="5" s="1"/>
  <c r="BI162" i="5" s="1"/>
  <c r="BI161" i="5" s="1"/>
  <c r="BI160" i="5" s="1"/>
  <c r="BI159" i="5" s="1"/>
  <c r="BI158" i="5" s="1"/>
  <c r="BI157" i="5" s="1"/>
  <c r="BI156" i="5" s="1"/>
  <c r="BI155" i="5" s="1"/>
  <c r="BI154" i="5" s="1"/>
  <c r="BI153" i="5" s="1"/>
  <c r="BI152" i="5" s="1"/>
  <c r="BI151" i="5" s="1"/>
  <c r="BI150" i="5" s="1"/>
  <c r="BI149" i="5" s="1"/>
  <c r="BI148" i="5" s="1"/>
  <c r="BI147" i="5" s="1"/>
  <c r="BI146" i="5" s="1"/>
  <c r="BI145" i="5" s="1"/>
  <c r="BI144" i="5" s="1"/>
  <c r="BI143" i="5" s="1"/>
  <c r="BI142" i="5" s="1"/>
  <c r="BI141" i="5" s="1"/>
  <c r="BI140" i="5" s="1"/>
  <c r="BI139" i="5" s="1"/>
  <c r="BI138" i="5" s="1"/>
  <c r="BI137" i="5" s="1"/>
  <c r="BI136" i="5" s="1"/>
  <c r="BI135" i="5" s="1"/>
  <c r="BI134" i="5" s="1"/>
  <c r="BI133" i="5" s="1"/>
  <c r="BI132" i="5" s="1"/>
  <c r="BI131" i="5" s="1"/>
  <c r="BI130" i="5" s="1"/>
  <c r="BI129" i="5" s="1"/>
  <c r="BI128" i="5" s="1"/>
  <c r="BI127" i="5" s="1"/>
  <c r="BI126" i="5" s="1"/>
  <c r="BI125" i="5" s="1"/>
  <c r="BI124" i="5" s="1"/>
  <c r="BI123" i="5" s="1"/>
  <c r="BI122" i="5" s="1"/>
  <c r="BI121" i="5" s="1"/>
  <c r="BI120" i="5" s="1"/>
  <c r="BI119" i="5" s="1"/>
  <c r="BI118" i="5" s="1"/>
  <c r="BI117" i="5" s="1"/>
  <c r="BI116" i="5" s="1"/>
  <c r="BI115" i="5" s="1"/>
  <c r="BI114" i="5" s="1"/>
  <c r="BI113" i="5" s="1"/>
  <c r="BI112" i="5" s="1"/>
  <c r="BJ213" i="5"/>
  <c r="BJ212" i="5" s="1"/>
  <c r="BJ211" i="5" s="1"/>
  <c r="BJ210" i="5" s="1"/>
  <c r="BJ209" i="5" s="1"/>
  <c r="BJ208" i="5" s="1"/>
  <c r="BJ207" i="5" s="1"/>
  <c r="BJ206" i="5" s="1"/>
  <c r="BJ205" i="5" s="1"/>
  <c r="BJ204" i="5" s="1"/>
  <c r="BJ203" i="5" s="1"/>
  <c r="BJ202" i="5" s="1"/>
  <c r="BJ201" i="5" s="1"/>
  <c r="BJ200" i="5" s="1"/>
  <c r="BJ199" i="5" s="1"/>
  <c r="BJ198" i="5" s="1"/>
  <c r="BJ197" i="5" s="1"/>
  <c r="BJ196" i="5" s="1"/>
  <c r="BJ195" i="5" s="1"/>
  <c r="BJ194" i="5" s="1"/>
  <c r="BJ193" i="5" s="1"/>
  <c r="BJ192" i="5" s="1"/>
  <c r="BJ191" i="5" s="1"/>
  <c r="BJ190" i="5" s="1"/>
  <c r="BJ189" i="5" s="1"/>
  <c r="BJ188" i="5" s="1"/>
  <c r="BJ187" i="5" s="1"/>
  <c r="BJ186" i="5" s="1"/>
  <c r="BJ185" i="5" s="1"/>
  <c r="BJ184" i="5" s="1"/>
  <c r="BJ183" i="5" s="1"/>
  <c r="BJ182" i="5" s="1"/>
  <c r="BJ181" i="5" s="1"/>
  <c r="BJ180" i="5" s="1"/>
  <c r="BJ179" i="5" s="1"/>
  <c r="BJ178" i="5" s="1"/>
  <c r="BJ177" i="5" s="1"/>
  <c r="BJ176" i="5" s="1"/>
  <c r="BJ175" i="5" s="1"/>
  <c r="BJ174" i="5" s="1"/>
  <c r="BJ173" i="5" s="1"/>
  <c r="BJ172" i="5" s="1"/>
  <c r="BJ171" i="5" s="1"/>
  <c r="BJ170" i="5" s="1"/>
  <c r="BJ169" i="5" s="1"/>
  <c r="BJ168" i="5" s="1"/>
  <c r="BJ167" i="5" s="1"/>
  <c r="BJ166" i="5" s="1"/>
  <c r="BJ165" i="5" s="1"/>
  <c r="BJ164" i="5" s="1"/>
  <c r="BJ163" i="5" s="1"/>
  <c r="BJ162" i="5" s="1"/>
  <c r="BJ161" i="5" s="1"/>
  <c r="BJ160" i="5" s="1"/>
  <c r="BJ159" i="5" s="1"/>
  <c r="BJ158" i="5" s="1"/>
  <c r="BJ157" i="5" s="1"/>
  <c r="BJ156" i="5" s="1"/>
  <c r="BJ155" i="5" s="1"/>
  <c r="BJ154" i="5" s="1"/>
  <c r="BJ153" i="5" s="1"/>
  <c r="BJ152" i="5" s="1"/>
  <c r="BJ151" i="5" s="1"/>
  <c r="BJ150" i="5" s="1"/>
  <c r="BJ149" i="5" s="1"/>
  <c r="BJ148" i="5" s="1"/>
  <c r="BJ147" i="5" s="1"/>
  <c r="BJ146" i="5" s="1"/>
  <c r="BJ145" i="5" s="1"/>
  <c r="BJ144" i="5" s="1"/>
  <c r="BJ143" i="5" s="1"/>
  <c r="BJ142" i="5" s="1"/>
  <c r="BJ141" i="5" s="1"/>
  <c r="BJ140" i="5" s="1"/>
  <c r="BJ139" i="5" s="1"/>
  <c r="BJ138" i="5" s="1"/>
  <c r="BJ137" i="5" s="1"/>
  <c r="BJ136" i="5" s="1"/>
  <c r="BJ135" i="5" s="1"/>
  <c r="BJ134" i="5" s="1"/>
  <c r="BJ133" i="5" s="1"/>
  <c r="BJ132" i="5" s="1"/>
  <c r="BJ131" i="5" s="1"/>
  <c r="BJ130" i="5" s="1"/>
  <c r="BJ129" i="5" s="1"/>
  <c r="BJ128" i="5" s="1"/>
  <c r="BJ127" i="5" s="1"/>
  <c r="BJ126" i="5" s="1"/>
  <c r="BJ125" i="5" s="1"/>
  <c r="BJ124" i="5" s="1"/>
  <c r="BJ123" i="5" s="1"/>
  <c r="BJ122" i="5" s="1"/>
  <c r="BJ121" i="5" s="1"/>
  <c r="BJ120" i="5" s="1"/>
  <c r="BJ119" i="5" s="1"/>
  <c r="BJ118" i="5" s="1"/>
  <c r="BJ117" i="5" s="1"/>
  <c r="BJ116" i="5" s="1"/>
  <c r="BJ115" i="5" s="1"/>
  <c r="BJ114" i="5" s="1"/>
  <c r="BJ113" i="5" s="1"/>
  <c r="BJ112" i="5" s="1"/>
  <c r="BK213" i="5"/>
  <c r="BK212" i="5" s="1"/>
  <c r="BK211" i="5" s="1"/>
  <c r="BK210" i="5" s="1"/>
  <c r="BK209" i="5" s="1"/>
  <c r="BK208" i="5" s="1"/>
  <c r="BK207" i="5" s="1"/>
  <c r="BK206" i="5" s="1"/>
  <c r="BK205" i="5" s="1"/>
  <c r="BK204" i="5" s="1"/>
  <c r="BK203" i="5" s="1"/>
  <c r="BK202" i="5" s="1"/>
  <c r="BK201" i="5" s="1"/>
  <c r="BK200" i="5" s="1"/>
  <c r="BK199" i="5" s="1"/>
  <c r="BK198" i="5" s="1"/>
  <c r="BK197" i="5" s="1"/>
  <c r="BK196" i="5" s="1"/>
  <c r="BK195" i="5" s="1"/>
  <c r="BK194" i="5" s="1"/>
  <c r="BK193" i="5" s="1"/>
  <c r="BK192" i="5" s="1"/>
  <c r="BK191" i="5" s="1"/>
  <c r="BK190" i="5" s="1"/>
  <c r="BK189" i="5" s="1"/>
  <c r="BK188" i="5" s="1"/>
  <c r="BK187" i="5" s="1"/>
  <c r="BK186" i="5" s="1"/>
  <c r="BK185" i="5" s="1"/>
  <c r="BK184" i="5" s="1"/>
  <c r="BK183" i="5" s="1"/>
  <c r="BK182" i="5" s="1"/>
  <c r="BK181" i="5" s="1"/>
  <c r="BK180" i="5" s="1"/>
  <c r="BK179" i="5" s="1"/>
  <c r="BK178" i="5" s="1"/>
  <c r="BK177" i="5" s="1"/>
  <c r="BK176" i="5" s="1"/>
  <c r="BK175" i="5" s="1"/>
  <c r="BK174" i="5" s="1"/>
  <c r="BK173" i="5" s="1"/>
  <c r="BK172" i="5" s="1"/>
  <c r="BK171" i="5" s="1"/>
  <c r="BK170" i="5" s="1"/>
  <c r="BK169" i="5" s="1"/>
  <c r="BK168" i="5" s="1"/>
  <c r="BK167" i="5" s="1"/>
  <c r="BK166" i="5" s="1"/>
  <c r="BK165" i="5" s="1"/>
  <c r="BK164" i="5" s="1"/>
  <c r="BK163" i="5" s="1"/>
  <c r="BK162" i="5" s="1"/>
  <c r="BK161" i="5" s="1"/>
  <c r="BK160" i="5" s="1"/>
  <c r="BK159" i="5" s="1"/>
  <c r="BK158" i="5" s="1"/>
  <c r="BK157" i="5" s="1"/>
  <c r="BK156" i="5" s="1"/>
  <c r="BK155" i="5" s="1"/>
  <c r="BK154" i="5" s="1"/>
  <c r="BK153" i="5" s="1"/>
  <c r="BK152" i="5" s="1"/>
  <c r="BK151" i="5" s="1"/>
  <c r="BK150" i="5" s="1"/>
  <c r="BK149" i="5" s="1"/>
  <c r="BK148" i="5" s="1"/>
  <c r="BK147" i="5" s="1"/>
  <c r="BK146" i="5" s="1"/>
  <c r="BK145" i="5" s="1"/>
  <c r="BK144" i="5" s="1"/>
  <c r="BK143" i="5" s="1"/>
  <c r="BK142" i="5" s="1"/>
  <c r="BK141" i="5" s="1"/>
  <c r="BK140" i="5" s="1"/>
  <c r="BK139" i="5" s="1"/>
  <c r="BK138" i="5" s="1"/>
  <c r="BK137" i="5" s="1"/>
  <c r="BK136" i="5" s="1"/>
  <c r="BK135" i="5" s="1"/>
  <c r="BK134" i="5" s="1"/>
  <c r="BK133" i="5" s="1"/>
  <c r="BK132" i="5" s="1"/>
  <c r="BK131" i="5" s="1"/>
  <c r="BK130" i="5" s="1"/>
  <c r="BK129" i="5" s="1"/>
  <c r="BK128" i="5" s="1"/>
  <c r="BK127" i="5" s="1"/>
  <c r="BK126" i="5" s="1"/>
  <c r="BK125" i="5" s="1"/>
  <c r="BK124" i="5" s="1"/>
  <c r="BK123" i="5" s="1"/>
  <c r="BK122" i="5" s="1"/>
  <c r="BK121" i="5" s="1"/>
  <c r="BK120" i="5" s="1"/>
  <c r="BK119" i="5" s="1"/>
  <c r="BK118" i="5" s="1"/>
  <c r="BK117" i="5" s="1"/>
  <c r="BK116" i="5" s="1"/>
  <c r="BK115" i="5" s="1"/>
  <c r="BK114" i="5" s="1"/>
  <c r="BK113" i="5" s="1"/>
  <c r="BK112" i="5" s="1"/>
  <c r="BL213" i="5"/>
  <c r="BL212" i="5" s="1"/>
  <c r="BL211" i="5" s="1"/>
  <c r="BL210" i="5" s="1"/>
  <c r="BL209" i="5" s="1"/>
  <c r="BL208" i="5" s="1"/>
  <c r="BL207" i="5" s="1"/>
  <c r="BL206" i="5" s="1"/>
  <c r="BL205" i="5" s="1"/>
  <c r="BL204" i="5" s="1"/>
  <c r="BL203" i="5" s="1"/>
  <c r="BL202" i="5" s="1"/>
  <c r="BL201" i="5" s="1"/>
  <c r="BL200" i="5" s="1"/>
  <c r="BL199" i="5" s="1"/>
  <c r="BL198" i="5" s="1"/>
  <c r="BL197" i="5" s="1"/>
  <c r="BL196" i="5" s="1"/>
  <c r="BL195" i="5" s="1"/>
  <c r="BL194" i="5" s="1"/>
  <c r="BL193" i="5" s="1"/>
  <c r="BL192" i="5" s="1"/>
  <c r="BL191" i="5" s="1"/>
  <c r="BL190" i="5" s="1"/>
  <c r="BL189" i="5" s="1"/>
  <c r="BL188" i="5" s="1"/>
  <c r="BL187" i="5" s="1"/>
  <c r="BL186" i="5" s="1"/>
  <c r="BL185" i="5" s="1"/>
  <c r="BL184" i="5" s="1"/>
  <c r="BL183" i="5" s="1"/>
  <c r="BL182" i="5" s="1"/>
  <c r="BL181" i="5" s="1"/>
  <c r="BL180" i="5" s="1"/>
  <c r="BL179" i="5" s="1"/>
  <c r="BL178" i="5" s="1"/>
  <c r="BL177" i="5" s="1"/>
  <c r="BL176" i="5" s="1"/>
  <c r="BL175" i="5" s="1"/>
  <c r="BL174" i="5" s="1"/>
  <c r="BL173" i="5" s="1"/>
  <c r="BL172" i="5" s="1"/>
  <c r="BL171" i="5" s="1"/>
  <c r="BL170" i="5" s="1"/>
  <c r="BL169" i="5" s="1"/>
  <c r="BL168" i="5" s="1"/>
  <c r="BL167" i="5" s="1"/>
  <c r="BL166" i="5" s="1"/>
  <c r="BL165" i="5" s="1"/>
  <c r="BL164" i="5" s="1"/>
  <c r="BL163" i="5" s="1"/>
  <c r="BL162" i="5" s="1"/>
  <c r="BL161" i="5" s="1"/>
  <c r="BL160" i="5" s="1"/>
  <c r="BL159" i="5" s="1"/>
  <c r="BL158" i="5" s="1"/>
  <c r="BL157" i="5" s="1"/>
  <c r="BL156" i="5" s="1"/>
  <c r="BL155" i="5" s="1"/>
  <c r="BL154" i="5" s="1"/>
  <c r="BL153" i="5" s="1"/>
  <c r="BL152" i="5" s="1"/>
  <c r="BL151" i="5" s="1"/>
  <c r="BL150" i="5" s="1"/>
  <c r="BL149" i="5" s="1"/>
  <c r="BL148" i="5" s="1"/>
  <c r="BL147" i="5" s="1"/>
  <c r="BL146" i="5" s="1"/>
  <c r="BL145" i="5" s="1"/>
  <c r="BL144" i="5" s="1"/>
  <c r="BL143" i="5" s="1"/>
  <c r="BL142" i="5" s="1"/>
  <c r="BL141" i="5" s="1"/>
  <c r="BL140" i="5" s="1"/>
  <c r="BL139" i="5" s="1"/>
  <c r="BL138" i="5" s="1"/>
  <c r="BL137" i="5" s="1"/>
  <c r="BL136" i="5" s="1"/>
  <c r="BL135" i="5" s="1"/>
  <c r="BL134" i="5" s="1"/>
  <c r="BL133" i="5" s="1"/>
  <c r="BL132" i="5" s="1"/>
  <c r="BL131" i="5" s="1"/>
  <c r="BL130" i="5" s="1"/>
  <c r="BL129" i="5" s="1"/>
  <c r="BL128" i="5" s="1"/>
  <c r="BL127" i="5" s="1"/>
  <c r="BL126" i="5" s="1"/>
  <c r="BL125" i="5" s="1"/>
  <c r="BL124" i="5" s="1"/>
  <c r="BL123" i="5" s="1"/>
  <c r="BL122" i="5" s="1"/>
  <c r="BL121" i="5" s="1"/>
  <c r="BL120" i="5" s="1"/>
  <c r="BL119" i="5" s="1"/>
  <c r="BL118" i="5" s="1"/>
  <c r="BL117" i="5" s="1"/>
  <c r="BL116" i="5" s="1"/>
  <c r="BL115" i="5" s="1"/>
  <c r="BL114" i="5" s="1"/>
  <c r="BL113" i="5" s="1"/>
  <c r="BL112" i="5" s="1"/>
  <c r="BM213" i="5"/>
  <c r="BM212" i="5" s="1"/>
  <c r="BM211" i="5" s="1"/>
  <c r="BM210" i="5" s="1"/>
  <c r="BM209" i="5" s="1"/>
  <c r="BM208" i="5" s="1"/>
  <c r="BM207" i="5" s="1"/>
  <c r="BM206" i="5" s="1"/>
  <c r="BM205" i="5" s="1"/>
  <c r="BM204" i="5" s="1"/>
  <c r="BM203" i="5" s="1"/>
  <c r="BM202" i="5" s="1"/>
  <c r="BM201" i="5" s="1"/>
  <c r="BM200" i="5" s="1"/>
  <c r="BM199" i="5" s="1"/>
  <c r="BM198" i="5" s="1"/>
  <c r="BM197" i="5" s="1"/>
  <c r="BM196" i="5" s="1"/>
  <c r="BM195" i="5" s="1"/>
  <c r="BM194" i="5" s="1"/>
  <c r="BM193" i="5" s="1"/>
  <c r="BM192" i="5" s="1"/>
  <c r="BM191" i="5" s="1"/>
  <c r="BM190" i="5" s="1"/>
  <c r="BM189" i="5" s="1"/>
  <c r="BM188" i="5" s="1"/>
  <c r="BM187" i="5" s="1"/>
  <c r="BM186" i="5" s="1"/>
  <c r="BM185" i="5" s="1"/>
  <c r="BM184" i="5" s="1"/>
  <c r="BM183" i="5" s="1"/>
  <c r="BM182" i="5" s="1"/>
  <c r="BM181" i="5" s="1"/>
  <c r="BM180" i="5" s="1"/>
  <c r="BM179" i="5" s="1"/>
  <c r="BM178" i="5" s="1"/>
  <c r="BM177" i="5" s="1"/>
  <c r="BM176" i="5" s="1"/>
  <c r="BM175" i="5" s="1"/>
  <c r="BM174" i="5" s="1"/>
  <c r="BM173" i="5" s="1"/>
  <c r="BM172" i="5" s="1"/>
  <c r="BM171" i="5" s="1"/>
  <c r="BM170" i="5" s="1"/>
  <c r="BM169" i="5" s="1"/>
  <c r="BM168" i="5" s="1"/>
  <c r="BM167" i="5" s="1"/>
  <c r="BM166" i="5" s="1"/>
  <c r="BM165" i="5" s="1"/>
  <c r="BM164" i="5" s="1"/>
  <c r="BM163" i="5" s="1"/>
  <c r="BM162" i="5" s="1"/>
  <c r="BM161" i="5" s="1"/>
  <c r="BM160" i="5" s="1"/>
  <c r="BM159" i="5" s="1"/>
  <c r="BM158" i="5" s="1"/>
  <c r="BM157" i="5" s="1"/>
  <c r="BM156" i="5" s="1"/>
  <c r="BM155" i="5" s="1"/>
  <c r="BM154" i="5" s="1"/>
  <c r="BM153" i="5" s="1"/>
  <c r="BM152" i="5" s="1"/>
  <c r="BM151" i="5" s="1"/>
  <c r="BM150" i="5" s="1"/>
  <c r="BM149" i="5" s="1"/>
  <c r="BM148" i="5" s="1"/>
  <c r="BM147" i="5" s="1"/>
  <c r="BM146" i="5" s="1"/>
  <c r="BM145" i="5" s="1"/>
  <c r="BM144" i="5" s="1"/>
  <c r="BM143" i="5" s="1"/>
  <c r="BM142" i="5" s="1"/>
  <c r="BM141" i="5" s="1"/>
  <c r="BM140" i="5" s="1"/>
  <c r="BM139" i="5" s="1"/>
  <c r="BM138" i="5" s="1"/>
  <c r="BM137" i="5" s="1"/>
  <c r="BM136" i="5" s="1"/>
  <c r="BM135" i="5" s="1"/>
  <c r="BM134" i="5" s="1"/>
  <c r="BM133" i="5" s="1"/>
  <c r="BM132" i="5" s="1"/>
  <c r="BM131" i="5" s="1"/>
  <c r="BM130" i="5" s="1"/>
  <c r="BM129" i="5" s="1"/>
  <c r="BM128" i="5" s="1"/>
  <c r="BM127" i="5" s="1"/>
  <c r="BM126" i="5" s="1"/>
  <c r="BM125" i="5" s="1"/>
  <c r="BM124" i="5" s="1"/>
  <c r="BM123" i="5" s="1"/>
  <c r="BM122" i="5" s="1"/>
  <c r="BM121" i="5" s="1"/>
  <c r="BM120" i="5" s="1"/>
  <c r="BM119" i="5" s="1"/>
  <c r="BM118" i="5" s="1"/>
  <c r="BM117" i="5" s="1"/>
  <c r="BM116" i="5" s="1"/>
  <c r="BM115" i="5" s="1"/>
  <c r="BM114" i="5" s="1"/>
  <c r="BM113" i="5" s="1"/>
  <c r="BM112" i="5" s="1"/>
  <c r="BN213" i="5"/>
  <c r="BN212" i="5" s="1"/>
  <c r="BN211" i="5" s="1"/>
  <c r="BN210" i="5" s="1"/>
  <c r="BN209" i="5" s="1"/>
  <c r="BN208" i="5" s="1"/>
  <c r="BN207" i="5" s="1"/>
  <c r="BN206" i="5" s="1"/>
  <c r="BN205" i="5" s="1"/>
  <c r="BN204" i="5" s="1"/>
  <c r="BN203" i="5" s="1"/>
  <c r="BN202" i="5" s="1"/>
  <c r="BN201" i="5" s="1"/>
  <c r="BN200" i="5" s="1"/>
  <c r="BN199" i="5" s="1"/>
  <c r="BN198" i="5" s="1"/>
  <c r="BN197" i="5" s="1"/>
  <c r="BN196" i="5" s="1"/>
  <c r="BN195" i="5" s="1"/>
  <c r="BN194" i="5" s="1"/>
  <c r="BN193" i="5" s="1"/>
  <c r="BN192" i="5" s="1"/>
  <c r="BN191" i="5" s="1"/>
  <c r="BN190" i="5" s="1"/>
  <c r="BN189" i="5" s="1"/>
  <c r="BN188" i="5" s="1"/>
  <c r="BN187" i="5" s="1"/>
  <c r="BN186" i="5" s="1"/>
  <c r="BN185" i="5" s="1"/>
  <c r="BN184" i="5" s="1"/>
  <c r="BN183" i="5" s="1"/>
  <c r="BN182" i="5" s="1"/>
  <c r="BN181" i="5" s="1"/>
  <c r="BN180" i="5" s="1"/>
  <c r="BN179" i="5" s="1"/>
  <c r="BN178" i="5" s="1"/>
  <c r="BN177" i="5" s="1"/>
  <c r="BN176" i="5" s="1"/>
  <c r="BN175" i="5" s="1"/>
  <c r="BN174" i="5" s="1"/>
  <c r="BN173" i="5" s="1"/>
  <c r="BN172" i="5" s="1"/>
  <c r="BN171" i="5" s="1"/>
  <c r="BN170" i="5" s="1"/>
  <c r="BN169" i="5" s="1"/>
  <c r="BN168" i="5" s="1"/>
  <c r="BN167" i="5" s="1"/>
  <c r="BN166" i="5" s="1"/>
  <c r="BN165" i="5" s="1"/>
  <c r="BN164" i="5" s="1"/>
  <c r="BN163" i="5" s="1"/>
  <c r="BN162" i="5" s="1"/>
  <c r="BN161" i="5" s="1"/>
  <c r="BN160" i="5" s="1"/>
  <c r="BN159" i="5" s="1"/>
  <c r="BN158" i="5" s="1"/>
  <c r="BN157" i="5" s="1"/>
  <c r="BN156" i="5" s="1"/>
  <c r="BN155" i="5" s="1"/>
  <c r="BN154" i="5" s="1"/>
  <c r="BN153" i="5" s="1"/>
  <c r="BN152" i="5" s="1"/>
  <c r="BN151" i="5" s="1"/>
  <c r="BN150" i="5" s="1"/>
  <c r="BN149" i="5" s="1"/>
  <c r="BN148" i="5" s="1"/>
  <c r="BN147" i="5" s="1"/>
  <c r="BN146" i="5" s="1"/>
  <c r="BN145" i="5" s="1"/>
  <c r="BN144" i="5" s="1"/>
  <c r="BN143" i="5" s="1"/>
  <c r="BN142" i="5" s="1"/>
  <c r="BN141" i="5" s="1"/>
  <c r="BN140" i="5" s="1"/>
  <c r="BN139" i="5" s="1"/>
  <c r="BN138" i="5" s="1"/>
  <c r="BN137" i="5" s="1"/>
  <c r="BN136" i="5" s="1"/>
  <c r="BN135" i="5" s="1"/>
  <c r="BN134" i="5" s="1"/>
  <c r="BN133" i="5" s="1"/>
  <c r="BN132" i="5" s="1"/>
  <c r="BN131" i="5" s="1"/>
  <c r="BN130" i="5" s="1"/>
  <c r="BN129" i="5" s="1"/>
  <c r="BN128" i="5" s="1"/>
  <c r="BN127" i="5" s="1"/>
  <c r="BN126" i="5" s="1"/>
  <c r="BN125" i="5" s="1"/>
  <c r="BN124" i="5" s="1"/>
  <c r="BN123" i="5" s="1"/>
  <c r="BN122" i="5" s="1"/>
  <c r="BN121" i="5" s="1"/>
  <c r="BN120" i="5" s="1"/>
  <c r="BN119" i="5" s="1"/>
  <c r="BN118" i="5" s="1"/>
  <c r="BN117" i="5" s="1"/>
  <c r="BN116" i="5" s="1"/>
  <c r="BN115" i="5" s="1"/>
  <c r="BN114" i="5" s="1"/>
  <c r="BN113" i="5" s="1"/>
  <c r="BN112" i="5" s="1"/>
  <c r="BO213" i="5"/>
  <c r="BO212" i="5" s="1"/>
  <c r="BO211" i="5" s="1"/>
  <c r="BO210" i="5" s="1"/>
  <c r="BO209" i="5" s="1"/>
  <c r="BO208" i="5" s="1"/>
  <c r="BO207" i="5" s="1"/>
  <c r="BO206" i="5" s="1"/>
  <c r="BO205" i="5" s="1"/>
  <c r="BO204" i="5" s="1"/>
  <c r="BO203" i="5" s="1"/>
  <c r="BO202" i="5" s="1"/>
  <c r="BO201" i="5" s="1"/>
  <c r="BO200" i="5" s="1"/>
  <c r="BO199" i="5" s="1"/>
  <c r="BO198" i="5" s="1"/>
  <c r="BO197" i="5" s="1"/>
  <c r="BO196" i="5" s="1"/>
  <c r="BO195" i="5" s="1"/>
  <c r="BO194" i="5" s="1"/>
  <c r="BO193" i="5" s="1"/>
  <c r="BO192" i="5" s="1"/>
  <c r="BO191" i="5" s="1"/>
  <c r="BO190" i="5" s="1"/>
  <c r="BO189" i="5" s="1"/>
  <c r="BO188" i="5" s="1"/>
  <c r="BO187" i="5" s="1"/>
  <c r="BO186" i="5" s="1"/>
  <c r="BO185" i="5" s="1"/>
  <c r="BO184" i="5" s="1"/>
  <c r="BO183" i="5" s="1"/>
  <c r="BO182" i="5" s="1"/>
  <c r="BO181" i="5" s="1"/>
  <c r="BO180" i="5" s="1"/>
  <c r="BO179" i="5" s="1"/>
  <c r="BO178" i="5" s="1"/>
  <c r="BO177" i="5" s="1"/>
  <c r="BO176" i="5" s="1"/>
  <c r="BO175" i="5" s="1"/>
  <c r="BO174" i="5" s="1"/>
  <c r="BO173" i="5" s="1"/>
  <c r="BO172" i="5" s="1"/>
  <c r="BO171" i="5" s="1"/>
  <c r="BO170" i="5" s="1"/>
  <c r="BO169" i="5" s="1"/>
  <c r="BO168" i="5" s="1"/>
  <c r="BO167" i="5" s="1"/>
  <c r="BO166" i="5" s="1"/>
  <c r="BO165" i="5" s="1"/>
  <c r="BO164" i="5" s="1"/>
  <c r="BO163" i="5" s="1"/>
  <c r="BO162" i="5" s="1"/>
  <c r="BO161" i="5" s="1"/>
  <c r="BO160" i="5" s="1"/>
  <c r="BO159" i="5" s="1"/>
  <c r="BO158" i="5" s="1"/>
  <c r="BO157" i="5" s="1"/>
  <c r="BO156" i="5" s="1"/>
  <c r="BO155" i="5" s="1"/>
  <c r="BO154" i="5" s="1"/>
  <c r="BO153" i="5" s="1"/>
  <c r="BO152" i="5" s="1"/>
  <c r="BO151" i="5" s="1"/>
  <c r="BO150" i="5" s="1"/>
  <c r="BO149" i="5" s="1"/>
  <c r="BO148" i="5" s="1"/>
  <c r="BO147" i="5" s="1"/>
  <c r="BO146" i="5" s="1"/>
  <c r="BO145" i="5" s="1"/>
  <c r="BO144" i="5" s="1"/>
  <c r="BO143" i="5" s="1"/>
  <c r="BO142" i="5" s="1"/>
  <c r="BO141" i="5" s="1"/>
  <c r="BO140" i="5" s="1"/>
  <c r="BO139" i="5" s="1"/>
  <c r="BO138" i="5" s="1"/>
  <c r="BO137" i="5" s="1"/>
  <c r="BO136" i="5" s="1"/>
  <c r="BO135" i="5" s="1"/>
  <c r="BO134" i="5" s="1"/>
  <c r="BO133" i="5" s="1"/>
  <c r="BO132" i="5" s="1"/>
  <c r="BO131" i="5" s="1"/>
  <c r="BO130" i="5" s="1"/>
  <c r="BO129" i="5" s="1"/>
  <c r="BO128" i="5" s="1"/>
  <c r="BO127" i="5" s="1"/>
  <c r="BO126" i="5" s="1"/>
  <c r="BO125" i="5" s="1"/>
  <c r="BO124" i="5" s="1"/>
  <c r="BO123" i="5" s="1"/>
  <c r="BO122" i="5" s="1"/>
  <c r="BO121" i="5" s="1"/>
  <c r="BO120" i="5" s="1"/>
  <c r="BO119" i="5" s="1"/>
  <c r="BO118" i="5" s="1"/>
  <c r="BO117" i="5" s="1"/>
  <c r="BO116" i="5" s="1"/>
  <c r="BO115" i="5" s="1"/>
  <c r="BO114" i="5" s="1"/>
  <c r="BO113" i="5" s="1"/>
  <c r="BO112" i="5" s="1"/>
  <c r="BP213" i="5"/>
  <c r="BP212" i="5" s="1"/>
  <c r="BP211" i="5" s="1"/>
  <c r="BP210" i="5" s="1"/>
  <c r="BP209" i="5" s="1"/>
  <c r="BP208" i="5" s="1"/>
  <c r="BP207" i="5" s="1"/>
  <c r="BP206" i="5" s="1"/>
  <c r="BP205" i="5" s="1"/>
  <c r="BP204" i="5" s="1"/>
  <c r="BP203" i="5" s="1"/>
  <c r="BP202" i="5" s="1"/>
  <c r="BP201" i="5" s="1"/>
  <c r="BP200" i="5" s="1"/>
  <c r="BP199" i="5" s="1"/>
  <c r="BP198" i="5" s="1"/>
  <c r="BP197" i="5" s="1"/>
  <c r="BP196" i="5" s="1"/>
  <c r="BP195" i="5" s="1"/>
  <c r="BP194" i="5" s="1"/>
  <c r="BP193" i="5" s="1"/>
  <c r="BP192" i="5" s="1"/>
  <c r="BP191" i="5" s="1"/>
  <c r="BP190" i="5" s="1"/>
  <c r="BP189" i="5" s="1"/>
  <c r="BP188" i="5" s="1"/>
  <c r="BP187" i="5" s="1"/>
  <c r="BP186" i="5" s="1"/>
  <c r="BP185" i="5" s="1"/>
  <c r="BP184" i="5" s="1"/>
  <c r="BP183" i="5" s="1"/>
  <c r="BP182" i="5" s="1"/>
  <c r="BP181" i="5" s="1"/>
  <c r="BP180" i="5" s="1"/>
  <c r="BP179" i="5" s="1"/>
  <c r="BP178" i="5" s="1"/>
  <c r="BP177" i="5" s="1"/>
  <c r="BP176" i="5" s="1"/>
  <c r="BP175" i="5" s="1"/>
  <c r="BP174" i="5" s="1"/>
  <c r="BP173" i="5" s="1"/>
  <c r="BP172" i="5" s="1"/>
  <c r="BP171" i="5" s="1"/>
  <c r="BP170" i="5" s="1"/>
  <c r="BP169" i="5" s="1"/>
  <c r="BP168" i="5" s="1"/>
  <c r="BP167" i="5" s="1"/>
  <c r="BP166" i="5" s="1"/>
  <c r="BP165" i="5" s="1"/>
  <c r="BP164" i="5" s="1"/>
  <c r="BP163" i="5" s="1"/>
  <c r="BP162" i="5" s="1"/>
  <c r="BP161" i="5" s="1"/>
  <c r="BP160" i="5" s="1"/>
  <c r="BP159" i="5" s="1"/>
  <c r="BP158" i="5" s="1"/>
  <c r="BP157" i="5" s="1"/>
  <c r="BP156" i="5" s="1"/>
  <c r="BP155" i="5" s="1"/>
  <c r="BP154" i="5" s="1"/>
  <c r="BP153" i="5" s="1"/>
  <c r="BP152" i="5" s="1"/>
  <c r="BP151" i="5" s="1"/>
  <c r="BP150" i="5" s="1"/>
  <c r="BP149" i="5" s="1"/>
  <c r="BP148" i="5" s="1"/>
  <c r="BP147" i="5" s="1"/>
  <c r="BP146" i="5" s="1"/>
  <c r="BP145" i="5" s="1"/>
  <c r="BP144" i="5" s="1"/>
  <c r="BP143" i="5" s="1"/>
  <c r="BP142" i="5" s="1"/>
  <c r="BP141" i="5" s="1"/>
  <c r="BP140" i="5" s="1"/>
  <c r="BP139" i="5" s="1"/>
  <c r="BP138" i="5" s="1"/>
  <c r="BP137" i="5" s="1"/>
  <c r="BP136" i="5" s="1"/>
  <c r="BP135" i="5" s="1"/>
  <c r="BP134" i="5" s="1"/>
  <c r="BP133" i="5" s="1"/>
  <c r="BP132" i="5" s="1"/>
  <c r="BP131" i="5" s="1"/>
  <c r="BP130" i="5" s="1"/>
  <c r="BP129" i="5" s="1"/>
  <c r="BP128" i="5" s="1"/>
  <c r="BP127" i="5" s="1"/>
  <c r="BP126" i="5" s="1"/>
  <c r="BP125" i="5" s="1"/>
  <c r="BP124" i="5" s="1"/>
  <c r="BP123" i="5" s="1"/>
  <c r="BP122" i="5" s="1"/>
  <c r="BP121" i="5" s="1"/>
  <c r="BP120" i="5" s="1"/>
  <c r="BP119" i="5" s="1"/>
  <c r="BP118" i="5" s="1"/>
  <c r="BP117" i="5" s="1"/>
  <c r="BP116" i="5" s="1"/>
  <c r="BP115" i="5" s="1"/>
  <c r="BP114" i="5" s="1"/>
  <c r="BP113" i="5" s="1"/>
  <c r="BP112" i="5" s="1"/>
  <c r="BQ213" i="5"/>
  <c r="BQ212" i="5" s="1"/>
  <c r="BQ211" i="5" s="1"/>
  <c r="BQ210" i="5" s="1"/>
  <c r="BQ209" i="5" s="1"/>
  <c r="BQ208" i="5" s="1"/>
  <c r="BQ207" i="5" s="1"/>
  <c r="BQ206" i="5" s="1"/>
  <c r="BQ205" i="5" s="1"/>
  <c r="BQ204" i="5" s="1"/>
  <c r="BQ203" i="5" s="1"/>
  <c r="BQ202" i="5" s="1"/>
  <c r="BQ201" i="5" s="1"/>
  <c r="BQ200" i="5" s="1"/>
  <c r="BQ199" i="5" s="1"/>
  <c r="BQ198" i="5" s="1"/>
  <c r="BQ197" i="5" s="1"/>
  <c r="BQ196" i="5" s="1"/>
  <c r="BQ195" i="5" s="1"/>
  <c r="BQ194" i="5" s="1"/>
  <c r="BQ193" i="5" s="1"/>
  <c r="BQ192" i="5" s="1"/>
  <c r="BQ191" i="5" s="1"/>
  <c r="BQ190" i="5" s="1"/>
  <c r="BQ189" i="5" s="1"/>
  <c r="BQ188" i="5" s="1"/>
  <c r="BQ187" i="5" s="1"/>
  <c r="BQ186" i="5" s="1"/>
  <c r="BQ185" i="5" s="1"/>
  <c r="BQ184" i="5" s="1"/>
  <c r="BQ183" i="5" s="1"/>
  <c r="BQ182" i="5" s="1"/>
  <c r="BQ181" i="5" s="1"/>
  <c r="BQ180" i="5" s="1"/>
  <c r="BQ179" i="5" s="1"/>
  <c r="BQ178" i="5" s="1"/>
  <c r="BQ177" i="5" s="1"/>
  <c r="BQ176" i="5" s="1"/>
  <c r="BQ175" i="5" s="1"/>
  <c r="BQ174" i="5" s="1"/>
  <c r="BQ173" i="5" s="1"/>
  <c r="BQ172" i="5" s="1"/>
  <c r="BQ171" i="5" s="1"/>
  <c r="BQ170" i="5" s="1"/>
  <c r="BQ169" i="5" s="1"/>
  <c r="BQ168" i="5" s="1"/>
  <c r="BQ167" i="5" s="1"/>
  <c r="BQ166" i="5" s="1"/>
  <c r="BQ165" i="5" s="1"/>
  <c r="BQ164" i="5" s="1"/>
  <c r="BQ163" i="5" s="1"/>
  <c r="BQ162" i="5" s="1"/>
  <c r="BQ161" i="5" s="1"/>
  <c r="BQ160" i="5" s="1"/>
  <c r="BQ159" i="5" s="1"/>
  <c r="BQ158" i="5" s="1"/>
  <c r="BQ157" i="5" s="1"/>
  <c r="BQ156" i="5" s="1"/>
  <c r="BQ155" i="5" s="1"/>
  <c r="BQ154" i="5" s="1"/>
  <c r="BQ153" i="5" s="1"/>
  <c r="BQ152" i="5" s="1"/>
  <c r="BQ151" i="5" s="1"/>
  <c r="BQ150" i="5" s="1"/>
  <c r="BQ149" i="5" s="1"/>
  <c r="BQ148" i="5" s="1"/>
  <c r="BQ147" i="5" s="1"/>
  <c r="BQ146" i="5" s="1"/>
  <c r="BQ145" i="5" s="1"/>
  <c r="BQ144" i="5" s="1"/>
  <c r="BQ143" i="5" s="1"/>
  <c r="BQ142" i="5" s="1"/>
  <c r="BQ141" i="5" s="1"/>
  <c r="BQ140" i="5" s="1"/>
  <c r="BQ139" i="5" s="1"/>
  <c r="BQ138" i="5" s="1"/>
  <c r="BQ137" i="5" s="1"/>
  <c r="BQ136" i="5" s="1"/>
  <c r="BQ135" i="5" s="1"/>
  <c r="BQ134" i="5" s="1"/>
  <c r="BQ133" i="5" s="1"/>
  <c r="BQ132" i="5" s="1"/>
  <c r="BQ131" i="5" s="1"/>
  <c r="BQ130" i="5" s="1"/>
  <c r="BQ129" i="5" s="1"/>
  <c r="BQ128" i="5" s="1"/>
  <c r="BQ127" i="5" s="1"/>
  <c r="BQ126" i="5" s="1"/>
  <c r="BQ125" i="5" s="1"/>
  <c r="BQ124" i="5" s="1"/>
  <c r="BQ123" i="5" s="1"/>
  <c r="BQ122" i="5" s="1"/>
  <c r="BQ121" i="5" s="1"/>
  <c r="BQ120" i="5" s="1"/>
  <c r="BQ119" i="5" s="1"/>
  <c r="BQ118" i="5" s="1"/>
  <c r="BQ117" i="5" s="1"/>
  <c r="BQ116" i="5" s="1"/>
  <c r="BQ115" i="5" s="1"/>
  <c r="BQ114" i="5" s="1"/>
  <c r="BQ113" i="5" s="1"/>
  <c r="BQ112" i="5" s="1"/>
  <c r="BR213" i="5"/>
  <c r="BR212" i="5" s="1"/>
  <c r="BR211" i="5" s="1"/>
  <c r="BR210" i="5" s="1"/>
  <c r="BR209" i="5" s="1"/>
  <c r="BR208" i="5" s="1"/>
  <c r="BR207" i="5" s="1"/>
  <c r="BR206" i="5" s="1"/>
  <c r="BR205" i="5" s="1"/>
  <c r="BR204" i="5" s="1"/>
  <c r="BR203" i="5" s="1"/>
  <c r="BR202" i="5" s="1"/>
  <c r="BR201" i="5" s="1"/>
  <c r="BR200" i="5" s="1"/>
  <c r="BR199" i="5" s="1"/>
  <c r="BR198" i="5" s="1"/>
  <c r="BR197" i="5" s="1"/>
  <c r="BR196" i="5" s="1"/>
  <c r="BR195" i="5" s="1"/>
  <c r="BR194" i="5" s="1"/>
  <c r="BR193" i="5" s="1"/>
  <c r="BR192" i="5" s="1"/>
  <c r="BR191" i="5" s="1"/>
  <c r="BR190" i="5" s="1"/>
  <c r="BR189" i="5" s="1"/>
  <c r="BR188" i="5" s="1"/>
  <c r="BR187" i="5" s="1"/>
  <c r="BR186" i="5" s="1"/>
  <c r="BR185" i="5" s="1"/>
  <c r="BR184" i="5" s="1"/>
  <c r="BR183" i="5" s="1"/>
  <c r="BR182" i="5" s="1"/>
  <c r="BR181" i="5" s="1"/>
  <c r="BR180" i="5" s="1"/>
  <c r="BR179" i="5" s="1"/>
  <c r="BR178" i="5" s="1"/>
  <c r="BR177" i="5" s="1"/>
  <c r="BR176" i="5" s="1"/>
  <c r="BR175" i="5" s="1"/>
  <c r="BR174" i="5" s="1"/>
  <c r="BR173" i="5" s="1"/>
  <c r="BR172" i="5" s="1"/>
  <c r="BR171" i="5" s="1"/>
  <c r="BR170" i="5" s="1"/>
  <c r="BR169" i="5" s="1"/>
  <c r="BR168" i="5" s="1"/>
  <c r="BR167" i="5" s="1"/>
  <c r="BR166" i="5" s="1"/>
  <c r="BR165" i="5" s="1"/>
  <c r="BR164" i="5" s="1"/>
  <c r="BR163" i="5" s="1"/>
  <c r="BR162" i="5" s="1"/>
  <c r="BR161" i="5" s="1"/>
  <c r="BR160" i="5" s="1"/>
  <c r="BR159" i="5" s="1"/>
  <c r="BR158" i="5" s="1"/>
  <c r="BR157" i="5" s="1"/>
  <c r="BR156" i="5" s="1"/>
  <c r="BR155" i="5" s="1"/>
  <c r="BR154" i="5" s="1"/>
  <c r="BR153" i="5" s="1"/>
  <c r="BR152" i="5" s="1"/>
  <c r="BR151" i="5" s="1"/>
  <c r="BR150" i="5" s="1"/>
  <c r="BR149" i="5" s="1"/>
  <c r="BR148" i="5" s="1"/>
  <c r="BR147" i="5" s="1"/>
  <c r="BR146" i="5" s="1"/>
  <c r="BR145" i="5" s="1"/>
  <c r="BR144" i="5" s="1"/>
  <c r="BR143" i="5" s="1"/>
  <c r="BR142" i="5" s="1"/>
  <c r="BR141" i="5" s="1"/>
  <c r="BR140" i="5" s="1"/>
  <c r="BR139" i="5" s="1"/>
  <c r="BR138" i="5" s="1"/>
  <c r="BR137" i="5" s="1"/>
  <c r="BR136" i="5" s="1"/>
  <c r="BR135" i="5" s="1"/>
  <c r="BR134" i="5" s="1"/>
  <c r="BR133" i="5" s="1"/>
  <c r="BR132" i="5" s="1"/>
  <c r="BR131" i="5" s="1"/>
  <c r="BR130" i="5" s="1"/>
  <c r="BR129" i="5" s="1"/>
  <c r="BR128" i="5" s="1"/>
  <c r="BR127" i="5" s="1"/>
  <c r="BR126" i="5" s="1"/>
  <c r="BR125" i="5" s="1"/>
  <c r="BR124" i="5" s="1"/>
  <c r="BR123" i="5" s="1"/>
  <c r="BR122" i="5" s="1"/>
  <c r="BR121" i="5" s="1"/>
  <c r="BR120" i="5" s="1"/>
  <c r="BR119" i="5" s="1"/>
  <c r="BR118" i="5" s="1"/>
  <c r="BR117" i="5" s="1"/>
  <c r="BR116" i="5" s="1"/>
  <c r="BR115" i="5" s="1"/>
  <c r="BR114" i="5" s="1"/>
  <c r="BR113" i="5" s="1"/>
  <c r="BR112" i="5" s="1"/>
  <c r="BS213" i="5"/>
  <c r="BS212" i="5" s="1"/>
  <c r="BS211" i="5" s="1"/>
  <c r="BS210" i="5" s="1"/>
  <c r="BS209" i="5" s="1"/>
  <c r="BS208" i="5" s="1"/>
  <c r="BS207" i="5" s="1"/>
  <c r="BS206" i="5" s="1"/>
  <c r="BS205" i="5" s="1"/>
  <c r="BS204" i="5" s="1"/>
  <c r="BS203" i="5" s="1"/>
  <c r="BS202" i="5" s="1"/>
  <c r="BS201" i="5" s="1"/>
  <c r="BS200" i="5" s="1"/>
  <c r="BS199" i="5" s="1"/>
  <c r="BS198" i="5" s="1"/>
  <c r="BS197" i="5" s="1"/>
  <c r="BS196" i="5" s="1"/>
  <c r="BS195" i="5" s="1"/>
  <c r="BS194" i="5" s="1"/>
  <c r="BS193" i="5" s="1"/>
  <c r="BS192" i="5" s="1"/>
  <c r="BS191" i="5" s="1"/>
  <c r="BS190" i="5" s="1"/>
  <c r="BS189" i="5" s="1"/>
  <c r="BS188" i="5" s="1"/>
  <c r="BS187" i="5" s="1"/>
  <c r="BS186" i="5" s="1"/>
  <c r="BS185" i="5" s="1"/>
  <c r="BS184" i="5" s="1"/>
  <c r="BS183" i="5" s="1"/>
  <c r="BS182" i="5" s="1"/>
  <c r="BS181" i="5" s="1"/>
  <c r="BS180" i="5" s="1"/>
  <c r="BS179" i="5" s="1"/>
  <c r="BS178" i="5" s="1"/>
  <c r="BS177" i="5" s="1"/>
  <c r="BS176" i="5" s="1"/>
  <c r="BS175" i="5" s="1"/>
  <c r="BS174" i="5" s="1"/>
  <c r="BS173" i="5" s="1"/>
  <c r="BS172" i="5" s="1"/>
  <c r="BS171" i="5" s="1"/>
  <c r="BS170" i="5" s="1"/>
  <c r="BS169" i="5" s="1"/>
  <c r="BS168" i="5" s="1"/>
  <c r="BS167" i="5" s="1"/>
  <c r="BS166" i="5" s="1"/>
  <c r="BS165" i="5" s="1"/>
  <c r="BS164" i="5" s="1"/>
  <c r="BS163" i="5" s="1"/>
  <c r="BS162" i="5" s="1"/>
  <c r="BS161" i="5" s="1"/>
  <c r="BS160" i="5" s="1"/>
  <c r="BS159" i="5" s="1"/>
  <c r="BS158" i="5" s="1"/>
  <c r="BS157" i="5" s="1"/>
  <c r="BS156" i="5" s="1"/>
  <c r="BS155" i="5" s="1"/>
  <c r="BS154" i="5" s="1"/>
  <c r="BS153" i="5" s="1"/>
  <c r="BS152" i="5" s="1"/>
  <c r="BS151" i="5" s="1"/>
  <c r="BS150" i="5" s="1"/>
  <c r="BS149" i="5" s="1"/>
  <c r="BS148" i="5" s="1"/>
  <c r="BS147" i="5" s="1"/>
  <c r="BS146" i="5" s="1"/>
  <c r="BS145" i="5" s="1"/>
  <c r="BS144" i="5" s="1"/>
  <c r="BS143" i="5" s="1"/>
  <c r="BS142" i="5" s="1"/>
  <c r="BS141" i="5" s="1"/>
  <c r="BS140" i="5" s="1"/>
  <c r="BS139" i="5" s="1"/>
  <c r="BS138" i="5" s="1"/>
  <c r="BS137" i="5" s="1"/>
  <c r="BS136" i="5" s="1"/>
  <c r="BS135" i="5" s="1"/>
  <c r="BS134" i="5" s="1"/>
  <c r="BS133" i="5" s="1"/>
  <c r="BS132" i="5" s="1"/>
  <c r="BS131" i="5" s="1"/>
  <c r="BS130" i="5" s="1"/>
  <c r="BS129" i="5" s="1"/>
  <c r="BS128" i="5" s="1"/>
  <c r="BS127" i="5" s="1"/>
  <c r="BS126" i="5" s="1"/>
  <c r="BS125" i="5" s="1"/>
  <c r="BS124" i="5" s="1"/>
  <c r="BS123" i="5" s="1"/>
  <c r="BS122" i="5" s="1"/>
  <c r="BS121" i="5" s="1"/>
  <c r="BS120" i="5" s="1"/>
  <c r="BS119" i="5" s="1"/>
  <c r="BS118" i="5" s="1"/>
  <c r="BS117" i="5" s="1"/>
  <c r="BS116" i="5" s="1"/>
  <c r="BS115" i="5" s="1"/>
  <c r="BS114" i="5" s="1"/>
  <c r="BS113" i="5" s="1"/>
  <c r="BS112" i="5" s="1"/>
  <c r="BT213" i="5"/>
  <c r="BT212" i="5" s="1"/>
  <c r="BT211" i="5" s="1"/>
  <c r="BT210" i="5" s="1"/>
  <c r="BT209" i="5" s="1"/>
  <c r="BT208" i="5" s="1"/>
  <c r="BT207" i="5" s="1"/>
  <c r="BT206" i="5" s="1"/>
  <c r="BT205" i="5" s="1"/>
  <c r="BT204" i="5" s="1"/>
  <c r="BT203" i="5" s="1"/>
  <c r="BT202" i="5" s="1"/>
  <c r="BT201" i="5" s="1"/>
  <c r="BT200" i="5" s="1"/>
  <c r="BT199" i="5" s="1"/>
  <c r="BT198" i="5" s="1"/>
  <c r="BT197" i="5" s="1"/>
  <c r="BT196" i="5" s="1"/>
  <c r="BT195" i="5" s="1"/>
  <c r="BT194" i="5" s="1"/>
  <c r="BT193" i="5" s="1"/>
  <c r="BT192" i="5" s="1"/>
  <c r="BT191" i="5" s="1"/>
  <c r="BT190" i="5" s="1"/>
  <c r="BT189" i="5" s="1"/>
  <c r="BT188" i="5" s="1"/>
  <c r="BT187" i="5" s="1"/>
  <c r="BT186" i="5" s="1"/>
  <c r="BT185" i="5" s="1"/>
  <c r="BT184" i="5" s="1"/>
  <c r="BT183" i="5" s="1"/>
  <c r="BT182" i="5" s="1"/>
  <c r="BT181" i="5" s="1"/>
  <c r="BT180" i="5" s="1"/>
  <c r="BT179" i="5" s="1"/>
  <c r="BT178" i="5" s="1"/>
  <c r="BT177" i="5" s="1"/>
  <c r="BT176" i="5" s="1"/>
  <c r="BT175" i="5" s="1"/>
  <c r="BT174" i="5" s="1"/>
  <c r="BT173" i="5" s="1"/>
  <c r="BT172" i="5" s="1"/>
  <c r="BT171" i="5" s="1"/>
  <c r="BT170" i="5" s="1"/>
  <c r="BT169" i="5" s="1"/>
  <c r="BT168" i="5" s="1"/>
  <c r="BT167" i="5" s="1"/>
  <c r="BT166" i="5" s="1"/>
  <c r="BT165" i="5" s="1"/>
  <c r="BT164" i="5" s="1"/>
  <c r="BT163" i="5" s="1"/>
  <c r="BT162" i="5" s="1"/>
  <c r="BT161" i="5" s="1"/>
  <c r="BT160" i="5" s="1"/>
  <c r="BT159" i="5" s="1"/>
  <c r="BT158" i="5" s="1"/>
  <c r="BT157" i="5" s="1"/>
  <c r="BT156" i="5" s="1"/>
  <c r="BT155" i="5" s="1"/>
  <c r="BT154" i="5" s="1"/>
  <c r="BT153" i="5" s="1"/>
  <c r="BT152" i="5" s="1"/>
  <c r="BT151" i="5" s="1"/>
  <c r="BT150" i="5" s="1"/>
  <c r="BT149" i="5" s="1"/>
  <c r="BT148" i="5" s="1"/>
  <c r="BT147" i="5" s="1"/>
  <c r="BT146" i="5" s="1"/>
  <c r="BT145" i="5" s="1"/>
  <c r="BT144" i="5" s="1"/>
  <c r="BT143" i="5" s="1"/>
  <c r="BT142" i="5" s="1"/>
  <c r="BT141" i="5" s="1"/>
  <c r="BT140" i="5" s="1"/>
  <c r="BT139" i="5" s="1"/>
  <c r="BT138" i="5" s="1"/>
  <c r="BT137" i="5" s="1"/>
  <c r="BT136" i="5" s="1"/>
  <c r="BT135" i="5" s="1"/>
  <c r="BT134" i="5" s="1"/>
  <c r="BT133" i="5" s="1"/>
  <c r="BT132" i="5" s="1"/>
  <c r="BT131" i="5" s="1"/>
  <c r="BT130" i="5" s="1"/>
  <c r="BT129" i="5" s="1"/>
  <c r="BT128" i="5" s="1"/>
  <c r="BT127" i="5" s="1"/>
  <c r="BT126" i="5" s="1"/>
  <c r="BT125" i="5" s="1"/>
  <c r="BT124" i="5" s="1"/>
  <c r="BT123" i="5" s="1"/>
  <c r="BT122" i="5" s="1"/>
  <c r="BT121" i="5" s="1"/>
  <c r="BT120" i="5" s="1"/>
  <c r="BT119" i="5" s="1"/>
  <c r="BT118" i="5" s="1"/>
  <c r="BT117" i="5" s="1"/>
  <c r="BT116" i="5" s="1"/>
  <c r="BT115" i="5" s="1"/>
  <c r="BT114" i="5" s="1"/>
  <c r="BT113" i="5" s="1"/>
  <c r="BT112" i="5" s="1"/>
  <c r="BU213" i="5"/>
  <c r="BU212" i="5" s="1"/>
  <c r="BU211" i="5" s="1"/>
  <c r="BU210" i="5" s="1"/>
  <c r="BU209" i="5" s="1"/>
  <c r="BU208" i="5" s="1"/>
  <c r="BU207" i="5" s="1"/>
  <c r="BU206" i="5" s="1"/>
  <c r="BU205" i="5" s="1"/>
  <c r="BU204" i="5" s="1"/>
  <c r="BU203" i="5" s="1"/>
  <c r="BU202" i="5" s="1"/>
  <c r="BU201" i="5" s="1"/>
  <c r="BU200" i="5" s="1"/>
  <c r="BU199" i="5" s="1"/>
  <c r="BU198" i="5" s="1"/>
  <c r="BU197" i="5" s="1"/>
  <c r="BU196" i="5" s="1"/>
  <c r="BU195" i="5" s="1"/>
  <c r="BU194" i="5" s="1"/>
  <c r="BU193" i="5" s="1"/>
  <c r="BU192" i="5" s="1"/>
  <c r="BU191" i="5" s="1"/>
  <c r="BU190" i="5" s="1"/>
  <c r="BU189" i="5" s="1"/>
  <c r="BU188" i="5" s="1"/>
  <c r="BU187" i="5" s="1"/>
  <c r="BU186" i="5" s="1"/>
  <c r="BU185" i="5" s="1"/>
  <c r="BU184" i="5" s="1"/>
  <c r="BU183" i="5" s="1"/>
  <c r="BU182" i="5" s="1"/>
  <c r="BU181" i="5" s="1"/>
  <c r="BU180" i="5" s="1"/>
  <c r="BU179" i="5" s="1"/>
  <c r="BU178" i="5" s="1"/>
  <c r="BU177" i="5" s="1"/>
  <c r="BU176" i="5" s="1"/>
  <c r="BU175" i="5" s="1"/>
  <c r="BU174" i="5" s="1"/>
  <c r="BU173" i="5" s="1"/>
  <c r="BU172" i="5" s="1"/>
  <c r="BU171" i="5" s="1"/>
  <c r="BU170" i="5" s="1"/>
  <c r="BU169" i="5" s="1"/>
  <c r="BU168" i="5" s="1"/>
  <c r="BU167" i="5" s="1"/>
  <c r="BU166" i="5" s="1"/>
  <c r="BU165" i="5" s="1"/>
  <c r="BU164" i="5" s="1"/>
  <c r="BU163" i="5" s="1"/>
  <c r="BU162" i="5" s="1"/>
  <c r="BU161" i="5" s="1"/>
  <c r="BU160" i="5" s="1"/>
  <c r="BU159" i="5" s="1"/>
  <c r="BU158" i="5" s="1"/>
  <c r="BU157" i="5" s="1"/>
  <c r="BU156" i="5" s="1"/>
  <c r="BU155" i="5" s="1"/>
  <c r="BU154" i="5" s="1"/>
  <c r="BU153" i="5" s="1"/>
  <c r="BU152" i="5" s="1"/>
  <c r="BU151" i="5" s="1"/>
  <c r="BU150" i="5" s="1"/>
  <c r="BU149" i="5" s="1"/>
  <c r="BU148" i="5" s="1"/>
  <c r="BU147" i="5" s="1"/>
  <c r="BU146" i="5" s="1"/>
  <c r="BU145" i="5" s="1"/>
  <c r="BU144" i="5" s="1"/>
  <c r="BU143" i="5" s="1"/>
  <c r="BU142" i="5" s="1"/>
  <c r="BU141" i="5" s="1"/>
  <c r="BU140" i="5" s="1"/>
  <c r="BU139" i="5" s="1"/>
  <c r="BU138" i="5" s="1"/>
  <c r="BU137" i="5" s="1"/>
  <c r="BU136" i="5" s="1"/>
  <c r="BU135" i="5" s="1"/>
  <c r="BU134" i="5" s="1"/>
  <c r="BU133" i="5" s="1"/>
  <c r="BU132" i="5" s="1"/>
  <c r="BU131" i="5" s="1"/>
  <c r="BU130" i="5" s="1"/>
  <c r="BU129" i="5" s="1"/>
  <c r="BU128" i="5" s="1"/>
  <c r="BU127" i="5" s="1"/>
  <c r="BU126" i="5" s="1"/>
  <c r="BU125" i="5" s="1"/>
  <c r="BU124" i="5" s="1"/>
  <c r="BU123" i="5" s="1"/>
  <c r="BU122" i="5" s="1"/>
  <c r="BU121" i="5" s="1"/>
  <c r="BU120" i="5" s="1"/>
  <c r="BU119" i="5" s="1"/>
  <c r="BU118" i="5" s="1"/>
  <c r="BU117" i="5" s="1"/>
  <c r="BU116" i="5" s="1"/>
  <c r="BU115" i="5" s="1"/>
  <c r="BU114" i="5" s="1"/>
  <c r="BU113" i="5" s="1"/>
  <c r="BU112" i="5" s="1"/>
  <c r="BV213" i="5"/>
  <c r="BV212" i="5" s="1"/>
  <c r="BV211" i="5" s="1"/>
  <c r="BV210" i="5" s="1"/>
  <c r="BV209" i="5" s="1"/>
  <c r="BV208" i="5" s="1"/>
  <c r="BV207" i="5" s="1"/>
  <c r="BV206" i="5" s="1"/>
  <c r="BV205" i="5" s="1"/>
  <c r="BV204" i="5" s="1"/>
  <c r="BV203" i="5" s="1"/>
  <c r="BV202" i="5" s="1"/>
  <c r="BV201" i="5" s="1"/>
  <c r="BV200" i="5" s="1"/>
  <c r="BV199" i="5" s="1"/>
  <c r="BV198" i="5" s="1"/>
  <c r="BV197" i="5" s="1"/>
  <c r="BV196" i="5" s="1"/>
  <c r="BV195" i="5" s="1"/>
  <c r="BV194" i="5" s="1"/>
  <c r="BV193" i="5" s="1"/>
  <c r="BV192" i="5" s="1"/>
  <c r="BV191" i="5" s="1"/>
  <c r="BV190" i="5" s="1"/>
  <c r="BV189" i="5" s="1"/>
  <c r="BV188" i="5" s="1"/>
  <c r="BV187" i="5" s="1"/>
  <c r="BV186" i="5" s="1"/>
  <c r="BV185" i="5" s="1"/>
  <c r="BV184" i="5" s="1"/>
  <c r="BV183" i="5" s="1"/>
  <c r="BV182" i="5" s="1"/>
  <c r="BV181" i="5" s="1"/>
  <c r="BV180" i="5" s="1"/>
  <c r="BV179" i="5" s="1"/>
  <c r="BV178" i="5" s="1"/>
  <c r="BV177" i="5" s="1"/>
  <c r="BV176" i="5" s="1"/>
  <c r="BV175" i="5" s="1"/>
  <c r="BV174" i="5" s="1"/>
  <c r="BV173" i="5" s="1"/>
  <c r="BV172" i="5" s="1"/>
  <c r="BV171" i="5" s="1"/>
  <c r="BV170" i="5" s="1"/>
  <c r="BV169" i="5" s="1"/>
  <c r="BV168" i="5" s="1"/>
  <c r="BV167" i="5" s="1"/>
  <c r="BV166" i="5" s="1"/>
  <c r="BV165" i="5" s="1"/>
  <c r="BV164" i="5" s="1"/>
  <c r="BV163" i="5" s="1"/>
  <c r="BV162" i="5" s="1"/>
  <c r="BV161" i="5" s="1"/>
  <c r="BV160" i="5" s="1"/>
  <c r="BV159" i="5" s="1"/>
  <c r="BV158" i="5" s="1"/>
  <c r="BV157" i="5" s="1"/>
  <c r="BV156" i="5" s="1"/>
  <c r="BV155" i="5" s="1"/>
  <c r="BV154" i="5" s="1"/>
  <c r="BV153" i="5" s="1"/>
  <c r="BV152" i="5" s="1"/>
  <c r="BV151" i="5" s="1"/>
  <c r="BV150" i="5" s="1"/>
  <c r="BV149" i="5" s="1"/>
  <c r="BV148" i="5" s="1"/>
  <c r="BV147" i="5" s="1"/>
  <c r="BV146" i="5" s="1"/>
  <c r="BV145" i="5" s="1"/>
  <c r="BV144" i="5" s="1"/>
  <c r="BV143" i="5" s="1"/>
  <c r="BV142" i="5" s="1"/>
  <c r="BV141" i="5" s="1"/>
  <c r="BV140" i="5" s="1"/>
  <c r="BV139" i="5" s="1"/>
  <c r="BV138" i="5" s="1"/>
  <c r="BV137" i="5" s="1"/>
  <c r="BV136" i="5" s="1"/>
  <c r="BV135" i="5" s="1"/>
  <c r="BV134" i="5" s="1"/>
  <c r="BV133" i="5" s="1"/>
  <c r="BV132" i="5" s="1"/>
  <c r="BV131" i="5" s="1"/>
  <c r="BV130" i="5" s="1"/>
  <c r="BV129" i="5" s="1"/>
  <c r="BV128" i="5" s="1"/>
  <c r="BV127" i="5" s="1"/>
  <c r="BV126" i="5" s="1"/>
  <c r="BV125" i="5" s="1"/>
  <c r="BV124" i="5" s="1"/>
  <c r="BV123" i="5" s="1"/>
  <c r="BV122" i="5" s="1"/>
  <c r="BV121" i="5" s="1"/>
  <c r="BV120" i="5" s="1"/>
  <c r="BV119" i="5" s="1"/>
  <c r="BV118" i="5" s="1"/>
  <c r="BV117" i="5" s="1"/>
  <c r="BV116" i="5" s="1"/>
  <c r="BV115" i="5" s="1"/>
  <c r="BV114" i="5" s="1"/>
  <c r="BV113" i="5" s="1"/>
  <c r="BV112" i="5" s="1"/>
  <c r="BW213" i="5"/>
  <c r="BW212" i="5" s="1"/>
  <c r="BW211" i="5" s="1"/>
  <c r="BW210" i="5" s="1"/>
  <c r="BW209" i="5" s="1"/>
  <c r="BW208" i="5" s="1"/>
  <c r="BW207" i="5" s="1"/>
  <c r="BW206" i="5" s="1"/>
  <c r="BW205" i="5" s="1"/>
  <c r="BW204" i="5" s="1"/>
  <c r="BW203" i="5" s="1"/>
  <c r="BW202" i="5" s="1"/>
  <c r="BW201" i="5" s="1"/>
  <c r="BW200" i="5" s="1"/>
  <c r="BW199" i="5" s="1"/>
  <c r="BW198" i="5" s="1"/>
  <c r="BW197" i="5" s="1"/>
  <c r="BW196" i="5" s="1"/>
  <c r="BW195" i="5" s="1"/>
  <c r="BW194" i="5" s="1"/>
  <c r="BW193" i="5" s="1"/>
  <c r="BW192" i="5" s="1"/>
  <c r="BW191" i="5" s="1"/>
  <c r="BW190" i="5" s="1"/>
  <c r="BW189" i="5" s="1"/>
  <c r="BW188" i="5" s="1"/>
  <c r="BW187" i="5" s="1"/>
  <c r="BW186" i="5" s="1"/>
  <c r="BW185" i="5" s="1"/>
  <c r="BW184" i="5" s="1"/>
  <c r="BW183" i="5" s="1"/>
  <c r="BW182" i="5" s="1"/>
  <c r="BW181" i="5" s="1"/>
  <c r="BW180" i="5" s="1"/>
  <c r="BW179" i="5" s="1"/>
  <c r="BW178" i="5" s="1"/>
  <c r="BW177" i="5" s="1"/>
  <c r="BW176" i="5" s="1"/>
  <c r="BW175" i="5" s="1"/>
  <c r="BW174" i="5" s="1"/>
  <c r="BW173" i="5" s="1"/>
  <c r="BW172" i="5" s="1"/>
  <c r="BW171" i="5" s="1"/>
  <c r="BW170" i="5" s="1"/>
  <c r="BW169" i="5" s="1"/>
  <c r="BW168" i="5" s="1"/>
  <c r="BW167" i="5" s="1"/>
  <c r="BW166" i="5" s="1"/>
  <c r="BW165" i="5" s="1"/>
  <c r="BW164" i="5" s="1"/>
  <c r="BW163" i="5" s="1"/>
  <c r="BW162" i="5" s="1"/>
  <c r="BW161" i="5" s="1"/>
  <c r="BW160" i="5" s="1"/>
  <c r="BW159" i="5" s="1"/>
  <c r="BW158" i="5" s="1"/>
  <c r="BW157" i="5" s="1"/>
  <c r="BW156" i="5" s="1"/>
  <c r="BW155" i="5" s="1"/>
  <c r="BW154" i="5" s="1"/>
  <c r="BW153" i="5" s="1"/>
  <c r="BW152" i="5" s="1"/>
  <c r="BW151" i="5" s="1"/>
  <c r="BW150" i="5" s="1"/>
  <c r="BW149" i="5" s="1"/>
  <c r="BW148" i="5" s="1"/>
  <c r="BW147" i="5" s="1"/>
  <c r="BW146" i="5" s="1"/>
  <c r="BW145" i="5" s="1"/>
  <c r="BW144" i="5" s="1"/>
  <c r="BW143" i="5" s="1"/>
  <c r="BW142" i="5" s="1"/>
  <c r="BW141" i="5" s="1"/>
  <c r="BW140" i="5" s="1"/>
  <c r="BW139" i="5" s="1"/>
  <c r="BW138" i="5" s="1"/>
  <c r="BW137" i="5" s="1"/>
  <c r="BW136" i="5" s="1"/>
  <c r="BW135" i="5" s="1"/>
  <c r="BW134" i="5" s="1"/>
  <c r="BW133" i="5" s="1"/>
  <c r="BW132" i="5" s="1"/>
  <c r="BW131" i="5" s="1"/>
  <c r="BW130" i="5" s="1"/>
  <c r="BW129" i="5" s="1"/>
  <c r="BW128" i="5" s="1"/>
  <c r="BW127" i="5" s="1"/>
  <c r="BW126" i="5" s="1"/>
  <c r="BW125" i="5" s="1"/>
  <c r="BW124" i="5" s="1"/>
  <c r="BW123" i="5" s="1"/>
  <c r="BW122" i="5" s="1"/>
  <c r="BW121" i="5" s="1"/>
  <c r="BW120" i="5" s="1"/>
  <c r="BW119" i="5" s="1"/>
  <c r="BW118" i="5" s="1"/>
  <c r="BW117" i="5" s="1"/>
  <c r="BW116" i="5" s="1"/>
  <c r="BW115" i="5" s="1"/>
  <c r="BW114" i="5" s="1"/>
  <c r="BW113" i="5" s="1"/>
  <c r="BW112" i="5" s="1"/>
  <c r="BX213" i="5"/>
  <c r="BX212" i="5" s="1"/>
  <c r="BX211" i="5" s="1"/>
  <c r="BX210" i="5" s="1"/>
  <c r="BX209" i="5" s="1"/>
  <c r="BX208" i="5" s="1"/>
  <c r="BX207" i="5" s="1"/>
  <c r="BX206" i="5" s="1"/>
  <c r="BX205" i="5" s="1"/>
  <c r="BX204" i="5" s="1"/>
  <c r="BX203" i="5" s="1"/>
  <c r="BX202" i="5" s="1"/>
  <c r="BX201" i="5" s="1"/>
  <c r="BX200" i="5" s="1"/>
  <c r="BX199" i="5" s="1"/>
  <c r="BX198" i="5" s="1"/>
  <c r="BX197" i="5" s="1"/>
  <c r="BX196" i="5" s="1"/>
  <c r="BX195" i="5" s="1"/>
  <c r="BX194" i="5" s="1"/>
  <c r="BX193" i="5" s="1"/>
  <c r="BX192" i="5" s="1"/>
  <c r="BX191" i="5" s="1"/>
  <c r="BX190" i="5" s="1"/>
  <c r="BX189" i="5" s="1"/>
  <c r="BX188" i="5" s="1"/>
  <c r="BX187" i="5" s="1"/>
  <c r="BX186" i="5" s="1"/>
  <c r="BX185" i="5" s="1"/>
  <c r="BX184" i="5" s="1"/>
  <c r="BX183" i="5" s="1"/>
  <c r="BX182" i="5" s="1"/>
  <c r="BX181" i="5" s="1"/>
  <c r="BX180" i="5" s="1"/>
  <c r="BX179" i="5" s="1"/>
  <c r="BX178" i="5" s="1"/>
  <c r="BX177" i="5" s="1"/>
  <c r="BX176" i="5" s="1"/>
  <c r="BX175" i="5" s="1"/>
  <c r="BX174" i="5" s="1"/>
  <c r="BX173" i="5" s="1"/>
  <c r="BX172" i="5" s="1"/>
  <c r="BX171" i="5" s="1"/>
  <c r="BX170" i="5" s="1"/>
  <c r="BX169" i="5" s="1"/>
  <c r="BX168" i="5" s="1"/>
  <c r="BX167" i="5" s="1"/>
  <c r="BX166" i="5" s="1"/>
  <c r="BX165" i="5" s="1"/>
  <c r="BX164" i="5" s="1"/>
  <c r="BX163" i="5" s="1"/>
  <c r="BX162" i="5" s="1"/>
  <c r="BX161" i="5" s="1"/>
  <c r="BX160" i="5" s="1"/>
  <c r="BX159" i="5" s="1"/>
  <c r="BX158" i="5" s="1"/>
  <c r="BX157" i="5" s="1"/>
  <c r="BX156" i="5" s="1"/>
  <c r="BX155" i="5" s="1"/>
  <c r="BX154" i="5" s="1"/>
  <c r="BX153" i="5" s="1"/>
  <c r="BX152" i="5" s="1"/>
  <c r="BX151" i="5" s="1"/>
  <c r="BX150" i="5" s="1"/>
  <c r="BX149" i="5" s="1"/>
  <c r="BX148" i="5" s="1"/>
  <c r="BX147" i="5" s="1"/>
  <c r="BX146" i="5" s="1"/>
  <c r="BX145" i="5" s="1"/>
  <c r="BX144" i="5" s="1"/>
  <c r="BX143" i="5" s="1"/>
  <c r="BX142" i="5" s="1"/>
  <c r="BX141" i="5" s="1"/>
  <c r="BX140" i="5" s="1"/>
  <c r="BX139" i="5" s="1"/>
  <c r="BX138" i="5" s="1"/>
  <c r="BX137" i="5" s="1"/>
  <c r="BX136" i="5" s="1"/>
  <c r="BX135" i="5" s="1"/>
  <c r="BX134" i="5" s="1"/>
  <c r="BX133" i="5" s="1"/>
  <c r="BX132" i="5" s="1"/>
  <c r="BX131" i="5" s="1"/>
  <c r="BX130" i="5" s="1"/>
  <c r="BX129" i="5" s="1"/>
  <c r="BX128" i="5" s="1"/>
  <c r="BX127" i="5" s="1"/>
  <c r="BX126" i="5" s="1"/>
  <c r="BX125" i="5" s="1"/>
  <c r="BX124" i="5" s="1"/>
  <c r="BX123" i="5" s="1"/>
  <c r="BX122" i="5" s="1"/>
  <c r="BX121" i="5" s="1"/>
  <c r="BX120" i="5" s="1"/>
  <c r="BX119" i="5" s="1"/>
  <c r="BX118" i="5" s="1"/>
  <c r="BX117" i="5" s="1"/>
  <c r="BX116" i="5" s="1"/>
  <c r="BX115" i="5" s="1"/>
  <c r="BX114" i="5" s="1"/>
  <c r="BX113" i="5" s="1"/>
  <c r="BX112" i="5" s="1"/>
  <c r="BY213" i="5"/>
  <c r="BY212" i="5" s="1"/>
  <c r="BY211" i="5" s="1"/>
  <c r="BY210" i="5" s="1"/>
  <c r="BY209" i="5" s="1"/>
  <c r="BY208" i="5" s="1"/>
  <c r="BY207" i="5" s="1"/>
  <c r="BY206" i="5" s="1"/>
  <c r="BY205" i="5" s="1"/>
  <c r="BY204" i="5" s="1"/>
  <c r="BY203" i="5" s="1"/>
  <c r="BY202" i="5" s="1"/>
  <c r="BY201" i="5" s="1"/>
  <c r="BY200" i="5" s="1"/>
  <c r="BY199" i="5" s="1"/>
  <c r="BY198" i="5" s="1"/>
  <c r="BY197" i="5" s="1"/>
  <c r="BY196" i="5" s="1"/>
  <c r="BY195" i="5" s="1"/>
  <c r="BY194" i="5" s="1"/>
  <c r="BY193" i="5" s="1"/>
  <c r="BY192" i="5" s="1"/>
  <c r="BY191" i="5" s="1"/>
  <c r="BY190" i="5" s="1"/>
  <c r="BY189" i="5" s="1"/>
  <c r="BY188" i="5" s="1"/>
  <c r="BY187" i="5" s="1"/>
  <c r="BY186" i="5" s="1"/>
  <c r="BY185" i="5" s="1"/>
  <c r="BY184" i="5" s="1"/>
  <c r="BY183" i="5" s="1"/>
  <c r="BY182" i="5" s="1"/>
  <c r="BY181" i="5" s="1"/>
  <c r="BY180" i="5" s="1"/>
  <c r="BY179" i="5" s="1"/>
  <c r="BY178" i="5" s="1"/>
  <c r="BY177" i="5" s="1"/>
  <c r="BY176" i="5" s="1"/>
  <c r="BY175" i="5" s="1"/>
  <c r="BY174" i="5" s="1"/>
  <c r="BY173" i="5" s="1"/>
  <c r="BY172" i="5" s="1"/>
  <c r="BY171" i="5" s="1"/>
  <c r="BY170" i="5" s="1"/>
  <c r="BY169" i="5" s="1"/>
  <c r="BY168" i="5" s="1"/>
  <c r="BY167" i="5" s="1"/>
  <c r="BY166" i="5" s="1"/>
  <c r="BY165" i="5" s="1"/>
  <c r="BY164" i="5" s="1"/>
  <c r="BY163" i="5" s="1"/>
  <c r="BY162" i="5" s="1"/>
  <c r="BY161" i="5" s="1"/>
  <c r="BY160" i="5" s="1"/>
  <c r="BY159" i="5" s="1"/>
  <c r="BY158" i="5" s="1"/>
  <c r="BY157" i="5" s="1"/>
  <c r="BY156" i="5" s="1"/>
  <c r="BY155" i="5" s="1"/>
  <c r="BY154" i="5" s="1"/>
  <c r="BY153" i="5" s="1"/>
  <c r="BY152" i="5" s="1"/>
  <c r="BY151" i="5" s="1"/>
  <c r="BY150" i="5" s="1"/>
  <c r="BY149" i="5" s="1"/>
  <c r="BY148" i="5" s="1"/>
  <c r="BY147" i="5" s="1"/>
  <c r="BY146" i="5" s="1"/>
  <c r="BY145" i="5" s="1"/>
  <c r="BY144" i="5" s="1"/>
  <c r="BY143" i="5" s="1"/>
  <c r="BY142" i="5" s="1"/>
  <c r="BY141" i="5" s="1"/>
  <c r="BY140" i="5" s="1"/>
  <c r="BY139" i="5" s="1"/>
  <c r="BY138" i="5" s="1"/>
  <c r="BY137" i="5" s="1"/>
  <c r="BY136" i="5" s="1"/>
  <c r="BY135" i="5" s="1"/>
  <c r="BY134" i="5" s="1"/>
  <c r="BY133" i="5" s="1"/>
  <c r="BY132" i="5" s="1"/>
  <c r="BY131" i="5" s="1"/>
  <c r="BY130" i="5" s="1"/>
  <c r="BY129" i="5" s="1"/>
  <c r="BY128" i="5" s="1"/>
  <c r="BY127" i="5" s="1"/>
  <c r="BY126" i="5" s="1"/>
  <c r="BY125" i="5" s="1"/>
  <c r="BY124" i="5" s="1"/>
  <c r="BY123" i="5" s="1"/>
  <c r="BY122" i="5" s="1"/>
  <c r="BY121" i="5" s="1"/>
  <c r="BY120" i="5" s="1"/>
  <c r="BY119" i="5" s="1"/>
  <c r="BY118" i="5" s="1"/>
  <c r="BY117" i="5" s="1"/>
  <c r="BY116" i="5" s="1"/>
  <c r="BY115" i="5" s="1"/>
  <c r="BY114" i="5" s="1"/>
  <c r="BY113" i="5" s="1"/>
  <c r="BY112" i="5" s="1"/>
  <c r="BZ213" i="5"/>
  <c r="BZ212" i="5" s="1"/>
  <c r="BZ211" i="5" s="1"/>
  <c r="BZ210" i="5" s="1"/>
  <c r="BZ209" i="5" s="1"/>
  <c r="BZ208" i="5" s="1"/>
  <c r="BZ207" i="5" s="1"/>
  <c r="BZ206" i="5" s="1"/>
  <c r="BZ205" i="5" s="1"/>
  <c r="BZ204" i="5" s="1"/>
  <c r="BZ203" i="5" s="1"/>
  <c r="BZ202" i="5" s="1"/>
  <c r="BZ201" i="5" s="1"/>
  <c r="BZ200" i="5" s="1"/>
  <c r="BZ199" i="5" s="1"/>
  <c r="BZ198" i="5" s="1"/>
  <c r="BZ197" i="5" s="1"/>
  <c r="BZ196" i="5" s="1"/>
  <c r="BZ195" i="5" s="1"/>
  <c r="BZ194" i="5" s="1"/>
  <c r="BZ193" i="5" s="1"/>
  <c r="BZ192" i="5" s="1"/>
  <c r="BZ191" i="5" s="1"/>
  <c r="BZ190" i="5" s="1"/>
  <c r="BZ189" i="5" s="1"/>
  <c r="BZ188" i="5" s="1"/>
  <c r="BZ187" i="5" s="1"/>
  <c r="BZ186" i="5" s="1"/>
  <c r="BZ185" i="5" s="1"/>
  <c r="BZ184" i="5" s="1"/>
  <c r="BZ183" i="5" s="1"/>
  <c r="BZ182" i="5" s="1"/>
  <c r="BZ181" i="5" s="1"/>
  <c r="BZ180" i="5" s="1"/>
  <c r="BZ179" i="5" s="1"/>
  <c r="BZ178" i="5" s="1"/>
  <c r="BZ177" i="5" s="1"/>
  <c r="BZ176" i="5" s="1"/>
  <c r="BZ175" i="5" s="1"/>
  <c r="BZ174" i="5" s="1"/>
  <c r="BZ173" i="5" s="1"/>
  <c r="BZ172" i="5" s="1"/>
  <c r="BZ171" i="5" s="1"/>
  <c r="BZ170" i="5" s="1"/>
  <c r="BZ169" i="5" s="1"/>
  <c r="BZ168" i="5" s="1"/>
  <c r="BZ167" i="5" s="1"/>
  <c r="BZ166" i="5" s="1"/>
  <c r="BZ165" i="5" s="1"/>
  <c r="BZ164" i="5" s="1"/>
  <c r="BZ163" i="5" s="1"/>
  <c r="BZ162" i="5" s="1"/>
  <c r="BZ161" i="5" s="1"/>
  <c r="BZ160" i="5" s="1"/>
  <c r="BZ159" i="5" s="1"/>
  <c r="BZ158" i="5" s="1"/>
  <c r="BZ157" i="5" s="1"/>
  <c r="BZ156" i="5" s="1"/>
  <c r="BZ155" i="5" s="1"/>
  <c r="BZ154" i="5" s="1"/>
  <c r="BZ153" i="5" s="1"/>
  <c r="BZ152" i="5" s="1"/>
  <c r="BZ151" i="5" s="1"/>
  <c r="BZ150" i="5" s="1"/>
  <c r="BZ149" i="5" s="1"/>
  <c r="BZ148" i="5" s="1"/>
  <c r="BZ147" i="5" s="1"/>
  <c r="BZ146" i="5" s="1"/>
  <c r="BZ145" i="5" s="1"/>
  <c r="BZ144" i="5" s="1"/>
  <c r="BZ143" i="5" s="1"/>
  <c r="BZ142" i="5" s="1"/>
  <c r="BZ141" i="5" s="1"/>
  <c r="BZ140" i="5" s="1"/>
  <c r="BZ139" i="5" s="1"/>
  <c r="BZ138" i="5" s="1"/>
  <c r="BZ137" i="5" s="1"/>
  <c r="BZ136" i="5" s="1"/>
  <c r="BZ135" i="5" s="1"/>
  <c r="BZ134" i="5" s="1"/>
  <c r="BZ133" i="5" s="1"/>
  <c r="BZ132" i="5" s="1"/>
  <c r="BZ131" i="5" s="1"/>
  <c r="BZ130" i="5" s="1"/>
  <c r="BZ129" i="5" s="1"/>
  <c r="BZ128" i="5" s="1"/>
  <c r="BZ127" i="5" s="1"/>
  <c r="BZ126" i="5" s="1"/>
  <c r="BZ125" i="5" s="1"/>
  <c r="BZ124" i="5" s="1"/>
  <c r="BZ123" i="5" s="1"/>
  <c r="BZ122" i="5" s="1"/>
  <c r="BZ121" i="5" s="1"/>
  <c r="BZ120" i="5" s="1"/>
  <c r="BZ119" i="5" s="1"/>
  <c r="BZ118" i="5" s="1"/>
  <c r="BZ117" i="5" s="1"/>
  <c r="BZ116" i="5" s="1"/>
  <c r="BZ115" i="5" s="1"/>
  <c r="BZ114" i="5" s="1"/>
  <c r="BZ113" i="5" s="1"/>
  <c r="BZ112" i="5" s="1"/>
  <c r="CA213" i="5"/>
  <c r="CA212" i="5" s="1"/>
  <c r="CA211" i="5" s="1"/>
  <c r="CA210" i="5" s="1"/>
  <c r="CA209" i="5" s="1"/>
  <c r="CA208" i="5" s="1"/>
  <c r="CA207" i="5" s="1"/>
  <c r="CA206" i="5" s="1"/>
  <c r="CA205" i="5" s="1"/>
  <c r="CA204" i="5" s="1"/>
  <c r="CA203" i="5" s="1"/>
  <c r="CA202" i="5" s="1"/>
  <c r="CA201" i="5" s="1"/>
  <c r="CA200" i="5" s="1"/>
  <c r="CA199" i="5" s="1"/>
  <c r="CA198" i="5" s="1"/>
  <c r="CA197" i="5" s="1"/>
  <c r="CA196" i="5" s="1"/>
  <c r="CA195" i="5" s="1"/>
  <c r="CA194" i="5" s="1"/>
  <c r="CA193" i="5" s="1"/>
  <c r="CA192" i="5" s="1"/>
  <c r="CA191" i="5" s="1"/>
  <c r="CA190" i="5" s="1"/>
  <c r="CA189" i="5" s="1"/>
  <c r="CA188" i="5" s="1"/>
  <c r="CA187" i="5" s="1"/>
  <c r="CA186" i="5" s="1"/>
  <c r="CA185" i="5" s="1"/>
  <c r="CA184" i="5" s="1"/>
  <c r="CA183" i="5" s="1"/>
  <c r="CA182" i="5" s="1"/>
  <c r="CA181" i="5" s="1"/>
  <c r="CA180" i="5" s="1"/>
  <c r="CA179" i="5" s="1"/>
  <c r="CA178" i="5" s="1"/>
  <c r="CA177" i="5" s="1"/>
  <c r="CA176" i="5" s="1"/>
  <c r="CA175" i="5" s="1"/>
  <c r="CA174" i="5" s="1"/>
  <c r="CA173" i="5" s="1"/>
  <c r="CA172" i="5" s="1"/>
  <c r="CA171" i="5" s="1"/>
  <c r="CA170" i="5" s="1"/>
  <c r="CA169" i="5" s="1"/>
  <c r="CA168" i="5" s="1"/>
  <c r="CA167" i="5" s="1"/>
  <c r="CA166" i="5" s="1"/>
  <c r="CA165" i="5" s="1"/>
  <c r="CA164" i="5" s="1"/>
  <c r="CA163" i="5" s="1"/>
  <c r="CA162" i="5" s="1"/>
  <c r="CA161" i="5" s="1"/>
  <c r="CA160" i="5" s="1"/>
  <c r="CA159" i="5" s="1"/>
  <c r="CA158" i="5" s="1"/>
  <c r="CA157" i="5" s="1"/>
  <c r="CA156" i="5" s="1"/>
  <c r="CA155" i="5" s="1"/>
  <c r="CA154" i="5" s="1"/>
  <c r="CA153" i="5" s="1"/>
  <c r="CA152" i="5" s="1"/>
  <c r="CA151" i="5" s="1"/>
  <c r="CA150" i="5" s="1"/>
  <c r="CA149" i="5" s="1"/>
  <c r="CA148" i="5" s="1"/>
  <c r="CA147" i="5" s="1"/>
  <c r="CA146" i="5" s="1"/>
  <c r="CA145" i="5" s="1"/>
  <c r="CA144" i="5" s="1"/>
  <c r="CA143" i="5" s="1"/>
  <c r="CA142" i="5" s="1"/>
  <c r="CA141" i="5" s="1"/>
  <c r="CA140" i="5" s="1"/>
  <c r="CA139" i="5" s="1"/>
  <c r="CA138" i="5" s="1"/>
  <c r="CA137" i="5" s="1"/>
  <c r="CA136" i="5" s="1"/>
  <c r="CA135" i="5" s="1"/>
  <c r="CA134" i="5" s="1"/>
  <c r="CA133" i="5" s="1"/>
  <c r="CA132" i="5" s="1"/>
  <c r="CA131" i="5" s="1"/>
  <c r="CA130" i="5" s="1"/>
  <c r="CA129" i="5" s="1"/>
  <c r="CA128" i="5" s="1"/>
  <c r="CA127" i="5" s="1"/>
  <c r="CA126" i="5" s="1"/>
  <c r="CA125" i="5" s="1"/>
  <c r="CA124" i="5" s="1"/>
  <c r="CA123" i="5" s="1"/>
  <c r="CA122" i="5" s="1"/>
  <c r="CA121" i="5" s="1"/>
  <c r="CA120" i="5" s="1"/>
  <c r="CA119" i="5" s="1"/>
  <c r="CA118" i="5" s="1"/>
  <c r="CA117" i="5" s="1"/>
  <c r="CA116" i="5" s="1"/>
  <c r="CA115" i="5" s="1"/>
  <c r="CA114" i="5" s="1"/>
  <c r="CA113" i="5" s="1"/>
  <c r="CA112" i="5" s="1"/>
  <c r="CB213" i="5"/>
  <c r="CB212" i="5" s="1"/>
  <c r="CB211" i="5" s="1"/>
  <c r="CB210" i="5" s="1"/>
  <c r="CB209" i="5" s="1"/>
  <c r="CB208" i="5" s="1"/>
  <c r="CB207" i="5" s="1"/>
  <c r="CB206" i="5" s="1"/>
  <c r="CB205" i="5" s="1"/>
  <c r="CB204" i="5" s="1"/>
  <c r="CB203" i="5" s="1"/>
  <c r="CB202" i="5" s="1"/>
  <c r="CB201" i="5" s="1"/>
  <c r="CB200" i="5" s="1"/>
  <c r="CB199" i="5" s="1"/>
  <c r="CB198" i="5" s="1"/>
  <c r="CB197" i="5" s="1"/>
  <c r="CB196" i="5" s="1"/>
  <c r="CB195" i="5" s="1"/>
  <c r="CB194" i="5" s="1"/>
  <c r="CB193" i="5" s="1"/>
  <c r="CB192" i="5" s="1"/>
  <c r="CB191" i="5" s="1"/>
  <c r="CB190" i="5" s="1"/>
  <c r="CB189" i="5" s="1"/>
  <c r="CB188" i="5" s="1"/>
  <c r="CB187" i="5" s="1"/>
  <c r="CB186" i="5" s="1"/>
  <c r="CB185" i="5" s="1"/>
  <c r="CB184" i="5" s="1"/>
  <c r="CB183" i="5" s="1"/>
  <c r="CB182" i="5" s="1"/>
  <c r="CB181" i="5" s="1"/>
  <c r="CB180" i="5" s="1"/>
  <c r="CB179" i="5" s="1"/>
  <c r="CB178" i="5" s="1"/>
  <c r="CB177" i="5" s="1"/>
  <c r="CB176" i="5" s="1"/>
  <c r="CB175" i="5" s="1"/>
  <c r="CB174" i="5" s="1"/>
  <c r="CB173" i="5" s="1"/>
  <c r="CB172" i="5" s="1"/>
  <c r="CB171" i="5" s="1"/>
  <c r="CB170" i="5" s="1"/>
  <c r="CB169" i="5" s="1"/>
  <c r="CB168" i="5" s="1"/>
  <c r="CB167" i="5" s="1"/>
  <c r="CB166" i="5" s="1"/>
  <c r="CB165" i="5" s="1"/>
  <c r="CB164" i="5" s="1"/>
  <c r="CB163" i="5" s="1"/>
  <c r="CB162" i="5" s="1"/>
  <c r="CB161" i="5" s="1"/>
  <c r="CB160" i="5" s="1"/>
  <c r="CB159" i="5" s="1"/>
  <c r="CB158" i="5" s="1"/>
  <c r="CB157" i="5" s="1"/>
  <c r="CB156" i="5" s="1"/>
  <c r="CB155" i="5" s="1"/>
  <c r="CB154" i="5" s="1"/>
  <c r="CB153" i="5" s="1"/>
  <c r="CB152" i="5" s="1"/>
  <c r="CB151" i="5" s="1"/>
  <c r="CB150" i="5" s="1"/>
  <c r="CB149" i="5" s="1"/>
  <c r="CB148" i="5" s="1"/>
  <c r="CB147" i="5" s="1"/>
  <c r="CB146" i="5" s="1"/>
  <c r="CB145" i="5" s="1"/>
  <c r="CB144" i="5" s="1"/>
  <c r="CB143" i="5" s="1"/>
  <c r="CB142" i="5" s="1"/>
  <c r="CB141" i="5" s="1"/>
  <c r="CB140" i="5" s="1"/>
  <c r="CB139" i="5" s="1"/>
  <c r="CB138" i="5" s="1"/>
  <c r="CB137" i="5" s="1"/>
  <c r="CB136" i="5" s="1"/>
  <c r="CB135" i="5" s="1"/>
  <c r="CB134" i="5" s="1"/>
  <c r="CB133" i="5" s="1"/>
  <c r="CB132" i="5" s="1"/>
  <c r="CB131" i="5" s="1"/>
  <c r="CB130" i="5" s="1"/>
  <c r="CB129" i="5" s="1"/>
  <c r="CB128" i="5" s="1"/>
  <c r="CB127" i="5" s="1"/>
  <c r="CB126" i="5" s="1"/>
  <c r="CB125" i="5" s="1"/>
  <c r="CB124" i="5" s="1"/>
  <c r="CB123" i="5" s="1"/>
  <c r="CB122" i="5" s="1"/>
  <c r="CB121" i="5" s="1"/>
  <c r="CB120" i="5" s="1"/>
  <c r="CB119" i="5" s="1"/>
  <c r="CB118" i="5" s="1"/>
  <c r="CB117" i="5" s="1"/>
  <c r="CB116" i="5" s="1"/>
  <c r="CB115" i="5" s="1"/>
  <c r="CB114" i="5" s="1"/>
  <c r="CB113" i="5" s="1"/>
  <c r="CB112" i="5" s="1"/>
  <c r="CC213" i="5"/>
  <c r="CC212" i="5" s="1"/>
  <c r="CC211" i="5" s="1"/>
  <c r="CC210" i="5" s="1"/>
  <c r="CC209" i="5" s="1"/>
  <c r="CC208" i="5" s="1"/>
  <c r="CC207" i="5" s="1"/>
  <c r="CC206" i="5" s="1"/>
  <c r="CC205" i="5" s="1"/>
  <c r="CC204" i="5" s="1"/>
  <c r="CC203" i="5" s="1"/>
  <c r="CC202" i="5" s="1"/>
  <c r="CC201" i="5" s="1"/>
  <c r="CC200" i="5" s="1"/>
  <c r="CC199" i="5" s="1"/>
  <c r="CC198" i="5" s="1"/>
  <c r="CC197" i="5" s="1"/>
  <c r="CC196" i="5" s="1"/>
  <c r="CC195" i="5" s="1"/>
  <c r="CC194" i="5" s="1"/>
  <c r="CC193" i="5" s="1"/>
  <c r="CC192" i="5" s="1"/>
  <c r="CC191" i="5" s="1"/>
  <c r="CC190" i="5" s="1"/>
  <c r="CC189" i="5" s="1"/>
  <c r="CC188" i="5" s="1"/>
  <c r="CC187" i="5" s="1"/>
  <c r="CC186" i="5" s="1"/>
  <c r="CC185" i="5" s="1"/>
  <c r="CC184" i="5" s="1"/>
  <c r="CC183" i="5" s="1"/>
  <c r="CC182" i="5" s="1"/>
  <c r="CC181" i="5" s="1"/>
  <c r="CC180" i="5" s="1"/>
  <c r="CC179" i="5" s="1"/>
  <c r="CC178" i="5" s="1"/>
  <c r="CC177" i="5" s="1"/>
  <c r="CC176" i="5" s="1"/>
  <c r="CC175" i="5" s="1"/>
  <c r="CC174" i="5" s="1"/>
  <c r="CC173" i="5" s="1"/>
  <c r="CC172" i="5" s="1"/>
  <c r="CC171" i="5" s="1"/>
  <c r="CC170" i="5" s="1"/>
  <c r="CC169" i="5" s="1"/>
  <c r="CC168" i="5" s="1"/>
  <c r="CC167" i="5" s="1"/>
  <c r="CC166" i="5" s="1"/>
  <c r="CC165" i="5" s="1"/>
  <c r="CC164" i="5" s="1"/>
  <c r="CC163" i="5" s="1"/>
  <c r="CC162" i="5" s="1"/>
  <c r="CC161" i="5" s="1"/>
  <c r="CC160" i="5" s="1"/>
  <c r="CC159" i="5" s="1"/>
  <c r="CC158" i="5" s="1"/>
  <c r="CC157" i="5" s="1"/>
  <c r="CC156" i="5" s="1"/>
  <c r="CC155" i="5" s="1"/>
  <c r="CC154" i="5" s="1"/>
  <c r="CC153" i="5" s="1"/>
  <c r="CC152" i="5" s="1"/>
  <c r="CC151" i="5" s="1"/>
  <c r="CC150" i="5" s="1"/>
  <c r="CC149" i="5" s="1"/>
  <c r="CC148" i="5" s="1"/>
  <c r="CC147" i="5" s="1"/>
  <c r="CC146" i="5" s="1"/>
  <c r="CC145" i="5" s="1"/>
  <c r="CC144" i="5" s="1"/>
  <c r="CC143" i="5" s="1"/>
  <c r="CC142" i="5" s="1"/>
  <c r="CC141" i="5" s="1"/>
  <c r="CC140" i="5" s="1"/>
  <c r="CC139" i="5" s="1"/>
  <c r="CC138" i="5" s="1"/>
  <c r="CC137" i="5" s="1"/>
  <c r="CC136" i="5" s="1"/>
  <c r="CC135" i="5" s="1"/>
  <c r="CC134" i="5" s="1"/>
  <c r="CC133" i="5" s="1"/>
  <c r="CC132" i="5" s="1"/>
  <c r="CC131" i="5" s="1"/>
  <c r="CC130" i="5" s="1"/>
  <c r="CC129" i="5" s="1"/>
  <c r="CC128" i="5" s="1"/>
  <c r="CC127" i="5" s="1"/>
  <c r="CC126" i="5" s="1"/>
  <c r="CC125" i="5" s="1"/>
  <c r="CC124" i="5" s="1"/>
  <c r="CC123" i="5" s="1"/>
  <c r="CC122" i="5" s="1"/>
  <c r="CC121" i="5" s="1"/>
  <c r="CC120" i="5" s="1"/>
  <c r="CC119" i="5" s="1"/>
  <c r="CC118" i="5" s="1"/>
  <c r="CC117" i="5" s="1"/>
  <c r="CC116" i="5" s="1"/>
  <c r="CC115" i="5" s="1"/>
  <c r="CC114" i="5" s="1"/>
  <c r="CC113" i="5" s="1"/>
  <c r="CC112" i="5" s="1"/>
  <c r="CD213" i="5"/>
  <c r="CD212" i="5" s="1"/>
  <c r="CD211" i="5" s="1"/>
  <c r="CD210" i="5" s="1"/>
  <c r="CD209" i="5" s="1"/>
  <c r="CD208" i="5" s="1"/>
  <c r="CD207" i="5" s="1"/>
  <c r="CD206" i="5" s="1"/>
  <c r="CD205" i="5" s="1"/>
  <c r="CD204" i="5" s="1"/>
  <c r="CD203" i="5" s="1"/>
  <c r="CD202" i="5" s="1"/>
  <c r="CD201" i="5" s="1"/>
  <c r="CD200" i="5" s="1"/>
  <c r="CD199" i="5" s="1"/>
  <c r="CD198" i="5" s="1"/>
  <c r="CD197" i="5" s="1"/>
  <c r="CD196" i="5" s="1"/>
  <c r="CD195" i="5" s="1"/>
  <c r="CD194" i="5" s="1"/>
  <c r="CD193" i="5" s="1"/>
  <c r="CD192" i="5" s="1"/>
  <c r="CD191" i="5" s="1"/>
  <c r="CD190" i="5" s="1"/>
  <c r="CD189" i="5" s="1"/>
  <c r="CD188" i="5" s="1"/>
  <c r="CD187" i="5" s="1"/>
  <c r="CD186" i="5" s="1"/>
  <c r="CD185" i="5" s="1"/>
  <c r="CD184" i="5" s="1"/>
  <c r="CD183" i="5" s="1"/>
  <c r="CD182" i="5" s="1"/>
  <c r="CD181" i="5" s="1"/>
  <c r="CD180" i="5" s="1"/>
  <c r="CD179" i="5" s="1"/>
  <c r="CD178" i="5" s="1"/>
  <c r="CD177" i="5" s="1"/>
  <c r="CD176" i="5" s="1"/>
  <c r="CD175" i="5" s="1"/>
  <c r="CD174" i="5" s="1"/>
  <c r="CD173" i="5" s="1"/>
  <c r="CD172" i="5" s="1"/>
  <c r="CD171" i="5" s="1"/>
  <c r="CD170" i="5" s="1"/>
  <c r="CD169" i="5" s="1"/>
  <c r="CD168" i="5" s="1"/>
  <c r="CD167" i="5" s="1"/>
  <c r="CD166" i="5" s="1"/>
  <c r="CD165" i="5" s="1"/>
  <c r="CD164" i="5" s="1"/>
  <c r="CD163" i="5" s="1"/>
  <c r="CD162" i="5" s="1"/>
  <c r="CD161" i="5" s="1"/>
  <c r="CD160" i="5" s="1"/>
  <c r="CD159" i="5" s="1"/>
  <c r="CD158" i="5" s="1"/>
  <c r="CD157" i="5" s="1"/>
  <c r="CD156" i="5" s="1"/>
  <c r="CD155" i="5" s="1"/>
  <c r="CD154" i="5" s="1"/>
  <c r="CD153" i="5" s="1"/>
  <c r="CD152" i="5" s="1"/>
  <c r="CD151" i="5" s="1"/>
  <c r="CD150" i="5" s="1"/>
  <c r="CD149" i="5" s="1"/>
  <c r="CD148" i="5" s="1"/>
  <c r="CD147" i="5" s="1"/>
  <c r="CD146" i="5" s="1"/>
  <c r="CD145" i="5" s="1"/>
  <c r="CD144" i="5" s="1"/>
  <c r="CD143" i="5" s="1"/>
  <c r="CD142" i="5" s="1"/>
  <c r="CD141" i="5" s="1"/>
  <c r="CD140" i="5" s="1"/>
  <c r="CD139" i="5" s="1"/>
  <c r="CD138" i="5" s="1"/>
  <c r="CD137" i="5" s="1"/>
  <c r="CD136" i="5" s="1"/>
  <c r="CD135" i="5" s="1"/>
  <c r="CD134" i="5" s="1"/>
  <c r="CD133" i="5" s="1"/>
  <c r="CD132" i="5" s="1"/>
  <c r="CD131" i="5" s="1"/>
  <c r="CD130" i="5" s="1"/>
  <c r="CD129" i="5" s="1"/>
  <c r="CD128" i="5" s="1"/>
  <c r="CD127" i="5" s="1"/>
  <c r="CD126" i="5" s="1"/>
  <c r="CD125" i="5" s="1"/>
  <c r="CD124" i="5" s="1"/>
  <c r="CD123" i="5" s="1"/>
  <c r="CD122" i="5" s="1"/>
  <c r="CD121" i="5" s="1"/>
  <c r="CD120" i="5" s="1"/>
  <c r="CD119" i="5" s="1"/>
  <c r="CD118" i="5" s="1"/>
  <c r="CD117" i="5" s="1"/>
  <c r="CD116" i="5" s="1"/>
  <c r="CD115" i="5" s="1"/>
  <c r="CD114" i="5" s="1"/>
  <c r="CD113" i="5" s="1"/>
  <c r="CD112" i="5" s="1"/>
  <c r="CE213" i="5"/>
  <c r="CE212" i="5" s="1"/>
  <c r="CE211" i="5" s="1"/>
  <c r="CE210" i="5" s="1"/>
  <c r="CE209" i="5" s="1"/>
  <c r="CE208" i="5" s="1"/>
  <c r="CE207" i="5" s="1"/>
  <c r="CE206" i="5" s="1"/>
  <c r="CE205" i="5" s="1"/>
  <c r="CE204" i="5" s="1"/>
  <c r="CE203" i="5" s="1"/>
  <c r="CE202" i="5" s="1"/>
  <c r="CE201" i="5" s="1"/>
  <c r="CE200" i="5" s="1"/>
  <c r="CE199" i="5" s="1"/>
  <c r="CE198" i="5" s="1"/>
  <c r="CE197" i="5" s="1"/>
  <c r="CE196" i="5" s="1"/>
  <c r="CE195" i="5" s="1"/>
  <c r="CE194" i="5" s="1"/>
  <c r="CE193" i="5" s="1"/>
  <c r="CE192" i="5" s="1"/>
  <c r="CE191" i="5" s="1"/>
  <c r="CE190" i="5" s="1"/>
  <c r="CE189" i="5" s="1"/>
  <c r="CE188" i="5" s="1"/>
  <c r="CE187" i="5" s="1"/>
  <c r="CE186" i="5" s="1"/>
  <c r="CE185" i="5" s="1"/>
  <c r="CE184" i="5" s="1"/>
  <c r="CE183" i="5" s="1"/>
  <c r="CE182" i="5" s="1"/>
  <c r="CE181" i="5" s="1"/>
  <c r="CE180" i="5" s="1"/>
  <c r="CE179" i="5" s="1"/>
  <c r="CE178" i="5" s="1"/>
  <c r="CE177" i="5" s="1"/>
  <c r="CE176" i="5" s="1"/>
  <c r="CE175" i="5" s="1"/>
  <c r="CE174" i="5" s="1"/>
  <c r="CE173" i="5" s="1"/>
  <c r="CE172" i="5" s="1"/>
  <c r="CE171" i="5" s="1"/>
  <c r="CE170" i="5" s="1"/>
  <c r="CE169" i="5" s="1"/>
  <c r="CE168" i="5" s="1"/>
  <c r="CE167" i="5" s="1"/>
  <c r="CE166" i="5" s="1"/>
  <c r="CE165" i="5" s="1"/>
  <c r="CE164" i="5" s="1"/>
  <c r="CE163" i="5" s="1"/>
  <c r="CE162" i="5" s="1"/>
  <c r="CE161" i="5" s="1"/>
  <c r="CE160" i="5" s="1"/>
  <c r="CE159" i="5" s="1"/>
  <c r="CE158" i="5" s="1"/>
  <c r="CE157" i="5" s="1"/>
  <c r="CE156" i="5" s="1"/>
  <c r="CE155" i="5" s="1"/>
  <c r="CE154" i="5" s="1"/>
  <c r="CE153" i="5" s="1"/>
  <c r="CE152" i="5" s="1"/>
  <c r="CE151" i="5" s="1"/>
  <c r="CE150" i="5" s="1"/>
  <c r="CE149" i="5" s="1"/>
  <c r="CE148" i="5" s="1"/>
  <c r="CE147" i="5" s="1"/>
  <c r="CE146" i="5" s="1"/>
  <c r="CE145" i="5" s="1"/>
  <c r="CE144" i="5" s="1"/>
  <c r="CE143" i="5" s="1"/>
  <c r="CE142" i="5" s="1"/>
  <c r="CE141" i="5" s="1"/>
  <c r="CE140" i="5" s="1"/>
  <c r="CE139" i="5" s="1"/>
  <c r="CE138" i="5" s="1"/>
  <c r="CE137" i="5" s="1"/>
  <c r="CE136" i="5" s="1"/>
  <c r="CE135" i="5" s="1"/>
  <c r="CE134" i="5" s="1"/>
  <c r="CE133" i="5" s="1"/>
  <c r="CE132" i="5" s="1"/>
  <c r="CE131" i="5" s="1"/>
  <c r="CE130" i="5" s="1"/>
  <c r="CE129" i="5" s="1"/>
  <c r="CE128" i="5" s="1"/>
  <c r="CE127" i="5" s="1"/>
  <c r="CE126" i="5" s="1"/>
  <c r="CE125" i="5" s="1"/>
  <c r="CE124" i="5" s="1"/>
  <c r="CE123" i="5" s="1"/>
  <c r="CE122" i="5" s="1"/>
  <c r="CE121" i="5" s="1"/>
  <c r="CE120" i="5" s="1"/>
  <c r="CE119" i="5" s="1"/>
  <c r="CE118" i="5" s="1"/>
  <c r="CE117" i="5" s="1"/>
  <c r="CE116" i="5" s="1"/>
  <c r="CE115" i="5" s="1"/>
  <c r="CE114" i="5" s="1"/>
  <c r="CE113" i="5" s="1"/>
  <c r="CE112" i="5" s="1"/>
  <c r="CF213" i="5"/>
  <c r="CF212" i="5" s="1"/>
  <c r="CF211" i="5" s="1"/>
  <c r="CF210" i="5" s="1"/>
  <c r="CF209" i="5" s="1"/>
  <c r="CF208" i="5" s="1"/>
  <c r="CF207" i="5" s="1"/>
  <c r="CF206" i="5" s="1"/>
  <c r="CF205" i="5" s="1"/>
  <c r="CF204" i="5" s="1"/>
  <c r="CF203" i="5" s="1"/>
  <c r="CF202" i="5" s="1"/>
  <c r="CF201" i="5" s="1"/>
  <c r="CF200" i="5" s="1"/>
  <c r="CF199" i="5" s="1"/>
  <c r="CF198" i="5" s="1"/>
  <c r="CF197" i="5" s="1"/>
  <c r="CF196" i="5" s="1"/>
  <c r="CF195" i="5" s="1"/>
  <c r="CF194" i="5" s="1"/>
  <c r="CF193" i="5" s="1"/>
  <c r="CF192" i="5" s="1"/>
  <c r="CF191" i="5" s="1"/>
  <c r="CF190" i="5" s="1"/>
  <c r="CF189" i="5" s="1"/>
  <c r="CF188" i="5" s="1"/>
  <c r="CF187" i="5" s="1"/>
  <c r="CF186" i="5" s="1"/>
  <c r="CF185" i="5" s="1"/>
  <c r="CF184" i="5" s="1"/>
  <c r="CF183" i="5" s="1"/>
  <c r="CF182" i="5" s="1"/>
  <c r="CF181" i="5" s="1"/>
  <c r="CF180" i="5" s="1"/>
  <c r="CF179" i="5" s="1"/>
  <c r="CF178" i="5" s="1"/>
  <c r="CF177" i="5" s="1"/>
  <c r="CF176" i="5" s="1"/>
  <c r="CF175" i="5" s="1"/>
  <c r="CF174" i="5" s="1"/>
  <c r="CF173" i="5" s="1"/>
  <c r="CF172" i="5" s="1"/>
  <c r="CF171" i="5" s="1"/>
  <c r="CF170" i="5" s="1"/>
  <c r="CF169" i="5" s="1"/>
  <c r="CF168" i="5" s="1"/>
  <c r="CF167" i="5" s="1"/>
  <c r="CF166" i="5" s="1"/>
  <c r="CF165" i="5" s="1"/>
  <c r="CF164" i="5" s="1"/>
  <c r="CF163" i="5" s="1"/>
  <c r="CF162" i="5" s="1"/>
  <c r="CF161" i="5" s="1"/>
  <c r="CF160" i="5" s="1"/>
  <c r="CF159" i="5" s="1"/>
  <c r="CF158" i="5" s="1"/>
  <c r="CF157" i="5" s="1"/>
  <c r="CF156" i="5" s="1"/>
  <c r="CF155" i="5" s="1"/>
  <c r="CF154" i="5" s="1"/>
  <c r="CF153" i="5" s="1"/>
  <c r="CF152" i="5" s="1"/>
  <c r="CF151" i="5" s="1"/>
  <c r="CF150" i="5" s="1"/>
  <c r="CF149" i="5" s="1"/>
  <c r="CF148" i="5" s="1"/>
  <c r="CF147" i="5" s="1"/>
  <c r="CF146" i="5" s="1"/>
  <c r="CF145" i="5" s="1"/>
  <c r="CF144" i="5" s="1"/>
  <c r="CF143" i="5" s="1"/>
  <c r="CF142" i="5" s="1"/>
  <c r="CF141" i="5" s="1"/>
  <c r="CF140" i="5" s="1"/>
  <c r="CF139" i="5" s="1"/>
  <c r="CF138" i="5" s="1"/>
  <c r="CF137" i="5" s="1"/>
  <c r="CF136" i="5" s="1"/>
  <c r="CF135" i="5" s="1"/>
  <c r="CF134" i="5" s="1"/>
  <c r="CF133" i="5" s="1"/>
  <c r="CF132" i="5" s="1"/>
  <c r="CF131" i="5" s="1"/>
  <c r="CF130" i="5" s="1"/>
  <c r="CF129" i="5" s="1"/>
  <c r="CF128" i="5" s="1"/>
  <c r="CF127" i="5" s="1"/>
  <c r="CF126" i="5" s="1"/>
  <c r="CF125" i="5" s="1"/>
  <c r="CF124" i="5" s="1"/>
  <c r="CF123" i="5" s="1"/>
  <c r="CF122" i="5" s="1"/>
  <c r="CF121" i="5" s="1"/>
  <c r="CF120" i="5" s="1"/>
  <c r="CF119" i="5" s="1"/>
  <c r="CF118" i="5" s="1"/>
  <c r="CF117" i="5" s="1"/>
  <c r="CF116" i="5" s="1"/>
  <c r="CF115" i="5" s="1"/>
  <c r="CF114" i="5" s="1"/>
  <c r="CF113" i="5" s="1"/>
  <c r="CF112" i="5" s="1"/>
  <c r="CG213" i="5"/>
  <c r="CG212" i="5" s="1"/>
  <c r="CG211" i="5" s="1"/>
  <c r="CG210" i="5" s="1"/>
  <c r="CG209" i="5" s="1"/>
  <c r="CG208" i="5" s="1"/>
  <c r="CG207" i="5" s="1"/>
  <c r="CG206" i="5" s="1"/>
  <c r="CG205" i="5" s="1"/>
  <c r="CG204" i="5" s="1"/>
  <c r="CG203" i="5" s="1"/>
  <c r="CG202" i="5" s="1"/>
  <c r="CG201" i="5" s="1"/>
  <c r="CG200" i="5" s="1"/>
  <c r="CG199" i="5" s="1"/>
  <c r="CG198" i="5" s="1"/>
  <c r="CG197" i="5" s="1"/>
  <c r="CG196" i="5" s="1"/>
  <c r="CG195" i="5" s="1"/>
  <c r="CG194" i="5" s="1"/>
  <c r="CG193" i="5" s="1"/>
  <c r="CG192" i="5" s="1"/>
  <c r="CG191" i="5" s="1"/>
  <c r="CG190" i="5" s="1"/>
  <c r="CG189" i="5" s="1"/>
  <c r="CG188" i="5" s="1"/>
  <c r="CG187" i="5" s="1"/>
  <c r="CG186" i="5" s="1"/>
  <c r="CG185" i="5" s="1"/>
  <c r="CG184" i="5" s="1"/>
  <c r="CG183" i="5" s="1"/>
  <c r="CG182" i="5" s="1"/>
  <c r="CG181" i="5" s="1"/>
  <c r="CG180" i="5" s="1"/>
  <c r="CG179" i="5" s="1"/>
  <c r="CG178" i="5" s="1"/>
  <c r="CG177" i="5" s="1"/>
  <c r="CG176" i="5" s="1"/>
  <c r="CG175" i="5" s="1"/>
  <c r="CG174" i="5" s="1"/>
  <c r="CG173" i="5" s="1"/>
  <c r="CG172" i="5" s="1"/>
  <c r="CG171" i="5" s="1"/>
  <c r="CG170" i="5" s="1"/>
  <c r="CG169" i="5" s="1"/>
  <c r="CG168" i="5" s="1"/>
  <c r="CG167" i="5" s="1"/>
  <c r="CG166" i="5" s="1"/>
  <c r="CG165" i="5" s="1"/>
  <c r="CG164" i="5" s="1"/>
  <c r="CG163" i="5" s="1"/>
  <c r="CG162" i="5" s="1"/>
  <c r="CG161" i="5" s="1"/>
  <c r="CG160" i="5" s="1"/>
  <c r="CG159" i="5" s="1"/>
  <c r="CG158" i="5" s="1"/>
  <c r="CG157" i="5" s="1"/>
  <c r="CG156" i="5" s="1"/>
  <c r="CG155" i="5" s="1"/>
  <c r="CG154" i="5" s="1"/>
  <c r="CG153" i="5" s="1"/>
  <c r="CG152" i="5" s="1"/>
  <c r="CG151" i="5" s="1"/>
  <c r="CG150" i="5" s="1"/>
  <c r="CG149" i="5" s="1"/>
  <c r="CG148" i="5" s="1"/>
  <c r="CG147" i="5" s="1"/>
  <c r="CG146" i="5" s="1"/>
  <c r="CG145" i="5" s="1"/>
  <c r="CG144" i="5" s="1"/>
  <c r="CG143" i="5" s="1"/>
  <c r="CG142" i="5" s="1"/>
  <c r="CG141" i="5" s="1"/>
  <c r="CG140" i="5" s="1"/>
  <c r="CG139" i="5" s="1"/>
  <c r="CG138" i="5" s="1"/>
  <c r="CG137" i="5" s="1"/>
  <c r="CG136" i="5" s="1"/>
  <c r="CG135" i="5" s="1"/>
  <c r="CG134" i="5" s="1"/>
  <c r="CG133" i="5" s="1"/>
  <c r="CG132" i="5" s="1"/>
  <c r="CG131" i="5" s="1"/>
  <c r="CG130" i="5" s="1"/>
  <c r="CG129" i="5" s="1"/>
  <c r="CG128" i="5" s="1"/>
  <c r="CG127" i="5" s="1"/>
  <c r="CG126" i="5" s="1"/>
  <c r="CG125" i="5" s="1"/>
  <c r="CG124" i="5" s="1"/>
  <c r="CG123" i="5" s="1"/>
  <c r="CG122" i="5" s="1"/>
  <c r="CG121" i="5" s="1"/>
  <c r="CG120" i="5" s="1"/>
  <c r="CG119" i="5" s="1"/>
  <c r="CG118" i="5" s="1"/>
  <c r="CG117" i="5" s="1"/>
  <c r="CG116" i="5" s="1"/>
  <c r="CG115" i="5" s="1"/>
  <c r="CG114" i="5" s="1"/>
  <c r="CG113" i="5" s="1"/>
  <c r="CG112" i="5" s="1"/>
  <c r="CH213" i="5"/>
  <c r="CH212" i="5" s="1"/>
  <c r="CH211" i="5" s="1"/>
  <c r="CH210" i="5" s="1"/>
  <c r="CH209" i="5" s="1"/>
  <c r="CH208" i="5" s="1"/>
  <c r="CH207" i="5" s="1"/>
  <c r="CH206" i="5" s="1"/>
  <c r="CH205" i="5" s="1"/>
  <c r="CH204" i="5" s="1"/>
  <c r="CH203" i="5" s="1"/>
  <c r="CH202" i="5" s="1"/>
  <c r="CH201" i="5" s="1"/>
  <c r="CH200" i="5" s="1"/>
  <c r="CH199" i="5" s="1"/>
  <c r="CH198" i="5" s="1"/>
  <c r="CH197" i="5" s="1"/>
  <c r="CH196" i="5" s="1"/>
  <c r="CH195" i="5" s="1"/>
  <c r="CH194" i="5" s="1"/>
  <c r="CH193" i="5" s="1"/>
  <c r="CH192" i="5" s="1"/>
  <c r="CH191" i="5" s="1"/>
  <c r="CH190" i="5" s="1"/>
  <c r="CH189" i="5" s="1"/>
  <c r="CH188" i="5" s="1"/>
  <c r="CH187" i="5" s="1"/>
  <c r="CH186" i="5" s="1"/>
  <c r="CH185" i="5" s="1"/>
  <c r="CH184" i="5" s="1"/>
  <c r="CH183" i="5" s="1"/>
  <c r="CH182" i="5" s="1"/>
  <c r="CH181" i="5" s="1"/>
  <c r="CH180" i="5" s="1"/>
  <c r="CH179" i="5" s="1"/>
  <c r="CH178" i="5" s="1"/>
  <c r="CH177" i="5" s="1"/>
  <c r="CH176" i="5" s="1"/>
  <c r="CH175" i="5" s="1"/>
  <c r="CH174" i="5" s="1"/>
  <c r="CH173" i="5" s="1"/>
  <c r="CH172" i="5" s="1"/>
  <c r="CH171" i="5" s="1"/>
  <c r="CH170" i="5" s="1"/>
  <c r="CH169" i="5" s="1"/>
  <c r="CH168" i="5" s="1"/>
  <c r="CH167" i="5" s="1"/>
  <c r="CH166" i="5" s="1"/>
  <c r="CH165" i="5" s="1"/>
  <c r="CH164" i="5" s="1"/>
  <c r="CH163" i="5" s="1"/>
  <c r="CH162" i="5" s="1"/>
  <c r="CH161" i="5" s="1"/>
  <c r="CH160" i="5" s="1"/>
  <c r="CH159" i="5" s="1"/>
  <c r="CH158" i="5" s="1"/>
  <c r="CH157" i="5" s="1"/>
  <c r="CH156" i="5" s="1"/>
  <c r="CH155" i="5" s="1"/>
  <c r="CH154" i="5" s="1"/>
  <c r="CH153" i="5" s="1"/>
  <c r="CH152" i="5" s="1"/>
  <c r="CH151" i="5" s="1"/>
  <c r="CH150" i="5" s="1"/>
  <c r="CH149" i="5" s="1"/>
  <c r="CH148" i="5" s="1"/>
  <c r="CH147" i="5" s="1"/>
  <c r="CH146" i="5" s="1"/>
  <c r="CH145" i="5" s="1"/>
  <c r="CH144" i="5" s="1"/>
  <c r="CH143" i="5" s="1"/>
  <c r="CH142" i="5" s="1"/>
  <c r="CH141" i="5" s="1"/>
  <c r="CH140" i="5" s="1"/>
  <c r="CH139" i="5" s="1"/>
  <c r="CH138" i="5" s="1"/>
  <c r="CH137" i="5" s="1"/>
  <c r="CH136" i="5" s="1"/>
  <c r="CH135" i="5" s="1"/>
  <c r="CH134" i="5" s="1"/>
  <c r="CH133" i="5" s="1"/>
  <c r="CH132" i="5" s="1"/>
  <c r="CH131" i="5" s="1"/>
  <c r="CH130" i="5" s="1"/>
  <c r="CH129" i="5" s="1"/>
  <c r="CH128" i="5" s="1"/>
  <c r="CH127" i="5" s="1"/>
  <c r="CH126" i="5" s="1"/>
  <c r="CH125" i="5" s="1"/>
  <c r="CH124" i="5" s="1"/>
  <c r="CH123" i="5" s="1"/>
  <c r="CH122" i="5" s="1"/>
  <c r="CH121" i="5" s="1"/>
  <c r="CH120" i="5" s="1"/>
  <c r="CH119" i="5" s="1"/>
  <c r="CH118" i="5" s="1"/>
  <c r="CH117" i="5" s="1"/>
  <c r="CH116" i="5" s="1"/>
  <c r="CH115" i="5" s="1"/>
  <c r="CH114" i="5" s="1"/>
  <c r="CH113" i="5" s="1"/>
  <c r="CH112" i="5" s="1"/>
  <c r="CI213" i="5"/>
  <c r="CI212" i="5" s="1"/>
  <c r="CI211" i="5" s="1"/>
  <c r="CI210" i="5" s="1"/>
  <c r="CI209" i="5" s="1"/>
  <c r="CI208" i="5" s="1"/>
  <c r="CI207" i="5" s="1"/>
  <c r="CI206" i="5" s="1"/>
  <c r="CI205" i="5" s="1"/>
  <c r="CI204" i="5" s="1"/>
  <c r="CI203" i="5" s="1"/>
  <c r="CI202" i="5" s="1"/>
  <c r="CI201" i="5" s="1"/>
  <c r="CI200" i="5" s="1"/>
  <c r="CI199" i="5" s="1"/>
  <c r="CI198" i="5" s="1"/>
  <c r="CI197" i="5" s="1"/>
  <c r="CI196" i="5" s="1"/>
  <c r="CI195" i="5" s="1"/>
  <c r="CI194" i="5" s="1"/>
  <c r="CI193" i="5" s="1"/>
  <c r="CI192" i="5" s="1"/>
  <c r="CI191" i="5" s="1"/>
  <c r="CI190" i="5" s="1"/>
  <c r="CI189" i="5" s="1"/>
  <c r="CI188" i="5" s="1"/>
  <c r="CI187" i="5" s="1"/>
  <c r="CI186" i="5" s="1"/>
  <c r="CI185" i="5" s="1"/>
  <c r="CI184" i="5" s="1"/>
  <c r="CI183" i="5" s="1"/>
  <c r="CI182" i="5" s="1"/>
  <c r="CI181" i="5" s="1"/>
  <c r="CI180" i="5" s="1"/>
  <c r="CI179" i="5" s="1"/>
  <c r="CI178" i="5" s="1"/>
  <c r="CI177" i="5" s="1"/>
  <c r="CI176" i="5" s="1"/>
  <c r="CI175" i="5" s="1"/>
  <c r="CI174" i="5" s="1"/>
  <c r="CI173" i="5" s="1"/>
  <c r="CI172" i="5" s="1"/>
  <c r="CI171" i="5" s="1"/>
  <c r="CI170" i="5" s="1"/>
  <c r="CI169" i="5" s="1"/>
  <c r="CI168" i="5" s="1"/>
  <c r="CI167" i="5" s="1"/>
  <c r="CI166" i="5" s="1"/>
  <c r="CI165" i="5" s="1"/>
  <c r="CI164" i="5" s="1"/>
  <c r="CI163" i="5" s="1"/>
  <c r="CI162" i="5" s="1"/>
  <c r="CI161" i="5" s="1"/>
  <c r="CI160" i="5" s="1"/>
  <c r="CI159" i="5" s="1"/>
  <c r="CI158" i="5" s="1"/>
  <c r="CI157" i="5" s="1"/>
  <c r="CI156" i="5" s="1"/>
  <c r="CI155" i="5" s="1"/>
  <c r="CI154" i="5" s="1"/>
  <c r="CI153" i="5" s="1"/>
  <c r="CI152" i="5" s="1"/>
  <c r="CI151" i="5" s="1"/>
  <c r="CI150" i="5" s="1"/>
  <c r="CI149" i="5" s="1"/>
  <c r="CI148" i="5" s="1"/>
  <c r="CI147" i="5" s="1"/>
  <c r="CI146" i="5" s="1"/>
  <c r="CI145" i="5" s="1"/>
  <c r="CI144" i="5" s="1"/>
  <c r="CI143" i="5" s="1"/>
  <c r="CI142" i="5" s="1"/>
  <c r="CI141" i="5" s="1"/>
  <c r="CI140" i="5" s="1"/>
  <c r="CI139" i="5" s="1"/>
  <c r="CI138" i="5" s="1"/>
  <c r="CI137" i="5" s="1"/>
  <c r="CI136" i="5" s="1"/>
  <c r="CI135" i="5" s="1"/>
  <c r="CI134" i="5" s="1"/>
  <c r="CI133" i="5" s="1"/>
  <c r="CI132" i="5" s="1"/>
  <c r="CI131" i="5" s="1"/>
  <c r="CI130" i="5" s="1"/>
  <c r="CI129" i="5" s="1"/>
  <c r="CI128" i="5" s="1"/>
  <c r="CI127" i="5" s="1"/>
  <c r="CI126" i="5" s="1"/>
  <c r="CI125" i="5" s="1"/>
  <c r="CI124" i="5" s="1"/>
  <c r="CI123" i="5" s="1"/>
  <c r="CI122" i="5" s="1"/>
  <c r="CI121" i="5" s="1"/>
  <c r="CI120" i="5" s="1"/>
  <c r="CI119" i="5" s="1"/>
  <c r="CI118" i="5" s="1"/>
  <c r="CI117" i="5" s="1"/>
  <c r="CI116" i="5" s="1"/>
  <c r="CI115" i="5" s="1"/>
  <c r="CI114" i="5" s="1"/>
  <c r="CI113" i="5" s="1"/>
  <c r="CI112" i="5" s="1"/>
  <c r="CJ213" i="5"/>
  <c r="CJ212" i="5" s="1"/>
  <c r="CJ211" i="5" s="1"/>
  <c r="CJ210" i="5" s="1"/>
  <c r="CJ209" i="5" s="1"/>
  <c r="CJ208" i="5" s="1"/>
  <c r="CJ207" i="5" s="1"/>
  <c r="CJ206" i="5" s="1"/>
  <c r="CJ205" i="5" s="1"/>
  <c r="CJ204" i="5" s="1"/>
  <c r="CJ203" i="5" s="1"/>
  <c r="CJ202" i="5" s="1"/>
  <c r="CJ201" i="5" s="1"/>
  <c r="CJ200" i="5" s="1"/>
  <c r="CJ199" i="5" s="1"/>
  <c r="CJ198" i="5" s="1"/>
  <c r="CJ197" i="5" s="1"/>
  <c r="CJ196" i="5" s="1"/>
  <c r="CJ195" i="5" s="1"/>
  <c r="CJ194" i="5" s="1"/>
  <c r="CJ193" i="5" s="1"/>
  <c r="CJ192" i="5" s="1"/>
  <c r="CJ191" i="5" s="1"/>
  <c r="CJ190" i="5" s="1"/>
  <c r="CJ189" i="5" s="1"/>
  <c r="CJ188" i="5" s="1"/>
  <c r="CJ187" i="5" s="1"/>
  <c r="CJ186" i="5" s="1"/>
  <c r="CJ185" i="5" s="1"/>
  <c r="CJ184" i="5" s="1"/>
  <c r="CJ183" i="5" s="1"/>
  <c r="CJ182" i="5" s="1"/>
  <c r="CJ181" i="5" s="1"/>
  <c r="CJ180" i="5" s="1"/>
  <c r="CJ179" i="5" s="1"/>
  <c r="CJ178" i="5" s="1"/>
  <c r="CJ177" i="5" s="1"/>
  <c r="CJ176" i="5" s="1"/>
  <c r="CJ175" i="5" s="1"/>
  <c r="CJ174" i="5" s="1"/>
  <c r="CJ173" i="5" s="1"/>
  <c r="CJ172" i="5" s="1"/>
  <c r="CJ171" i="5" s="1"/>
  <c r="CJ170" i="5" s="1"/>
  <c r="CJ169" i="5" s="1"/>
  <c r="CJ168" i="5" s="1"/>
  <c r="CJ167" i="5" s="1"/>
  <c r="CJ166" i="5" s="1"/>
  <c r="CJ165" i="5" s="1"/>
  <c r="CJ164" i="5" s="1"/>
  <c r="CJ163" i="5" s="1"/>
  <c r="CJ162" i="5" s="1"/>
  <c r="CJ161" i="5" s="1"/>
  <c r="CJ160" i="5" s="1"/>
  <c r="CJ159" i="5" s="1"/>
  <c r="CJ158" i="5" s="1"/>
  <c r="CJ157" i="5" s="1"/>
  <c r="CJ156" i="5" s="1"/>
  <c r="CJ155" i="5" s="1"/>
  <c r="CJ154" i="5" s="1"/>
  <c r="CJ153" i="5" s="1"/>
  <c r="CJ152" i="5" s="1"/>
  <c r="CJ151" i="5" s="1"/>
  <c r="CJ150" i="5" s="1"/>
  <c r="CJ149" i="5" s="1"/>
  <c r="CJ148" i="5" s="1"/>
  <c r="CJ147" i="5" s="1"/>
  <c r="CJ146" i="5" s="1"/>
  <c r="CJ145" i="5" s="1"/>
  <c r="CJ144" i="5" s="1"/>
  <c r="CJ143" i="5" s="1"/>
  <c r="CJ142" i="5" s="1"/>
  <c r="CJ141" i="5" s="1"/>
  <c r="CJ140" i="5" s="1"/>
  <c r="CJ139" i="5" s="1"/>
  <c r="CJ138" i="5" s="1"/>
  <c r="CJ137" i="5" s="1"/>
  <c r="CJ136" i="5" s="1"/>
  <c r="CJ135" i="5" s="1"/>
  <c r="CJ134" i="5" s="1"/>
  <c r="CJ133" i="5" s="1"/>
  <c r="CJ132" i="5" s="1"/>
  <c r="CJ131" i="5" s="1"/>
  <c r="CJ130" i="5" s="1"/>
  <c r="CJ129" i="5" s="1"/>
  <c r="CJ128" i="5" s="1"/>
  <c r="CJ127" i="5" s="1"/>
  <c r="CJ126" i="5" s="1"/>
  <c r="CJ125" i="5" s="1"/>
  <c r="CJ124" i="5" s="1"/>
  <c r="CJ123" i="5" s="1"/>
  <c r="CJ122" i="5" s="1"/>
  <c r="CJ121" i="5" s="1"/>
  <c r="CJ120" i="5" s="1"/>
  <c r="CJ119" i="5" s="1"/>
  <c r="CJ118" i="5" s="1"/>
  <c r="CJ117" i="5" s="1"/>
  <c r="CJ116" i="5" s="1"/>
  <c r="CJ115" i="5" s="1"/>
  <c r="CJ114" i="5" s="1"/>
  <c r="CJ113" i="5" s="1"/>
  <c r="CJ112" i="5" s="1"/>
  <c r="CK213" i="5"/>
  <c r="CK212" i="5" s="1"/>
  <c r="CK211" i="5" s="1"/>
  <c r="CK210" i="5" s="1"/>
  <c r="CK209" i="5" s="1"/>
  <c r="CK208" i="5" s="1"/>
  <c r="CK207" i="5" s="1"/>
  <c r="CK206" i="5" s="1"/>
  <c r="CK205" i="5" s="1"/>
  <c r="CK204" i="5" s="1"/>
  <c r="CK203" i="5" s="1"/>
  <c r="CK202" i="5" s="1"/>
  <c r="CK201" i="5" s="1"/>
  <c r="CK200" i="5" s="1"/>
  <c r="CK199" i="5" s="1"/>
  <c r="CK198" i="5" s="1"/>
  <c r="CK197" i="5" s="1"/>
  <c r="CK196" i="5" s="1"/>
  <c r="CK195" i="5" s="1"/>
  <c r="CK194" i="5" s="1"/>
  <c r="CK193" i="5" s="1"/>
  <c r="CK192" i="5" s="1"/>
  <c r="CK191" i="5" s="1"/>
  <c r="CK190" i="5" s="1"/>
  <c r="CK189" i="5" s="1"/>
  <c r="CK188" i="5" s="1"/>
  <c r="CK187" i="5" s="1"/>
  <c r="CK186" i="5" s="1"/>
  <c r="CK185" i="5" s="1"/>
  <c r="CK184" i="5" s="1"/>
  <c r="CK183" i="5" s="1"/>
  <c r="CK182" i="5" s="1"/>
  <c r="CK181" i="5" s="1"/>
  <c r="CK180" i="5" s="1"/>
  <c r="CK179" i="5" s="1"/>
  <c r="CK178" i="5" s="1"/>
  <c r="CK177" i="5" s="1"/>
  <c r="CK176" i="5" s="1"/>
  <c r="CK175" i="5" s="1"/>
  <c r="CK174" i="5" s="1"/>
  <c r="CK173" i="5" s="1"/>
  <c r="CK172" i="5" s="1"/>
  <c r="CK171" i="5" s="1"/>
  <c r="CK170" i="5" s="1"/>
  <c r="CK169" i="5" s="1"/>
  <c r="CK168" i="5" s="1"/>
  <c r="CK167" i="5" s="1"/>
  <c r="CK166" i="5" s="1"/>
  <c r="CK165" i="5" s="1"/>
  <c r="CK164" i="5" s="1"/>
  <c r="CK163" i="5" s="1"/>
  <c r="CK162" i="5" s="1"/>
  <c r="CK161" i="5" s="1"/>
  <c r="CK160" i="5" s="1"/>
  <c r="CK159" i="5" s="1"/>
  <c r="CK158" i="5" s="1"/>
  <c r="CK157" i="5" s="1"/>
  <c r="CK156" i="5" s="1"/>
  <c r="CK155" i="5" s="1"/>
  <c r="CK154" i="5" s="1"/>
  <c r="CK153" i="5" s="1"/>
  <c r="CK152" i="5" s="1"/>
  <c r="CK151" i="5" s="1"/>
  <c r="CK150" i="5" s="1"/>
  <c r="CK149" i="5" s="1"/>
  <c r="CK148" i="5" s="1"/>
  <c r="CK147" i="5" s="1"/>
  <c r="CK146" i="5" s="1"/>
  <c r="CK145" i="5" s="1"/>
  <c r="CK144" i="5" s="1"/>
  <c r="CK143" i="5" s="1"/>
  <c r="CK142" i="5" s="1"/>
  <c r="CK141" i="5" s="1"/>
  <c r="CK140" i="5" s="1"/>
  <c r="CK139" i="5" s="1"/>
  <c r="CK138" i="5" s="1"/>
  <c r="CK137" i="5" s="1"/>
  <c r="CK136" i="5" s="1"/>
  <c r="CK135" i="5" s="1"/>
  <c r="CK134" i="5" s="1"/>
  <c r="CK133" i="5" s="1"/>
  <c r="CK132" i="5" s="1"/>
  <c r="CK131" i="5" s="1"/>
  <c r="CK130" i="5" s="1"/>
  <c r="CK129" i="5" s="1"/>
  <c r="CK128" i="5" s="1"/>
  <c r="CK127" i="5" s="1"/>
  <c r="CK126" i="5" s="1"/>
  <c r="CK125" i="5" s="1"/>
  <c r="CK124" i="5" s="1"/>
  <c r="CK123" i="5" s="1"/>
  <c r="CK122" i="5" s="1"/>
  <c r="CK121" i="5" s="1"/>
  <c r="CK120" i="5" s="1"/>
  <c r="CK119" i="5" s="1"/>
  <c r="CK118" i="5" s="1"/>
  <c r="CK117" i="5" s="1"/>
  <c r="CK116" i="5" s="1"/>
  <c r="CK115" i="5" s="1"/>
  <c r="CK114" i="5" s="1"/>
  <c r="CK113" i="5" s="1"/>
  <c r="CK112" i="5" s="1"/>
  <c r="CL213" i="5"/>
  <c r="CL212" i="5" s="1"/>
  <c r="CL211" i="5" s="1"/>
  <c r="CL210" i="5" s="1"/>
  <c r="CL209" i="5" s="1"/>
  <c r="CL208" i="5" s="1"/>
  <c r="CL207" i="5" s="1"/>
  <c r="CL206" i="5" s="1"/>
  <c r="CL205" i="5" s="1"/>
  <c r="CL204" i="5" s="1"/>
  <c r="CL203" i="5" s="1"/>
  <c r="CL202" i="5" s="1"/>
  <c r="CL201" i="5" s="1"/>
  <c r="CL200" i="5" s="1"/>
  <c r="CL199" i="5" s="1"/>
  <c r="CL198" i="5" s="1"/>
  <c r="CL197" i="5" s="1"/>
  <c r="CL196" i="5" s="1"/>
  <c r="CL195" i="5" s="1"/>
  <c r="CL194" i="5" s="1"/>
  <c r="CL193" i="5" s="1"/>
  <c r="CL192" i="5" s="1"/>
  <c r="CL191" i="5" s="1"/>
  <c r="CL190" i="5" s="1"/>
  <c r="CL189" i="5" s="1"/>
  <c r="CL188" i="5" s="1"/>
  <c r="CL187" i="5" s="1"/>
  <c r="CL186" i="5" s="1"/>
  <c r="CL185" i="5" s="1"/>
  <c r="CL184" i="5" s="1"/>
  <c r="CL183" i="5" s="1"/>
  <c r="CL182" i="5" s="1"/>
  <c r="CL181" i="5" s="1"/>
  <c r="CL180" i="5" s="1"/>
  <c r="CL179" i="5" s="1"/>
  <c r="CL178" i="5" s="1"/>
  <c r="CL177" i="5" s="1"/>
  <c r="CL176" i="5" s="1"/>
  <c r="CL175" i="5" s="1"/>
  <c r="CL174" i="5" s="1"/>
  <c r="CL173" i="5" s="1"/>
  <c r="CL172" i="5" s="1"/>
  <c r="CL171" i="5" s="1"/>
  <c r="CL170" i="5" s="1"/>
  <c r="CL169" i="5" s="1"/>
  <c r="CL168" i="5" s="1"/>
  <c r="CL167" i="5" s="1"/>
  <c r="CL166" i="5" s="1"/>
  <c r="CL165" i="5" s="1"/>
  <c r="CL164" i="5" s="1"/>
  <c r="CL163" i="5" s="1"/>
  <c r="CL162" i="5" s="1"/>
  <c r="CL161" i="5" s="1"/>
  <c r="CL160" i="5" s="1"/>
  <c r="CL159" i="5" s="1"/>
  <c r="CL158" i="5" s="1"/>
  <c r="CL157" i="5" s="1"/>
  <c r="CL156" i="5" s="1"/>
  <c r="CL155" i="5" s="1"/>
  <c r="CL154" i="5" s="1"/>
  <c r="CL153" i="5" s="1"/>
  <c r="CL152" i="5" s="1"/>
  <c r="CL151" i="5" s="1"/>
  <c r="CL150" i="5" s="1"/>
  <c r="CL149" i="5" s="1"/>
  <c r="CL148" i="5" s="1"/>
  <c r="CL147" i="5" s="1"/>
  <c r="CL146" i="5" s="1"/>
  <c r="CL145" i="5" s="1"/>
  <c r="CL144" i="5" s="1"/>
  <c r="CL143" i="5" s="1"/>
  <c r="CL142" i="5" s="1"/>
  <c r="CL141" i="5" s="1"/>
  <c r="CL140" i="5" s="1"/>
  <c r="CL139" i="5" s="1"/>
  <c r="CL138" i="5" s="1"/>
  <c r="CL137" i="5" s="1"/>
  <c r="CL136" i="5" s="1"/>
  <c r="CL135" i="5" s="1"/>
  <c r="CL134" i="5" s="1"/>
  <c r="CL133" i="5" s="1"/>
  <c r="CL132" i="5" s="1"/>
  <c r="CL131" i="5" s="1"/>
  <c r="CL130" i="5" s="1"/>
  <c r="CL129" i="5" s="1"/>
  <c r="CL128" i="5" s="1"/>
  <c r="CL127" i="5" s="1"/>
  <c r="CL126" i="5" s="1"/>
  <c r="CL125" i="5" s="1"/>
  <c r="CL124" i="5" s="1"/>
  <c r="CL123" i="5" s="1"/>
  <c r="CL122" i="5" s="1"/>
  <c r="CL121" i="5" s="1"/>
  <c r="CL120" i="5" s="1"/>
  <c r="CL119" i="5" s="1"/>
  <c r="CL118" i="5" s="1"/>
  <c r="CL117" i="5" s="1"/>
  <c r="CL116" i="5" s="1"/>
  <c r="CL115" i="5" s="1"/>
  <c r="CL114" i="5" s="1"/>
  <c r="CL113" i="5" s="1"/>
  <c r="CL112" i="5" s="1"/>
  <c r="CM213" i="5"/>
  <c r="CM212" i="5" s="1"/>
  <c r="CM211" i="5" s="1"/>
  <c r="CM210" i="5" s="1"/>
  <c r="CM209" i="5" s="1"/>
  <c r="CM208" i="5" s="1"/>
  <c r="CM207" i="5" s="1"/>
  <c r="CM206" i="5" s="1"/>
  <c r="CM205" i="5" s="1"/>
  <c r="CM204" i="5" s="1"/>
  <c r="CM203" i="5" s="1"/>
  <c r="CM202" i="5" s="1"/>
  <c r="CM201" i="5" s="1"/>
  <c r="CM200" i="5" s="1"/>
  <c r="CM199" i="5" s="1"/>
  <c r="CM198" i="5" s="1"/>
  <c r="CM197" i="5" s="1"/>
  <c r="CM196" i="5" s="1"/>
  <c r="CM195" i="5" s="1"/>
  <c r="CM194" i="5" s="1"/>
  <c r="CM193" i="5" s="1"/>
  <c r="CM192" i="5" s="1"/>
  <c r="CM191" i="5" s="1"/>
  <c r="CM190" i="5" s="1"/>
  <c r="CM189" i="5" s="1"/>
  <c r="CM188" i="5" s="1"/>
  <c r="CM187" i="5" s="1"/>
  <c r="CM186" i="5" s="1"/>
  <c r="CM185" i="5" s="1"/>
  <c r="CM184" i="5" s="1"/>
  <c r="CM183" i="5" s="1"/>
  <c r="CM182" i="5" s="1"/>
  <c r="CM181" i="5" s="1"/>
  <c r="CM180" i="5" s="1"/>
  <c r="CM179" i="5" s="1"/>
  <c r="CM178" i="5" s="1"/>
  <c r="CM177" i="5" s="1"/>
  <c r="CM176" i="5" s="1"/>
  <c r="CM175" i="5" s="1"/>
  <c r="CM174" i="5" s="1"/>
  <c r="CM173" i="5" s="1"/>
  <c r="CM172" i="5" s="1"/>
  <c r="CM171" i="5" s="1"/>
  <c r="CM170" i="5" s="1"/>
  <c r="CM169" i="5" s="1"/>
  <c r="CM168" i="5" s="1"/>
  <c r="CM167" i="5" s="1"/>
  <c r="CM166" i="5" s="1"/>
  <c r="CM165" i="5" s="1"/>
  <c r="CM164" i="5" s="1"/>
  <c r="CM163" i="5" s="1"/>
  <c r="CM162" i="5" s="1"/>
  <c r="CM161" i="5" s="1"/>
  <c r="CM160" i="5" s="1"/>
  <c r="CM159" i="5" s="1"/>
  <c r="CM158" i="5" s="1"/>
  <c r="CM157" i="5" s="1"/>
  <c r="CM156" i="5" s="1"/>
  <c r="CM155" i="5" s="1"/>
  <c r="CM154" i="5" s="1"/>
  <c r="CM153" i="5" s="1"/>
  <c r="CM152" i="5" s="1"/>
  <c r="CM151" i="5" s="1"/>
  <c r="CM150" i="5" s="1"/>
  <c r="CM149" i="5" s="1"/>
  <c r="CM148" i="5" s="1"/>
  <c r="CM147" i="5" s="1"/>
  <c r="CM146" i="5" s="1"/>
  <c r="CM145" i="5" s="1"/>
  <c r="CM144" i="5" s="1"/>
  <c r="CM143" i="5" s="1"/>
  <c r="CM142" i="5" s="1"/>
  <c r="CM141" i="5" s="1"/>
  <c r="CM140" i="5" s="1"/>
  <c r="CM139" i="5" s="1"/>
  <c r="CM138" i="5" s="1"/>
  <c r="CM137" i="5" s="1"/>
  <c r="CM136" i="5" s="1"/>
  <c r="CM135" i="5" s="1"/>
  <c r="CM134" i="5" s="1"/>
  <c r="CM133" i="5" s="1"/>
  <c r="CM132" i="5" s="1"/>
  <c r="CM131" i="5" s="1"/>
  <c r="CM130" i="5" s="1"/>
  <c r="CM129" i="5" s="1"/>
  <c r="CM128" i="5" s="1"/>
  <c r="CM127" i="5" s="1"/>
  <c r="CM126" i="5" s="1"/>
  <c r="CM125" i="5" s="1"/>
  <c r="CM124" i="5" s="1"/>
  <c r="CM123" i="5" s="1"/>
  <c r="CM122" i="5" s="1"/>
  <c r="CM121" i="5" s="1"/>
  <c r="CM120" i="5" s="1"/>
  <c r="CM119" i="5" s="1"/>
  <c r="CM118" i="5" s="1"/>
  <c r="CM117" i="5" s="1"/>
  <c r="CM116" i="5" s="1"/>
  <c r="CM115" i="5" s="1"/>
  <c r="CM114" i="5" s="1"/>
  <c r="CM113" i="5" s="1"/>
  <c r="CM112" i="5" s="1"/>
  <c r="CN213" i="5"/>
  <c r="CN212" i="5" s="1"/>
  <c r="CN211" i="5" s="1"/>
  <c r="CN210" i="5" s="1"/>
  <c r="CN209" i="5" s="1"/>
  <c r="CN208" i="5" s="1"/>
  <c r="CN207" i="5" s="1"/>
  <c r="CN206" i="5" s="1"/>
  <c r="CN205" i="5" s="1"/>
  <c r="CN204" i="5" s="1"/>
  <c r="CN203" i="5" s="1"/>
  <c r="CN202" i="5" s="1"/>
  <c r="CN201" i="5" s="1"/>
  <c r="CN200" i="5" s="1"/>
  <c r="CN199" i="5" s="1"/>
  <c r="CN198" i="5" s="1"/>
  <c r="CN197" i="5" s="1"/>
  <c r="CN196" i="5" s="1"/>
  <c r="CN195" i="5" s="1"/>
  <c r="CN194" i="5" s="1"/>
  <c r="CN193" i="5" s="1"/>
  <c r="CN192" i="5" s="1"/>
  <c r="CN191" i="5" s="1"/>
  <c r="CN190" i="5" s="1"/>
  <c r="CN189" i="5" s="1"/>
  <c r="CN188" i="5" s="1"/>
  <c r="CN187" i="5" s="1"/>
  <c r="CN186" i="5" s="1"/>
  <c r="CN185" i="5" s="1"/>
  <c r="CN184" i="5" s="1"/>
  <c r="CN183" i="5" s="1"/>
  <c r="CN182" i="5" s="1"/>
  <c r="CN181" i="5" s="1"/>
  <c r="CN180" i="5" s="1"/>
  <c r="CN179" i="5" s="1"/>
  <c r="CN178" i="5" s="1"/>
  <c r="CN177" i="5" s="1"/>
  <c r="CN176" i="5" s="1"/>
  <c r="CN175" i="5" s="1"/>
  <c r="CN174" i="5" s="1"/>
  <c r="CN173" i="5" s="1"/>
  <c r="CN172" i="5" s="1"/>
  <c r="CN171" i="5" s="1"/>
  <c r="CN170" i="5" s="1"/>
  <c r="CN169" i="5" s="1"/>
  <c r="CN168" i="5" s="1"/>
  <c r="CN167" i="5" s="1"/>
  <c r="CN166" i="5" s="1"/>
  <c r="CN165" i="5" s="1"/>
  <c r="CN164" i="5" s="1"/>
  <c r="CN163" i="5" s="1"/>
  <c r="CN162" i="5" s="1"/>
  <c r="CN161" i="5" s="1"/>
  <c r="CN160" i="5" s="1"/>
  <c r="CN159" i="5" s="1"/>
  <c r="CN158" i="5" s="1"/>
  <c r="CN157" i="5" s="1"/>
  <c r="CN156" i="5" s="1"/>
  <c r="CN155" i="5" s="1"/>
  <c r="CN154" i="5" s="1"/>
  <c r="CN153" i="5" s="1"/>
  <c r="CN152" i="5" s="1"/>
  <c r="CN151" i="5" s="1"/>
  <c r="CN150" i="5" s="1"/>
  <c r="CN149" i="5" s="1"/>
  <c r="CN148" i="5" s="1"/>
  <c r="CN147" i="5" s="1"/>
  <c r="CN146" i="5" s="1"/>
  <c r="CN145" i="5" s="1"/>
  <c r="CN144" i="5" s="1"/>
  <c r="CN143" i="5" s="1"/>
  <c r="CN142" i="5" s="1"/>
  <c r="CN141" i="5" s="1"/>
  <c r="CN140" i="5" s="1"/>
  <c r="CN139" i="5" s="1"/>
  <c r="CN138" i="5" s="1"/>
  <c r="CN137" i="5" s="1"/>
  <c r="CN136" i="5" s="1"/>
  <c r="CN135" i="5" s="1"/>
  <c r="CN134" i="5" s="1"/>
  <c r="CN133" i="5" s="1"/>
  <c r="CN132" i="5" s="1"/>
  <c r="CN131" i="5" s="1"/>
  <c r="CN130" i="5" s="1"/>
  <c r="CN129" i="5" s="1"/>
  <c r="CN128" i="5" s="1"/>
  <c r="CN127" i="5" s="1"/>
  <c r="CN126" i="5" s="1"/>
  <c r="CN125" i="5" s="1"/>
  <c r="CN124" i="5" s="1"/>
  <c r="CN123" i="5" s="1"/>
  <c r="CN122" i="5" s="1"/>
  <c r="CN121" i="5" s="1"/>
  <c r="CN120" i="5" s="1"/>
  <c r="CN119" i="5" s="1"/>
  <c r="CN118" i="5" s="1"/>
  <c r="CN117" i="5" s="1"/>
  <c r="CN116" i="5" s="1"/>
  <c r="CN115" i="5" s="1"/>
  <c r="CN114" i="5" s="1"/>
  <c r="CN113" i="5" s="1"/>
  <c r="CN112" i="5" s="1"/>
  <c r="CO213" i="5"/>
  <c r="CO212" i="5" s="1"/>
  <c r="CO211" i="5" s="1"/>
  <c r="CO210" i="5" s="1"/>
  <c r="CO209" i="5" s="1"/>
  <c r="CO208" i="5" s="1"/>
  <c r="CO207" i="5" s="1"/>
  <c r="CO206" i="5" s="1"/>
  <c r="CO205" i="5" s="1"/>
  <c r="CO204" i="5" s="1"/>
  <c r="CO203" i="5" s="1"/>
  <c r="CO202" i="5" s="1"/>
  <c r="CO201" i="5" s="1"/>
  <c r="CO200" i="5" s="1"/>
  <c r="CO199" i="5" s="1"/>
  <c r="CO198" i="5" s="1"/>
  <c r="CO197" i="5" s="1"/>
  <c r="CO196" i="5" s="1"/>
  <c r="CO195" i="5" s="1"/>
  <c r="CO194" i="5" s="1"/>
  <c r="CO193" i="5" s="1"/>
  <c r="CO192" i="5" s="1"/>
  <c r="CO191" i="5" s="1"/>
  <c r="CO190" i="5" s="1"/>
  <c r="CO189" i="5" s="1"/>
  <c r="CO188" i="5" s="1"/>
  <c r="CO187" i="5" s="1"/>
  <c r="CO186" i="5" s="1"/>
  <c r="CO185" i="5" s="1"/>
  <c r="CO184" i="5" s="1"/>
  <c r="CO183" i="5" s="1"/>
  <c r="CO182" i="5" s="1"/>
  <c r="CO181" i="5" s="1"/>
  <c r="CO180" i="5" s="1"/>
  <c r="CO179" i="5" s="1"/>
  <c r="CO178" i="5" s="1"/>
  <c r="CO177" i="5" s="1"/>
  <c r="CO176" i="5" s="1"/>
  <c r="CO175" i="5" s="1"/>
  <c r="CO174" i="5" s="1"/>
  <c r="CO173" i="5" s="1"/>
  <c r="CO172" i="5" s="1"/>
  <c r="CO171" i="5" s="1"/>
  <c r="CO170" i="5" s="1"/>
  <c r="CO169" i="5" s="1"/>
  <c r="CO168" i="5" s="1"/>
  <c r="CO167" i="5" s="1"/>
  <c r="CO166" i="5" s="1"/>
  <c r="CO165" i="5" s="1"/>
  <c r="CO164" i="5" s="1"/>
  <c r="CO163" i="5" s="1"/>
  <c r="CO162" i="5" s="1"/>
  <c r="CO161" i="5" s="1"/>
  <c r="CO160" i="5" s="1"/>
  <c r="CO159" i="5" s="1"/>
  <c r="CO158" i="5" s="1"/>
  <c r="CO157" i="5" s="1"/>
  <c r="CO156" i="5" s="1"/>
  <c r="CO155" i="5" s="1"/>
  <c r="CO154" i="5" s="1"/>
  <c r="CO153" i="5" s="1"/>
  <c r="CO152" i="5" s="1"/>
  <c r="CO151" i="5" s="1"/>
  <c r="CO150" i="5" s="1"/>
  <c r="CO149" i="5" s="1"/>
  <c r="CO148" i="5" s="1"/>
  <c r="CO147" i="5" s="1"/>
  <c r="CO146" i="5" s="1"/>
  <c r="CO145" i="5" s="1"/>
  <c r="CO144" i="5" s="1"/>
  <c r="CO143" i="5" s="1"/>
  <c r="CO142" i="5" s="1"/>
  <c r="CO141" i="5" s="1"/>
  <c r="CO140" i="5" s="1"/>
  <c r="CO139" i="5" s="1"/>
  <c r="CO138" i="5" s="1"/>
  <c r="CO137" i="5" s="1"/>
  <c r="CO136" i="5" s="1"/>
  <c r="CO135" i="5" s="1"/>
  <c r="CO134" i="5" s="1"/>
  <c r="CO133" i="5" s="1"/>
  <c r="CO132" i="5" s="1"/>
  <c r="CO131" i="5" s="1"/>
  <c r="CO130" i="5" s="1"/>
  <c r="CO129" i="5" s="1"/>
  <c r="CO128" i="5" s="1"/>
  <c r="CO127" i="5" s="1"/>
  <c r="CO126" i="5" s="1"/>
  <c r="CO125" i="5" s="1"/>
  <c r="CO124" i="5" s="1"/>
  <c r="CO123" i="5" s="1"/>
  <c r="CO122" i="5" s="1"/>
  <c r="CO121" i="5" s="1"/>
  <c r="CO120" i="5" s="1"/>
  <c r="CO119" i="5" s="1"/>
  <c r="CO118" i="5" s="1"/>
  <c r="CO117" i="5" s="1"/>
  <c r="CO116" i="5" s="1"/>
  <c r="CO115" i="5" s="1"/>
  <c r="CO114" i="5" s="1"/>
  <c r="CO113" i="5" s="1"/>
  <c r="CO112" i="5" s="1"/>
  <c r="CP213" i="5"/>
  <c r="CP212" i="5" s="1"/>
  <c r="CP211" i="5" s="1"/>
  <c r="CP210" i="5" s="1"/>
  <c r="CP209" i="5" s="1"/>
  <c r="CP208" i="5" s="1"/>
  <c r="CP207" i="5" s="1"/>
  <c r="CP206" i="5" s="1"/>
  <c r="CP205" i="5" s="1"/>
  <c r="CP204" i="5" s="1"/>
  <c r="CP203" i="5" s="1"/>
  <c r="CP202" i="5" s="1"/>
  <c r="CP201" i="5" s="1"/>
  <c r="CP200" i="5" s="1"/>
  <c r="CP199" i="5" s="1"/>
  <c r="CP198" i="5" s="1"/>
  <c r="CP197" i="5" s="1"/>
  <c r="CP196" i="5" s="1"/>
  <c r="CP195" i="5" s="1"/>
  <c r="CP194" i="5" s="1"/>
  <c r="CP193" i="5" s="1"/>
  <c r="CP192" i="5" s="1"/>
  <c r="CP191" i="5" s="1"/>
  <c r="CP190" i="5" s="1"/>
  <c r="CP189" i="5" s="1"/>
  <c r="CP188" i="5" s="1"/>
  <c r="CP187" i="5" s="1"/>
  <c r="CP186" i="5" s="1"/>
  <c r="CP185" i="5" s="1"/>
  <c r="CP184" i="5" s="1"/>
  <c r="CP183" i="5" s="1"/>
  <c r="CP182" i="5" s="1"/>
  <c r="CP181" i="5" s="1"/>
  <c r="CP180" i="5" s="1"/>
  <c r="CP179" i="5" s="1"/>
  <c r="CP178" i="5" s="1"/>
  <c r="CP177" i="5" s="1"/>
  <c r="CP176" i="5" s="1"/>
  <c r="CP175" i="5" s="1"/>
  <c r="CP174" i="5" s="1"/>
  <c r="CP173" i="5" s="1"/>
  <c r="CP172" i="5" s="1"/>
  <c r="CP171" i="5" s="1"/>
  <c r="CP170" i="5" s="1"/>
  <c r="CP169" i="5" s="1"/>
  <c r="CP168" i="5" s="1"/>
  <c r="CP167" i="5" s="1"/>
  <c r="CP166" i="5" s="1"/>
  <c r="CP165" i="5" s="1"/>
  <c r="CP164" i="5" s="1"/>
  <c r="CP163" i="5" s="1"/>
  <c r="CP162" i="5" s="1"/>
  <c r="CP161" i="5" s="1"/>
  <c r="CP160" i="5" s="1"/>
  <c r="CP159" i="5" s="1"/>
  <c r="CP158" i="5" s="1"/>
  <c r="CP157" i="5" s="1"/>
  <c r="CP156" i="5" s="1"/>
  <c r="CP155" i="5" s="1"/>
  <c r="CP154" i="5" s="1"/>
  <c r="CP153" i="5" s="1"/>
  <c r="CP152" i="5" s="1"/>
  <c r="CP151" i="5" s="1"/>
  <c r="CP150" i="5" s="1"/>
  <c r="CP149" i="5" s="1"/>
  <c r="CP148" i="5" s="1"/>
  <c r="CP147" i="5" s="1"/>
  <c r="CP146" i="5" s="1"/>
  <c r="CP145" i="5" s="1"/>
  <c r="CP144" i="5" s="1"/>
  <c r="CP143" i="5" s="1"/>
  <c r="CP142" i="5" s="1"/>
  <c r="CP141" i="5" s="1"/>
  <c r="CP140" i="5" s="1"/>
  <c r="CP139" i="5" s="1"/>
  <c r="CP138" i="5" s="1"/>
  <c r="CP137" i="5" s="1"/>
  <c r="CP136" i="5" s="1"/>
  <c r="CP135" i="5" s="1"/>
  <c r="CP134" i="5" s="1"/>
  <c r="CP133" i="5" s="1"/>
  <c r="CP132" i="5" s="1"/>
  <c r="CP131" i="5" s="1"/>
  <c r="CP130" i="5" s="1"/>
  <c r="CP129" i="5" s="1"/>
  <c r="CP128" i="5" s="1"/>
  <c r="CP127" i="5" s="1"/>
  <c r="CP126" i="5" s="1"/>
  <c r="CP125" i="5" s="1"/>
  <c r="CP124" i="5" s="1"/>
  <c r="CP123" i="5" s="1"/>
  <c r="CP122" i="5" s="1"/>
  <c r="CP121" i="5" s="1"/>
  <c r="CP120" i="5" s="1"/>
  <c r="CP119" i="5" s="1"/>
  <c r="CP118" i="5" s="1"/>
  <c r="CP117" i="5" s="1"/>
  <c r="CP116" i="5" s="1"/>
  <c r="CP115" i="5" s="1"/>
  <c r="CP114" i="5" s="1"/>
  <c r="CP113" i="5" s="1"/>
  <c r="CP112" i="5" s="1"/>
  <c r="CQ213" i="5"/>
  <c r="CQ212" i="5" s="1"/>
  <c r="CQ211" i="5" s="1"/>
  <c r="CQ210" i="5" s="1"/>
  <c r="CQ209" i="5" s="1"/>
  <c r="CQ208" i="5" s="1"/>
  <c r="CQ207" i="5" s="1"/>
  <c r="CQ206" i="5" s="1"/>
  <c r="CQ205" i="5" s="1"/>
  <c r="CQ204" i="5" s="1"/>
  <c r="CQ203" i="5" s="1"/>
  <c r="CQ202" i="5" s="1"/>
  <c r="CQ201" i="5" s="1"/>
  <c r="CQ200" i="5" s="1"/>
  <c r="CQ199" i="5" s="1"/>
  <c r="CQ198" i="5" s="1"/>
  <c r="CQ197" i="5" s="1"/>
  <c r="CQ196" i="5" s="1"/>
  <c r="CQ195" i="5" s="1"/>
  <c r="CQ194" i="5" s="1"/>
  <c r="CQ193" i="5" s="1"/>
  <c r="CQ192" i="5" s="1"/>
  <c r="CQ191" i="5" s="1"/>
  <c r="CQ190" i="5" s="1"/>
  <c r="CQ189" i="5" s="1"/>
  <c r="CQ188" i="5" s="1"/>
  <c r="CQ187" i="5" s="1"/>
  <c r="CQ186" i="5" s="1"/>
  <c r="CQ185" i="5" s="1"/>
  <c r="CQ184" i="5" s="1"/>
  <c r="CQ183" i="5" s="1"/>
  <c r="CQ182" i="5" s="1"/>
  <c r="CQ181" i="5" s="1"/>
  <c r="CQ180" i="5" s="1"/>
  <c r="CQ179" i="5" s="1"/>
  <c r="CQ178" i="5" s="1"/>
  <c r="CQ177" i="5" s="1"/>
  <c r="CQ176" i="5" s="1"/>
  <c r="CQ175" i="5" s="1"/>
  <c r="CQ174" i="5" s="1"/>
  <c r="CQ173" i="5" s="1"/>
  <c r="CQ172" i="5" s="1"/>
  <c r="CQ171" i="5" s="1"/>
  <c r="CQ170" i="5" s="1"/>
  <c r="CQ169" i="5" s="1"/>
  <c r="CQ168" i="5" s="1"/>
  <c r="CQ167" i="5" s="1"/>
  <c r="CQ166" i="5" s="1"/>
  <c r="CQ165" i="5" s="1"/>
  <c r="CQ164" i="5" s="1"/>
  <c r="CQ163" i="5" s="1"/>
  <c r="CQ162" i="5" s="1"/>
  <c r="CQ161" i="5" s="1"/>
  <c r="CQ160" i="5" s="1"/>
  <c r="CQ159" i="5" s="1"/>
  <c r="CQ158" i="5" s="1"/>
  <c r="CQ157" i="5" s="1"/>
  <c r="CQ156" i="5" s="1"/>
  <c r="CQ155" i="5" s="1"/>
  <c r="CQ154" i="5" s="1"/>
  <c r="CQ153" i="5" s="1"/>
  <c r="CQ152" i="5" s="1"/>
  <c r="CQ151" i="5" s="1"/>
  <c r="CQ150" i="5" s="1"/>
  <c r="CQ149" i="5" s="1"/>
  <c r="CQ148" i="5" s="1"/>
  <c r="CQ147" i="5" s="1"/>
  <c r="CQ146" i="5" s="1"/>
  <c r="CQ145" i="5" s="1"/>
  <c r="CQ144" i="5" s="1"/>
  <c r="CQ143" i="5" s="1"/>
  <c r="CQ142" i="5" s="1"/>
  <c r="CQ141" i="5" s="1"/>
  <c r="CQ140" i="5" s="1"/>
  <c r="CQ139" i="5" s="1"/>
  <c r="CQ138" i="5" s="1"/>
  <c r="CQ137" i="5" s="1"/>
  <c r="CQ136" i="5" s="1"/>
  <c r="CQ135" i="5" s="1"/>
  <c r="CQ134" i="5" s="1"/>
  <c r="CQ133" i="5" s="1"/>
  <c r="CQ132" i="5" s="1"/>
  <c r="CQ131" i="5" s="1"/>
  <c r="CQ130" i="5" s="1"/>
  <c r="CQ129" i="5" s="1"/>
  <c r="CQ128" i="5" s="1"/>
  <c r="CQ127" i="5" s="1"/>
  <c r="CQ126" i="5" s="1"/>
  <c r="CQ125" i="5" s="1"/>
  <c r="CQ124" i="5" s="1"/>
  <c r="CQ123" i="5" s="1"/>
  <c r="CQ122" i="5" s="1"/>
  <c r="CQ121" i="5" s="1"/>
  <c r="CQ120" i="5" s="1"/>
  <c r="CQ119" i="5" s="1"/>
  <c r="CQ118" i="5" s="1"/>
  <c r="CQ117" i="5" s="1"/>
  <c r="CQ116" i="5" s="1"/>
  <c r="CQ115" i="5" s="1"/>
  <c r="CQ114" i="5" s="1"/>
  <c r="CQ113" i="5" s="1"/>
  <c r="CQ112" i="5" s="1"/>
  <c r="CR213" i="5"/>
  <c r="CR212" i="5" s="1"/>
  <c r="CR211" i="5" s="1"/>
  <c r="CR210" i="5" s="1"/>
  <c r="CR209" i="5" s="1"/>
  <c r="CR208" i="5" s="1"/>
  <c r="CR207" i="5" s="1"/>
  <c r="CR206" i="5" s="1"/>
  <c r="CR205" i="5" s="1"/>
  <c r="CR204" i="5" s="1"/>
  <c r="CR203" i="5" s="1"/>
  <c r="CR202" i="5" s="1"/>
  <c r="CR201" i="5" s="1"/>
  <c r="CR200" i="5" s="1"/>
  <c r="CR199" i="5" s="1"/>
  <c r="CR198" i="5" s="1"/>
  <c r="CR197" i="5" s="1"/>
  <c r="CR196" i="5" s="1"/>
  <c r="CR195" i="5" s="1"/>
  <c r="CR194" i="5" s="1"/>
  <c r="CR193" i="5" s="1"/>
  <c r="CR192" i="5" s="1"/>
  <c r="CR191" i="5" s="1"/>
  <c r="CR190" i="5" s="1"/>
  <c r="CR189" i="5" s="1"/>
  <c r="CR188" i="5" s="1"/>
  <c r="CR187" i="5" s="1"/>
  <c r="CR186" i="5" s="1"/>
  <c r="CR185" i="5" s="1"/>
  <c r="CR184" i="5" s="1"/>
  <c r="CR183" i="5" s="1"/>
  <c r="CR182" i="5" s="1"/>
  <c r="CR181" i="5" s="1"/>
  <c r="CR180" i="5" s="1"/>
  <c r="CR179" i="5" s="1"/>
  <c r="CR178" i="5" s="1"/>
  <c r="CR177" i="5" s="1"/>
  <c r="CR176" i="5" s="1"/>
  <c r="CR175" i="5" s="1"/>
  <c r="CR174" i="5" s="1"/>
  <c r="CR173" i="5" s="1"/>
  <c r="CR172" i="5" s="1"/>
  <c r="CR171" i="5" s="1"/>
  <c r="CR170" i="5" s="1"/>
  <c r="CR169" i="5" s="1"/>
  <c r="CR168" i="5" s="1"/>
  <c r="CR167" i="5" s="1"/>
  <c r="CR166" i="5" s="1"/>
  <c r="CR165" i="5" s="1"/>
  <c r="CR164" i="5" s="1"/>
  <c r="CR163" i="5" s="1"/>
  <c r="CR162" i="5" s="1"/>
  <c r="CR161" i="5" s="1"/>
  <c r="CR160" i="5" s="1"/>
  <c r="CR159" i="5" s="1"/>
  <c r="CR158" i="5" s="1"/>
  <c r="CR157" i="5" s="1"/>
  <c r="CR156" i="5" s="1"/>
  <c r="CR155" i="5" s="1"/>
  <c r="CR154" i="5" s="1"/>
  <c r="CR153" i="5" s="1"/>
  <c r="CR152" i="5" s="1"/>
  <c r="CR151" i="5" s="1"/>
  <c r="CR150" i="5" s="1"/>
  <c r="CR149" i="5" s="1"/>
  <c r="CR148" i="5" s="1"/>
  <c r="CR147" i="5" s="1"/>
  <c r="CR146" i="5" s="1"/>
  <c r="CR145" i="5" s="1"/>
  <c r="CR144" i="5" s="1"/>
  <c r="CR143" i="5" s="1"/>
  <c r="CR142" i="5" s="1"/>
  <c r="CR141" i="5" s="1"/>
  <c r="CR140" i="5" s="1"/>
  <c r="CR139" i="5" s="1"/>
  <c r="CR138" i="5" s="1"/>
  <c r="CR137" i="5" s="1"/>
  <c r="CR136" i="5" s="1"/>
  <c r="CR135" i="5" s="1"/>
  <c r="CR134" i="5" s="1"/>
  <c r="CR133" i="5" s="1"/>
  <c r="CR132" i="5" s="1"/>
  <c r="CR131" i="5" s="1"/>
  <c r="CR130" i="5" s="1"/>
  <c r="CR129" i="5" s="1"/>
  <c r="CR128" i="5" s="1"/>
  <c r="CR127" i="5" s="1"/>
  <c r="CR126" i="5" s="1"/>
  <c r="CR125" i="5" s="1"/>
  <c r="CR124" i="5" s="1"/>
  <c r="CR123" i="5" s="1"/>
  <c r="CR122" i="5" s="1"/>
  <c r="CR121" i="5" s="1"/>
  <c r="CR120" i="5" s="1"/>
  <c r="CR119" i="5" s="1"/>
  <c r="CR118" i="5" s="1"/>
  <c r="CR117" i="5" s="1"/>
  <c r="CR116" i="5" s="1"/>
  <c r="CR115" i="5" s="1"/>
  <c r="CR114" i="5" s="1"/>
  <c r="CR113" i="5" s="1"/>
  <c r="CR112" i="5" s="1"/>
  <c r="CS213" i="5"/>
  <c r="CS212" i="5" s="1"/>
  <c r="CS211" i="5" s="1"/>
  <c r="CS210" i="5" s="1"/>
  <c r="CS209" i="5" s="1"/>
  <c r="CS208" i="5" s="1"/>
  <c r="CS207" i="5" s="1"/>
  <c r="CS206" i="5" s="1"/>
  <c r="CS205" i="5" s="1"/>
  <c r="CS204" i="5" s="1"/>
  <c r="CS203" i="5" s="1"/>
  <c r="CS202" i="5" s="1"/>
  <c r="CS201" i="5" s="1"/>
  <c r="CS200" i="5" s="1"/>
  <c r="CS199" i="5" s="1"/>
  <c r="CS198" i="5" s="1"/>
  <c r="CS197" i="5" s="1"/>
  <c r="CS196" i="5" s="1"/>
  <c r="CS195" i="5" s="1"/>
  <c r="CS194" i="5" s="1"/>
  <c r="CS193" i="5" s="1"/>
  <c r="CS192" i="5" s="1"/>
  <c r="CS191" i="5" s="1"/>
  <c r="CS190" i="5" s="1"/>
  <c r="CS189" i="5" s="1"/>
  <c r="CS188" i="5" s="1"/>
  <c r="CS187" i="5" s="1"/>
  <c r="CS186" i="5" s="1"/>
  <c r="CS185" i="5" s="1"/>
  <c r="CS184" i="5" s="1"/>
  <c r="CS183" i="5" s="1"/>
  <c r="CS182" i="5" s="1"/>
  <c r="CS181" i="5" s="1"/>
  <c r="CS180" i="5" s="1"/>
  <c r="CS179" i="5" s="1"/>
  <c r="CS178" i="5" s="1"/>
  <c r="CS177" i="5" s="1"/>
  <c r="CS176" i="5" s="1"/>
  <c r="CS175" i="5" s="1"/>
  <c r="CS174" i="5" s="1"/>
  <c r="CS173" i="5" s="1"/>
  <c r="CS172" i="5" s="1"/>
  <c r="CS171" i="5" s="1"/>
  <c r="CS170" i="5" s="1"/>
  <c r="CS169" i="5" s="1"/>
  <c r="CS168" i="5" s="1"/>
  <c r="CS167" i="5" s="1"/>
  <c r="CS166" i="5" s="1"/>
  <c r="CS165" i="5" s="1"/>
  <c r="CS164" i="5" s="1"/>
  <c r="CS163" i="5" s="1"/>
  <c r="CS162" i="5" s="1"/>
  <c r="CS161" i="5" s="1"/>
  <c r="CS160" i="5" s="1"/>
  <c r="CS159" i="5" s="1"/>
  <c r="CS158" i="5" s="1"/>
  <c r="CS157" i="5" s="1"/>
  <c r="CS156" i="5" s="1"/>
  <c r="CS155" i="5" s="1"/>
  <c r="CS154" i="5" s="1"/>
  <c r="CS153" i="5" s="1"/>
  <c r="CS152" i="5" s="1"/>
  <c r="CS151" i="5" s="1"/>
  <c r="CS150" i="5" s="1"/>
  <c r="CS149" i="5" s="1"/>
  <c r="CS148" i="5" s="1"/>
  <c r="CS147" i="5" s="1"/>
  <c r="CS146" i="5" s="1"/>
  <c r="CS145" i="5" s="1"/>
  <c r="CS144" i="5" s="1"/>
  <c r="CS143" i="5" s="1"/>
  <c r="CS142" i="5" s="1"/>
  <c r="CS141" i="5" s="1"/>
  <c r="CS140" i="5" s="1"/>
  <c r="CS139" i="5" s="1"/>
  <c r="CS138" i="5" s="1"/>
  <c r="CS137" i="5" s="1"/>
  <c r="CS136" i="5" s="1"/>
  <c r="CS135" i="5" s="1"/>
  <c r="CS134" i="5" s="1"/>
  <c r="CS133" i="5" s="1"/>
  <c r="CS132" i="5" s="1"/>
  <c r="CS131" i="5" s="1"/>
  <c r="CS130" i="5" s="1"/>
  <c r="CS129" i="5" s="1"/>
  <c r="CS128" i="5" s="1"/>
  <c r="CS127" i="5" s="1"/>
  <c r="CS126" i="5" s="1"/>
  <c r="CS125" i="5" s="1"/>
  <c r="CS124" i="5" s="1"/>
  <c r="CS123" i="5" s="1"/>
  <c r="CS122" i="5" s="1"/>
  <c r="CS121" i="5" s="1"/>
  <c r="CS120" i="5" s="1"/>
  <c r="CS119" i="5" s="1"/>
  <c r="CS118" i="5" s="1"/>
  <c r="CS117" i="5" s="1"/>
  <c r="CS116" i="5" s="1"/>
  <c r="CS115" i="5" s="1"/>
  <c r="CS114" i="5" s="1"/>
  <c r="CS113" i="5" s="1"/>
  <c r="CS112" i="5" s="1"/>
  <c r="CT213" i="5"/>
  <c r="CT212" i="5" s="1"/>
  <c r="CT211" i="5" s="1"/>
  <c r="CT210" i="5" s="1"/>
  <c r="CT209" i="5" s="1"/>
  <c r="CT208" i="5" s="1"/>
  <c r="CT207" i="5" s="1"/>
  <c r="CT206" i="5" s="1"/>
  <c r="CT205" i="5" s="1"/>
  <c r="CT204" i="5" s="1"/>
  <c r="CT203" i="5" s="1"/>
  <c r="CT202" i="5" s="1"/>
  <c r="CT201" i="5" s="1"/>
  <c r="CT200" i="5" s="1"/>
  <c r="CT199" i="5" s="1"/>
  <c r="CT198" i="5" s="1"/>
  <c r="CT197" i="5" s="1"/>
  <c r="CT196" i="5" s="1"/>
  <c r="CT195" i="5" s="1"/>
  <c r="CT194" i="5" s="1"/>
  <c r="CT193" i="5" s="1"/>
  <c r="CT192" i="5" s="1"/>
  <c r="CT191" i="5" s="1"/>
  <c r="CT190" i="5" s="1"/>
  <c r="CT189" i="5" s="1"/>
  <c r="CT188" i="5" s="1"/>
  <c r="CT187" i="5" s="1"/>
  <c r="CT186" i="5" s="1"/>
  <c r="CT185" i="5" s="1"/>
  <c r="CT184" i="5" s="1"/>
  <c r="CT183" i="5" s="1"/>
  <c r="CT182" i="5" s="1"/>
  <c r="CT181" i="5" s="1"/>
  <c r="CT180" i="5" s="1"/>
  <c r="CT179" i="5" s="1"/>
  <c r="CT178" i="5" s="1"/>
  <c r="CT177" i="5" s="1"/>
  <c r="CT176" i="5" s="1"/>
  <c r="CT175" i="5" s="1"/>
  <c r="CT174" i="5" s="1"/>
  <c r="CT173" i="5" s="1"/>
  <c r="CT172" i="5" s="1"/>
  <c r="CT171" i="5" s="1"/>
  <c r="CT170" i="5" s="1"/>
  <c r="CT169" i="5" s="1"/>
  <c r="CT168" i="5" s="1"/>
  <c r="CT167" i="5" s="1"/>
  <c r="CT166" i="5" s="1"/>
  <c r="CT165" i="5" s="1"/>
  <c r="CT164" i="5" s="1"/>
  <c r="CT163" i="5" s="1"/>
  <c r="CT162" i="5" s="1"/>
  <c r="CT161" i="5" s="1"/>
  <c r="CT160" i="5" s="1"/>
  <c r="CT159" i="5" s="1"/>
  <c r="CT158" i="5" s="1"/>
  <c r="CT157" i="5" s="1"/>
  <c r="CT156" i="5" s="1"/>
  <c r="CT155" i="5" s="1"/>
  <c r="CT154" i="5" s="1"/>
  <c r="CT153" i="5" s="1"/>
  <c r="CT152" i="5" s="1"/>
  <c r="CT151" i="5" s="1"/>
  <c r="CT150" i="5" s="1"/>
  <c r="CT149" i="5" s="1"/>
  <c r="CT148" i="5" s="1"/>
  <c r="CT147" i="5" s="1"/>
  <c r="CT146" i="5" s="1"/>
  <c r="CT145" i="5" s="1"/>
  <c r="CT144" i="5" s="1"/>
  <c r="CT143" i="5" s="1"/>
  <c r="CT142" i="5" s="1"/>
  <c r="CT141" i="5" s="1"/>
  <c r="CT140" i="5" s="1"/>
  <c r="CT139" i="5" s="1"/>
  <c r="CT138" i="5" s="1"/>
  <c r="CT137" i="5" s="1"/>
  <c r="CT136" i="5" s="1"/>
  <c r="CT135" i="5" s="1"/>
  <c r="CT134" i="5" s="1"/>
  <c r="CT133" i="5" s="1"/>
  <c r="CT132" i="5" s="1"/>
  <c r="CT131" i="5" s="1"/>
  <c r="CT130" i="5" s="1"/>
  <c r="CT129" i="5" s="1"/>
  <c r="CT128" i="5" s="1"/>
  <c r="CT127" i="5" s="1"/>
  <c r="CT126" i="5" s="1"/>
  <c r="CT125" i="5" s="1"/>
  <c r="CT124" i="5" s="1"/>
  <c r="CT123" i="5" s="1"/>
  <c r="CT122" i="5" s="1"/>
  <c r="CT121" i="5" s="1"/>
  <c r="CT120" i="5" s="1"/>
  <c r="CT119" i="5" s="1"/>
  <c r="CT118" i="5" s="1"/>
  <c r="CT117" i="5" s="1"/>
  <c r="CT116" i="5" s="1"/>
  <c r="CT115" i="5" s="1"/>
  <c r="CT114" i="5" s="1"/>
  <c r="CT113" i="5" s="1"/>
  <c r="CT112" i="5" s="1"/>
  <c r="CU213" i="5"/>
  <c r="CU212" i="5" s="1"/>
  <c r="CU211" i="5" s="1"/>
  <c r="CU210" i="5" s="1"/>
  <c r="CU209" i="5" s="1"/>
  <c r="CU208" i="5" s="1"/>
  <c r="CU207" i="5" s="1"/>
  <c r="CU206" i="5" s="1"/>
  <c r="CU205" i="5" s="1"/>
  <c r="CU204" i="5" s="1"/>
  <c r="CU203" i="5" s="1"/>
  <c r="CU202" i="5" s="1"/>
  <c r="CU201" i="5" s="1"/>
  <c r="CU200" i="5" s="1"/>
  <c r="CU199" i="5" s="1"/>
  <c r="CU198" i="5" s="1"/>
  <c r="CU197" i="5" s="1"/>
  <c r="CU196" i="5" s="1"/>
  <c r="CU195" i="5" s="1"/>
  <c r="CU194" i="5" s="1"/>
  <c r="CU193" i="5" s="1"/>
  <c r="CU192" i="5" s="1"/>
  <c r="CU191" i="5" s="1"/>
  <c r="CU190" i="5" s="1"/>
  <c r="CU189" i="5" s="1"/>
  <c r="CU188" i="5" s="1"/>
  <c r="CU187" i="5" s="1"/>
  <c r="CU186" i="5" s="1"/>
  <c r="CU185" i="5" s="1"/>
  <c r="CU184" i="5" s="1"/>
  <c r="CU183" i="5" s="1"/>
  <c r="CU182" i="5" s="1"/>
  <c r="CU181" i="5" s="1"/>
  <c r="CU180" i="5" s="1"/>
  <c r="CU179" i="5" s="1"/>
  <c r="CU178" i="5" s="1"/>
  <c r="CU177" i="5" s="1"/>
  <c r="CU176" i="5" s="1"/>
  <c r="CU175" i="5" s="1"/>
  <c r="CU174" i="5" s="1"/>
  <c r="CU173" i="5" s="1"/>
  <c r="CU172" i="5" s="1"/>
  <c r="CU171" i="5" s="1"/>
  <c r="CU170" i="5" s="1"/>
  <c r="CU169" i="5" s="1"/>
  <c r="CU168" i="5" s="1"/>
  <c r="CU167" i="5" s="1"/>
  <c r="CU166" i="5" s="1"/>
  <c r="CU165" i="5" s="1"/>
  <c r="CU164" i="5" s="1"/>
  <c r="CU163" i="5" s="1"/>
  <c r="CU162" i="5" s="1"/>
  <c r="CU161" i="5" s="1"/>
  <c r="CU160" i="5" s="1"/>
  <c r="CU159" i="5" s="1"/>
  <c r="CU158" i="5" s="1"/>
  <c r="CU157" i="5" s="1"/>
  <c r="CU156" i="5" s="1"/>
  <c r="CU155" i="5" s="1"/>
  <c r="CU154" i="5" s="1"/>
  <c r="CU153" i="5" s="1"/>
  <c r="CU152" i="5" s="1"/>
  <c r="CU151" i="5" s="1"/>
  <c r="CU150" i="5" s="1"/>
  <c r="CU149" i="5" s="1"/>
  <c r="CU148" i="5" s="1"/>
  <c r="CU147" i="5" s="1"/>
  <c r="CU146" i="5" s="1"/>
  <c r="CU145" i="5" s="1"/>
  <c r="CU144" i="5" s="1"/>
  <c r="CU143" i="5" s="1"/>
  <c r="CU142" i="5" s="1"/>
  <c r="CU141" i="5" s="1"/>
  <c r="CU140" i="5" s="1"/>
  <c r="CU139" i="5" s="1"/>
  <c r="CU138" i="5" s="1"/>
  <c r="CU137" i="5" s="1"/>
  <c r="CU136" i="5" s="1"/>
  <c r="CU135" i="5" s="1"/>
  <c r="CU134" i="5" s="1"/>
  <c r="CU133" i="5" s="1"/>
  <c r="CU132" i="5" s="1"/>
  <c r="CU131" i="5" s="1"/>
  <c r="CU130" i="5" s="1"/>
  <c r="CU129" i="5" s="1"/>
  <c r="CU128" i="5" s="1"/>
  <c r="CU127" i="5" s="1"/>
  <c r="CU126" i="5" s="1"/>
  <c r="CU125" i="5" s="1"/>
  <c r="CU124" i="5" s="1"/>
  <c r="CU123" i="5" s="1"/>
  <c r="CU122" i="5" s="1"/>
  <c r="CU121" i="5" s="1"/>
  <c r="CU120" i="5" s="1"/>
  <c r="CU119" i="5" s="1"/>
  <c r="CU118" i="5" s="1"/>
  <c r="CU117" i="5" s="1"/>
  <c r="CU116" i="5" s="1"/>
  <c r="CU115" i="5" s="1"/>
  <c r="CU114" i="5" s="1"/>
  <c r="CU113" i="5" s="1"/>
  <c r="CU112" i="5" s="1"/>
  <c r="CV213" i="5"/>
  <c r="CV212" i="5" s="1"/>
  <c r="CV211" i="5" s="1"/>
  <c r="CV210" i="5" s="1"/>
  <c r="CV209" i="5" s="1"/>
  <c r="CV208" i="5" s="1"/>
  <c r="CV207" i="5" s="1"/>
  <c r="CV206" i="5" s="1"/>
  <c r="CV205" i="5" s="1"/>
  <c r="CV204" i="5" s="1"/>
  <c r="CV203" i="5" s="1"/>
  <c r="CV202" i="5" s="1"/>
  <c r="CV201" i="5" s="1"/>
  <c r="CV200" i="5" s="1"/>
  <c r="CV199" i="5" s="1"/>
  <c r="CV198" i="5" s="1"/>
  <c r="CV197" i="5" s="1"/>
  <c r="CV196" i="5" s="1"/>
  <c r="CV195" i="5" s="1"/>
  <c r="CV194" i="5" s="1"/>
  <c r="CV193" i="5" s="1"/>
  <c r="CV192" i="5" s="1"/>
  <c r="CV191" i="5" s="1"/>
  <c r="CV190" i="5" s="1"/>
  <c r="CV189" i="5" s="1"/>
  <c r="CV188" i="5" s="1"/>
  <c r="CV187" i="5" s="1"/>
  <c r="CV186" i="5" s="1"/>
  <c r="CV185" i="5" s="1"/>
  <c r="CV184" i="5" s="1"/>
  <c r="CV183" i="5" s="1"/>
  <c r="CV182" i="5" s="1"/>
  <c r="CV181" i="5" s="1"/>
  <c r="CV180" i="5" s="1"/>
  <c r="CV179" i="5" s="1"/>
  <c r="CV178" i="5" s="1"/>
  <c r="CV177" i="5" s="1"/>
  <c r="CV176" i="5" s="1"/>
  <c r="CV175" i="5" s="1"/>
  <c r="CV174" i="5" s="1"/>
  <c r="CV173" i="5" s="1"/>
  <c r="CV172" i="5" s="1"/>
  <c r="CV171" i="5" s="1"/>
  <c r="CV170" i="5" s="1"/>
  <c r="CV169" i="5" s="1"/>
  <c r="CV168" i="5" s="1"/>
  <c r="CV167" i="5" s="1"/>
  <c r="CV166" i="5" s="1"/>
  <c r="CV165" i="5" s="1"/>
  <c r="CV164" i="5" s="1"/>
  <c r="CV163" i="5" s="1"/>
  <c r="CV162" i="5" s="1"/>
  <c r="CV161" i="5" s="1"/>
  <c r="CV160" i="5" s="1"/>
  <c r="CV159" i="5" s="1"/>
  <c r="CV158" i="5" s="1"/>
  <c r="CV157" i="5" s="1"/>
  <c r="CV156" i="5" s="1"/>
  <c r="CV155" i="5" s="1"/>
  <c r="CV154" i="5" s="1"/>
  <c r="CV153" i="5" s="1"/>
  <c r="CV152" i="5" s="1"/>
  <c r="CV151" i="5" s="1"/>
  <c r="CV150" i="5" s="1"/>
  <c r="CV149" i="5" s="1"/>
  <c r="CV148" i="5" s="1"/>
  <c r="CV147" i="5" s="1"/>
  <c r="CV146" i="5" s="1"/>
  <c r="CV145" i="5" s="1"/>
  <c r="CV144" i="5" s="1"/>
  <c r="CV143" i="5" s="1"/>
  <c r="CV142" i="5" s="1"/>
  <c r="CV141" i="5" s="1"/>
  <c r="CV140" i="5" s="1"/>
  <c r="CV139" i="5" s="1"/>
  <c r="CV138" i="5" s="1"/>
  <c r="CV137" i="5" s="1"/>
  <c r="CV136" i="5" s="1"/>
  <c r="CV135" i="5" s="1"/>
  <c r="CV134" i="5" s="1"/>
  <c r="CV133" i="5" s="1"/>
  <c r="CV132" i="5" s="1"/>
  <c r="CV131" i="5" s="1"/>
  <c r="CV130" i="5" s="1"/>
  <c r="CV129" i="5" s="1"/>
  <c r="CV128" i="5" s="1"/>
  <c r="CV127" i="5" s="1"/>
  <c r="CV126" i="5" s="1"/>
  <c r="CV125" i="5" s="1"/>
  <c r="CV124" i="5" s="1"/>
  <c r="CV123" i="5" s="1"/>
  <c r="CV122" i="5" s="1"/>
  <c r="CV121" i="5" s="1"/>
  <c r="CV120" i="5" s="1"/>
  <c r="CV119" i="5" s="1"/>
  <c r="CV118" i="5" s="1"/>
  <c r="CV117" i="5" s="1"/>
  <c r="CV116" i="5" s="1"/>
  <c r="CV115" i="5" s="1"/>
  <c r="CV114" i="5" s="1"/>
  <c r="CV113" i="5" s="1"/>
  <c r="CV112" i="5" s="1"/>
  <c r="CW213" i="5"/>
  <c r="CW212" i="5" s="1"/>
  <c r="CW211" i="5" s="1"/>
  <c r="CW210" i="5" s="1"/>
  <c r="CW209" i="5" s="1"/>
  <c r="CW208" i="5" s="1"/>
  <c r="CW207" i="5" s="1"/>
  <c r="CW206" i="5" s="1"/>
  <c r="CW205" i="5" s="1"/>
  <c r="CW204" i="5" s="1"/>
  <c r="CW203" i="5" s="1"/>
  <c r="CW202" i="5" s="1"/>
  <c r="CW201" i="5" s="1"/>
  <c r="CW200" i="5" s="1"/>
  <c r="CW199" i="5" s="1"/>
  <c r="CW198" i="5" s="1"/>
  <c r="CW197" i="5" s="1"/>
  <c r="CW196" i="5" s="1"/>
  <c r="CW195" i="5" s="1"/>
  <c r="CW194" i="5" s="1"/>
  <c r="CW193" i="5" s="1"/>
  <c r="CW192" i="5" s="1"/>
  <c r="CW191" i="5" s="1"/>
  <c r="CW190" i="5" s="1"/>
  <c r="CW189" i="5" s="1"/>
  <c r="CW188" i="5" s="1"/>
  <c r="CW187" i="5" s="1"/>
  <c r="CW186" i="5" s="1"/>
  <c r="CW185" i="5" s="1"/>
  <c r="CW184" i="5" s="1"/>
  <c r="CW183" i="5" s="1"/>
  <c r="CW182" i="5" s="1"/>
  <c r="CW181" i="5" s="1"/>
  <c r="CW180" i="5" s="1"/>
  <c r="CW179" i="5" s="1"/>
  <c r="CW178" i="5" s="1"/>
  <c r="CW177" i="5" s="1"/>
  <c r="CW176" i="5" s="1"/>
  <c r="CW175" i="5" s="1"/>
  <c r="CW174" i="5" s="1"/>
  <c r="CW173" i="5" s="1"/>
  <c r="CW172" i="5" s="1"/>
  <c r="CW171" i="5" s="1"/>
  <c r="CW170" i="5" s="1"/>
  <c r="CW169" i="5" s="1"/>
  <c r="CW168" i="5" s="1"/>
  <c r="CW167" i="5" s="1"/>
  <c r="CW166" i="5" s="1"/>
  <c r="CW165" i="5" s="1"/>
  <c r="CW164" i="5" s="1"/>
  <c r="CW163" i="5" s="1"/>
  <c r="CW162" i="5" s="1"/>
  <c r="CW161" i="5" s="1"/>
  <c r="CW160" i="5" s="1"/>
  <c r="CW159" i="5" s="1"/>
  <c r="CW158" i="5" s="1"/>
  <c r="CW157" i="5" s="1"/>
  <c r="CW156" i="5" s="1"/>
  <c r="CW155" i="5" s="1"/>
  <c r="CW154" i="5" s="1"/>
  <c r="CW153" i="5" s="1"/>
  <c r="CW152" i="5" s="1"/>
  <c r="CW151" i="5" s="1"/>
  <c r="CW150" i="5" s="1"/>
  <c r="CW149" i="5" s="1"/>
  <c r="CW148" i="5" s="1"/>
  <c r="CW147" i="5" s="1"/>
  <c r="CW146" i="5" s="1"/>
  <c r="CW145" i="5" s="1"/>
  <c r="CW144" i="5" s="1"/>
  <c r="CW143" i="5" s="1"/>
  <c r="CW142" i="5" s="1"/>
  <c r="CW141" i="5" s="1"/>
  <c r="CW140" i="5" s="1"/>
  <c r="CW139" i="5" s="1"/>
  <c r="CW138" i="5" s="1"/>
  <c r="CW137" i="5" s="1"/>
  <c r="CW136" i="5" s="1"/>
  <c r="CW135" i="5" s="1"/>
  <c r="CW134" i="5" s="1"/>
  <c r="CW133" i="5" s="1"/>
  <c r="CW132" i="5" s="1"/>
  <c r="CW131" i="5" s="1"/>
  <c r="CW130" i="5" s="1"/>
  <c r="CW129" i="5" s="1"/>
  <c r="CW128" i="5" s="1"/>
  <c r="CW127" i="5" s="1"/>
  <c r="CW126" i="5" s="1"/>
  <c r="CW125" i="5" s="1"/>
  <c r="CW124" i="5" s="1"/>
  <c r="CW123" i="5" s="1"/>
  <c r="CW122" i="5" s="1"/>
  <c r="CW121" i="5" s="1"/>
  <c r="CW120" i="5" s="1"/>
  <c r="CW119" i="5" s="1"/>
  <c r="CW118" i="5" s="1"/>
  <c r="CW117" i="5" s="1"/>
  <c r="CW116" i="5" s="1"/>
  <c r="CW115" i="5" s="1"/>
  <c r="CW114" i="5" s="1"/>
  <c r="CW113" i="5" s="1"/>
  <c r="CW112" i="5" s="1"/>
  <c r="CX213" i="5"/>
  <c r="CX212" i="5" s="1"/>
  <c r="CX211" i="5" s="1"/>
  <c r="CX210" i="5" s="1"/>
  <c r="CX209" i="5" s="1"/>
  <c r="CX208" i="5" s="1"/>
  <c r="CX207" i="5" s="1"/>
  <c r="CX206" i="5" s="1"/>
  <c r="CX205" i="5" s="1"/>
  <c r="CX204" i="5" s="1"/>
  <c r="CX203" i="5" s="1"/>
  <c r="CX202" i="5" s="1"/>
  <c r="CX201" i="5" s="1"/>
  <c r="CX200" i="5" s="1"/>
  <c r="CX199" i="5" s="1"/>
  <c r="CX198" i="5" s="1"/>
  <c r="CX197" i="5" s="1"/>
  <c r="CX196" i="5" s="1"/>
  <c r="CX195" i="5" s="1"/>
  <c r="CX194" i="5" s="1"/>
  <c r="CX193" i="5" s="1"/>
  <c r="CX192" i="5" s="1"/>
  <c r="CX191" i="5" s="1"/>
  <c r="CX190" i="5" s="1"/>
  <c r="CX189" i="5" s="1"/>
  <c r="CX188" i="5" s="1"/>
  <c r="CX187" i="5" s="1"/>
  <c r="CX186" i="5" s="1"/>
  <c r="CX185" i="5" s="1"/>
  <c r="CX184" i="5" s="1"/>
  <c r="CX183" i="5" s="1"/>
  <c r="CX182" i="5" s="1"/>
  <c r="CX181" i="5" s="1"/>
  <c r="CX180" i="5" s="1"/>
  <c r="CX179" i="5" s="1"/>
  <c r="CX178" i="5" s="1"/>
  <c r="CX177" i="5" s="1"/>
  <c r="CX176" i="5" s="1"/>
  <c r="CX175" i="5" s="1"/>
  <c r="CX174" i="5" s="1"/>
  <c r="CX173" i="5" s="1"/>
  <c r="CX172" i="5" s="1"/>
  <c r="CX171" i="5" s="1"/>
  <c r="CX170" i="5" s="1"/>
  <c r="CX169" i="5" s="1"/>
  <c r="CX168" i="5" s="1"/>
  <c r="CX167" i="5" s="1"/>
  <c r="CX166" i="5" s="1"/>
  <c r="CX165" i="5" s="1"/>
  <c r="CX164" i="5" s="1"/>
  <c r="CX163" i="5" s="1"/>
  <c r="CX162" i="5" s="1"/>
  <c r="CX161" i="5" s="1"/>
  <c r="CX160" i="5" s="1"/>
  <c r="CX159" i="5" s="1"/>
  <c r="CX158" i="5" s="1"/>
  <c r="CX157" i="5" s="1"/>
  <c r="CX156" i="5" s="1"/>
  <c r="CX155" i="5" s="1"/>
  <c r="CX154" i="5" s="1"/>
  <c r="CX153" i="5" s="1"/>
  <c r="CX152" i="5" s="1"/>
  <c r="CX151" i="5" s="1"/>
  <c r="CX150" i="5" s="1"/>
  <c r="CX149" i="5" s="1"/>
  <c r="CX148" i="5" s="1"/>
  <c r="CX147" i="5" s="1"/>
  <c r="CX146" i="5" s="1"/>
  <c r="CX145" i="5" s="1"/>
  <c r="CX144" i="5" s="1"/>
  <c r="CX143" i="5" s="1"/>
  <c r="CX142" i="5" s="1"/>
  <c r="CX141" i="5" s="1"/>
  <c r="CX140" i="5" s="1"/>
  <c r="CX139" i="5" s="1"/>
  <c r="CX138" i="5" s="1"/>
  <c r="CX137" i="5" s="1"/>
  <c r="CX136" i="5" s="1"/>
  <c r="CX135" i="5" s="1"/>
  <c r="CX134" i="5" s="1"/>
  <c r="CX133" i="5" s="1"/>
  <c r="CX132" i="5" s="1"/>
  <c r="CX131" i="5" s="1"/>
  <c r="CX130" i="5" s="1"/>
  <c r="CX129" i="5" s="1"/>
  <c r="CX128" i="5" s="1"/>
  <c r="CX127" i="5" s="1"/>
  <c r="CX126" i="5" s="1"/>
  <c r="CX125" i="5" s="1"/>
  <c r="CX124" i="5" s="1"/>
  <c r="CX123" i="5" s="1"/>
  <c r="CX122" i="5" s="1"/>
  <c r="CX121" i="5" s="1"/>
  <c r="CX120" i="5" s="1"/>
  <c r="CX119" i="5" s="1"/>
  <c r="CX118" i="5" s="1"/>
  <c r="CX117" i="5" s="1"/>
  <c r="CX116" i="5" s="1"/>
  <c r="CX115" i="5" s="1"/>
  <c r="CX114" i="5" s="1"/>
  <c r="CX113" i="5" s="1"/>
  <c r="CX112" i="5" s="1"/>
  <c r="CY213" i="5"/>
  <c r="CY212" i="5" s="1"/>
  <c r="CY211" i="5" s="1"/>
  <c r="CY210" i="5" s="1"/>
  <c r="CY209" i="5" s="1"/>
  <c r="CY208" i="5" s="1"/>
  <c r="CY207" i="5" s="1"/>
  <c r="CY206" i="5" s="1"/>
  <c r="CY205" i="5" s="1"/>
  <c r="CY204" i="5" s="1"/>
  <c r="CY203" i="5" s="1"/>
  <c r="CY202" i="5" s="1"/>
  <c r="CY201" i="5" s="1"/>
  <c r="CY200" i="5" s="1"/>
  <c r="CY199" i="5" s="1"/>
  <c r="CY198" i="5" s="1"/>
  <c r="CY197" i="5" s="1"/>
  <c r="CY196" i="5" s="1"/>
  <c r="CY195" i="5" s="1"/>
  <c r="CY194" i="5" s="1"/>
  <c r="CY193" i="5" s="1"/>
  <c r="CY192" i="5" s="1"/>
  <c r="CY191" i="5" s="1"/>
  <c r="CY190" i="5" s="1"/>
  <c r="CY189" i="5" s="1"/>
  <c r="CY188" i="5" s="1"/>
  <c r="CY187" i="5" s="1"/>
  <c r="CY186" i="5" s="1"/>
  <c r="CY185" i="5" s="1"/>
  <c r="CY184" i="5" s="1"/>
  <c r="CY183" i="5" s="1"/>
  <c r="CY182" i="5" s="1"/>
  <c r="CY181" i="5" s="1"/>
  <c r="CY180" i="5" s="1"/>
  <c r="CY179" i="5" s="1"/>
  <c r="CY178" i="5" s="1"/>
  <c r="CY177" i="5" s="1"/>
  <c r="CY176" i="5" s="1"/>
  <c r="CY175" i="5" s="1"/>
  <c r="CY174" i="5" s="1"/>
  <c r="CY173" i="5" s="1"/>
  <c r="CY172" i="5" s="1"/>
  <c r="CY171" i="5" s="1"/>
  <c r="CY170" i="5" s="1"/>
  <c r="CY169" i="5" s="1"/>
  <c r="CY168" i="5" s="1"/>
  <c r="CY167" i="5" s="1"/>
  <c r="CY166" i="5" s="1"/>
  <c r="CY165" i="5" s="1"/>
  <c r="CY164" i="5" s="1"/>
  <c r="CY163" i="5" s="1"/>
  <c r="CY162" i="5" s="1"/>
  <c r="CY161" i="5" s="1"/>
  <c r="CY160" i="5" s="1"/>
  <c r="CY159" i="5" s="1"/>
  <c r="CY158" i="5" s="1"/>
  <c r="CY157" i="5" s="1"/>
  <c r="CY156" i="5" s="1"/>
  <c r="CY155" i="5" s="1"/>
  <c r="CY154" i="5" s="1"/>
  <c r="CY153" i="5" s="1"/>
  <c r="CY152" i="5" s="1"/>
  <c r="CY151" i="5" s="1"/>
  <c r="CY150" i="5" s="1"/>
  <c r="CY149" i="5" s="1"/>
  <c r="CY148" i="5" s="1"/>
  <c r="CY147" i="5" s="1"/>
  <c r="CY146" i="5" s="1"/>
  <c r="CY145" i="5" s="1"/>
  <c r="CY144" i="5" s="1"/>
  <c r="CY143" i="5" s="1"/>
  <c r="CY142" i="5" s="1"/>
  <c r="CY141" i="5" s="1"/>
  <c r="CY140" i="5" s="1"/>
  <c r="CY139" i="5" s="1"/>
  <c r="CY138" i="5" s="1"/>
  <c r="CY137" i="5" s="1"/>
  <c r="CY136" i="5" s="1"/>
  <c r="CY135" i="5" s="1"/>
  <c r="CY134" i="5" s="1"/>
  <c r="CY133" i="5" s="1"/>
  <c r="CY132" i="5" s="1"/>
  <c r="CY131" i="5" s="1"/>
  <c r="CY130" i="5" s="1"/>
  <c r="CY129" i="5" s="1"/>
  <c r="CY128" i="5" s="1"/>
  <c r="CY127" i="5" s="1"/>
  <c r="CY126" i="5" s="1"/>
  <c r="CY125" i="5" s="1"/>
  <c r="CY124" i="5" s="1"/>
  <c r="CY123" i="5" s="1"/>
  <c r="CY122" i="5" s="1"/>
  <c r="CY121" i="5" s="1"/>
  <c r="CY120" i="5" s="1"/>
  <c r="CY119" i="5" s="1"/>
  <c r="CY118" i="5" s="1"/>
  <c r="CY117" i="5" s="1"/>
  <c r="CY116" i="5" s="1"/>
  <c r="CY115" i="5" s="1"/>
  <c r="CY114" i="5" s="1"/>
  <c r="CY113" i="5" s="1"/>
  <c r="CY112" i="5" s="1"/>
  <c r="CZ213" i="5"/>
  <c r="CZ212" i="5" s="1"/>
  <c r="CZ211" i="5" s="1"/>
  <c r="CZ210" i="5" s="1"/>
  <c r="CZ209" i="5" s="1"/>
  <c r="CZ208" i="5" s="1"/>
  <c r="CZ207" i="5" s="1"/>
  <c r="CZ206" i="5" s="1"/>
  <c r="CZ205" i="5" s="1"/>
  <c r="CZ204" i="5" s="1"/>
  <c r="CZ203" i="5" s="1"/>
  <c r="CZ202" i="5" s="1"/>
  <c r="CZ201" i="5" s="1"/>
  <c r="CZ200" i="5" s="1"/>
  <c r="CZ199" i="5" s="1"/>
  <c r="CZ198" i="5" s="1"/>
  <c r="CZ197" i="5" s="1"/>
  <c r="CZ196" i="5" s="1"/>
  <c r="CZ195" i="5" s="1"/>
  <c r="CZ194" i="5" s="1"/>
  <c r="CZ193" i="5" s="1"/>
  <c r="CZ192" i="5" s="1"/>
  <c r="CZ191" i="5" s="1"/>
  <c r="CZ190" i="5" s="1"/>
  <c r="CZ189" i="5" s="1"/>
  <c r="CZ188" i="5" s="1"/>
  <c r="CZ187" i="5" s="1"/>
  <c r="CZ186" i="5" s="1"/>
  <c r="CZ185" i="5" s="1"/>
  <c r="CZ184" i="5" s="1"/>
  <c r="CZ183" i="5" s="1"/>
  <c r="CZ182" i="5" s="1"/>
  <c r="CZ181" i="5" s="1"/>
  <c r="CZ180" i="5" s="1"/>
  <c r="CZ179" i="5" s="1"/>
  <c r="CZ178" i="5" s="1"/>
  <c r="CZ177" i="5" s="1"/>
  <c r="CZ176" i="5" s="1"/>
  <c r="CZ175" i="5" s="1"/>
  <c r="CZ174" i="5" s="1"/>
  <c r="CZ173" i="5" s="1"/>
  <c r="CZ172" i="5" s="1"/>
  <c r="CZ171" i="5" s="1"/>
  <c r="CZ170" i="5" s="1"/>
  <c r="CZ169" i="5" s="1"/>
  <c r="CZ168" i="5" s="1"/>
  <c r="CZ167" i="5" s="1"/>
  <c r="CZ166" i="5" s="1"/>
  <c r="CZ165" i="5" s="1"/>
  <c r="CZ164" i="5" s="1"/>
  <c r="CZ163" i="5" s="1"/>
  <c r="CZ162" i="5" s="1"/>
  <c r="CZ161" i="5" s="1"/>
  <c r="CZ160" i="5" s="1"/>
  <c r="CZ159" i="5" s="1"/>
  <c r="CZ158" i="5" s="1"/>
  <c r="CZ157" i="5" s="1"/>
  <c r="CZ156" i="5" s="1"/>
  <c r="CZ155" i="5" s="1"/>
  <c r="CZ154" i="5" s="1"/>
  <c r="CZ153" i="5" s="1"/>
  <c r="CZ152" i="5" s="1"/>
  <c r="CZ151" i="5" s="1"/>
  <c r="CZ150" i="5" s="1"/>
  <c r="CZ149" i="5" s="1"/>
  <c r="CZ148" i="5" s="1"/>
  <c r="CZ147" i="5" s="1"/>
  <c r="CZ146" i="5" s="1"/>
  <c r="CZ145" i="5" s="1"/>
  <c r="CZ144" i="5" s="1"/>
  <c r="CZ143" i="5" s="1"/>
  <c r="CZ142" i="5" s="1"/>
  <c r="CZ141" i="5" s="1"/>
  <c r="CZ140" i="5" s="1"/>
  <c r="CZ139" i="5" s="1"/>
  <c r="CZ138" i="5" s="1"/>
  <c r="CZ137" i="5" s="1"/>
  <c r="CZ136" i="5" s="1"/>
  <c r="CZ135" i="5" s="1"/>
  <c r="CZ134" i="5" s="1"/>
  <c r="CZ133" i="5" s="1"/>
  <c r="CZ132" i="5" s="1"/>
  <c r="CZ131" i="5" s="1"/>
  <c r="CZ130" i="5" s="1"/>
  <c r="CZ129" i="5" s="1"/>
  <c r="CZ128" i="5" s="1"/>
  <c r="CZ127" i="5" s="1"/>
  <c r="CZ126" i="5" s="1"/>
  <c r="CZ125" i="5" s="1"/>
  <c r="CZ124" i="5" s="1"/>
  <c r="CZ123" i="5" s="1"/>
  <c r="CZ122" i="5" s="1"/>
  <c r="CZ121" i="5" s="1"/>
  <c r="CZ120" i="5" s="1"/>
  <c r="CZ119" i="5" s="1"/>
  <c r="CZ118" i="5" s="1"/>
  <c r="CZ117" i="5" s="1"/>
  <c r="CZ116" i="5" s="1"/>
  <c r="CZ115" i="5" s="1"/>
  <c r="CZ114" i="5" s="1"/>
  <c r="CZ113" i="5" s="1"/>
  <c r="CZ112" i="5" s="1"/>
  <c r="DA213" i="5"/>
  <c r="DA212" i="5" s="1"/>
  <c r="DA211" i="5" s="1"/>
  <c r="DA210" i="5" s="1"/>
  <c r="DA209" i="5" s="1"/>
  <c r="DA208" i="5" s="1"/>
  <c r="DA207" i="5" s="1"/>
  <c r="DA206" i="5" s="1"/>
  <c r="DA205" i="5" s="1"/>
  <c r="DA204" i="5" s="1"/>
  <c r="DA203" i="5" s="1"/>
  <c r="DA202" i="5" s="1"/>
  <c r="DA201" i="5" s="1"/>
  <c r="DA200" i="5" s="1"/>
  <c r="DA199" i="5" s="1"/>
  <c r="DA198" i="5" s="1"/>
  <c r="DA197" i="5" s="1"/>
  <c r="DA196" i="5" s="1"/>
  <c r="DA195" i="5" s="1"/>
  <c r="DA194" i="5" s="1"/>
  <c r="DA193" i="5" s="1"/>
  <c r="DA192" i="5" s="1"/>
  <c r="DA191" i="5" s="1"/>
  <c r="DA190" i="5" s="1"/>
  <c r="DA189" i="5" s="1"/>
  <c r="DA188" i="5" s="1"/>
  <c r="DA187" i="5" s="1"/>
  <c r="DA186" i="5" s="1"/>
  <c r="DA185" i="5" s="1"/>
  <c r="DA184" i="5" s="1"/>
  <c r="DA183" i="5" s="1"/>
  <c r="DA182" i="5" s="1"/>
  <c r="DA181" i="5" s="1"/>
  <c r="DA180" i="5" s="1"/>
  <c r="DA179" i="5" s="1"/>
  <c r="DA178" i="5" s="1"/>
  <c r="DA177" i="5" s="1"/>
  <c r="DA176" i="5" s="1"/>
  <c r="DA175" i="5" s="1"/>
  <c r="DA174" i="5" s="1"/>
  <c r="DA173" i="5" s="1"/>
  <c r="DA172" i="5" s="1"/>
  <c r="DA171" i="5" s="1"/>
  <c r="DA170" i="5" s="1"/>
  <c r="DA169" i="5" s="1"/>
  <c r="DA168" i="5" s="1"/>
  <c r="DA167" i="5" s="1"/>
  <c r="DA166" i="5" s="1"/>
  <c r="DA165" i="5" s="1"/>
  <c r="DA164" i="5" s="1"/>
  <c r="DA163" i="5" s="1"/>
  <c r="DA162" i="5" s="1"/>
  <c r="DA161" i="5" s="1"/>
  <c r="DA160" i="5" s="1"/>
  <c r="DA159" i="5" s="1"/>
  <c r="DA158" i="5" s="1"/>
  <c r="DA157" i="5" s="1"/>
  <c r="DA156" i="5" s="1"/>
  <c r="DA155" i="5" s="1"/>
  <c r="DA154" i="5" s="1"/>
  <c r="DA153" i="5" s="1"/>
  <c r="DA152" i="5" s="1"/>
  <c r="DA151" i="5" s="1"/>
  <c r="DA150" i="5" s="1"/>
  <c r="DA149" i="5" s="1"/>
  <c r="DA148" i="5" s="1"/>
  <c r="DA147" i="5" s="1"/>
  <c r="DA146" i="5" s="1"/>
  <c r="DA145" i="5" s="1"/>
  <c r="DA144" i="5" s="1"/>
  <c r="DA143" i="5" s="1"/>
  <c r="DA142" i="5" s="1"/>
  <c r="DA141" i="5" s="1"/>
  <c r="DA140" i="5" s="1"/>
  <c r="DA139" i="5" s="1"/>
  <c r="DA138" i="5" s="1"/>
  <c r="DA137" i="5" s="1"/>
  <c r="DA136" i="5" s="1"/>
  <c r="DA135" i="5" s="1"/>
  <c r="DA134" i="5" s="1"/>
  <c r="DA133" i="5" s="1"/>
  <c r="DA132" i="5" s="1"/>
  <c r="DA131" i="5" s="1"/>
  <c r="DA130" i="5" s="1"/>
  <c r="DA129" i="5" s="1"/>
  <c r="DA128" i="5" s="1"/>
  <c r="DA127" i="5" s="1"/>
  <c r="DA126" i="5" s="1"/>
  <c r="DA125" i="5" s="1"/>
  <c r="DA124" i="5" s="1"/>
  <c r="DA123" i="5" s="1"/>
  <c r="DA122" i="5" s="1"/>
  <c r="DA121" i="5" s="1"/>
  <c r="DA120" i="5" s="1"/>
  <c r="DA119" i="5" s="1"/>
  <c r="DA118" i="5" s="1"/>
  <c r="DA117" i="5" s="1"/>
  <c r="DA116" i="5" s="1"/>
  <c r="DA115" i="5" s="1"/>
  <c r="DA114" i="5" s="1"/>
  <c r="DA113" i="5" s="1"/>
  <c r="DA112" i="5" s="1"/>
  <c r="DB213" i="5"/>
  <c r="DB212" i="5" s="1"/>
  <c r="DB211" i="5" s="1"/>
  <c r="DB210" i="5" s="1"/>
  <c r="DB209" i="5" s="1"/>
  <c r="DB208" i="5" s="1"/>
  <c r="DB207" i="5" s="1"/>
  <c r="DB206" i="5" s="1"/>
  <c r="DB205" i="5" s="1"/>
  <c r="DB204" i="5" s="1"/>
  <c r="DB203" i="5" s="1"/>
  <c r="DB202" i="5" s="1"/>
  <c r="DB201" i="5" s="1"/>
  <c r="DB200" i="5" s="1"/>
  <c r="DB199" i="5" s="1"/>
  <c r="DB198" i="5" s="1"/>
  <c r="DB197" i="5" s="1"/>
  <c r="DB196" i="5" s="1"/>
  <c r="DB195" i="5" s="1"/>
  <c r="DB194" i="5" s="1"/>
  <c r="DB193" i="5" s="1"/>
  <c r="DB192" i="5" s="1"/>
  <c r="DB191" i="5" s="1"/>
  <c r="DB190" i="5" s="1"/>
  <c r="DB189" i="5" s="1"/>
  <c r="DB188" i="5" s="1"/>
  <c r="DB187" i="5" s="1"/>
  <c r="DB186" i="5" s="1"/>
  <c r="DB185" i="5" s="1"/>
  <c r="DB184" i="5" s="1"/>
  <c r="DB183" i="5" s="1"/>
  <c r="DB182" i="5" s="1"/>
  <c r="DB181" i="5" s="1"/>
  <c r="DB180" i="5" s="1"/>
  <c r="DB179" i="5" s="1"/>
  <c r="DB178" i="5" s="1"/>
  <c r="DB177" i="5" s="1"/>
  <c r="DB176" i="5" s="1"/>
  <c r="DB175" i="5" s="1"/>
  <c r="DB174" i="5" s="1"/>
  <c r="DB173" i="5" s="1"/>
  <c r="DB172" i="5" s="1"/>
  <c r="DB171" i="5" s="1"/>
  <c r="DB170" i="5" s="1"/>
  <c r="DB169" i="5" s="1"/>
  <c r="DB168" i="5" s="1"/>
  <c r="DB167" i="5" s="1"/>
  <c r="DB166" i="5" s="1"/>
  <c r="DB165" i="5" s="1"/>
  <c r="DB164" i="5" s="1"/>
  <c r="DB163" i="5" s="1"/>
  <c r="DB162" i="5" s="1"/>
  <c r="DB161" i="5" s="1"/>
  <c r="DB160" i="5" s="1"/>
  <c r="DB159" i="5" s="1"/>
  <c r="DB158" i="5" s="1"/>
  <c r="DB157" i="5" s="1"/>
  <c r="DB156" i="5" s="1"/>
  <c r="DB155" i="5" s="1"/>
  <c r="DB154" i="5" s="1"/>
  <c r="DB153" i="5" s="1"/>
  <c r="DB152" i="5" s="1"/>
  <c r="DB151" i="5" s="1"/>
  <c r="DB150" i="5" s="1"/>
  <c r="DB149" i="5" s="1"/>
  <c r="DB148" i="5" s="1"/>
  <c r="DB147" i="5" s="1"/>
  <c r="DB146" i="5" s="1"/>
  <c r="DB145" i="5" s="1"/>
  <c r="DB144" i="5" s="1"/>
  <c r="DB143" i="5" s="1"/>
  <c r="DB142" i="5" s="1"/>
  <c r="DB141" i="5" s="1"/>
  <c r="DB140" i="5" s="1"/>
  <c r="DB139" i="5" s="1"/>
  <c r="DB138" i="5" s="1"/>
  <c r="DB137" i="5" s="1"/>
  <c r="DB136" i="5" s="1"/>
  <c r="DB135" i="5" s="1"/>
  <c r="DB134" i="5" s="1"/>
  <c r="DB133" i="5" s="1"/>
  <c r="DB132" i="5" s="1"/>
  <c r="DB131" i="5" s="1"/>
  <c r="DB130" i="5" s="1"/>
  <c r="DB129" i="5" s="1"/>
  <c r="DB128" i="5" s="1"/>
  <c r="DB127" i="5" s="1"/>
  <c r="DB126" i="5" s="1"/>
  <c r="DB125" i="5" s="1"/>
  <c r="DB124" i="5" s="1"/>
  <c r="DB123" i="5" s="1"/>
  <c r="DB122" i="5" s="1"/>
  <c r="DB121" i="5" s="1"/>
  <c r="DB120" i="5" s="1"/>
  <c r="DB119" i="5" s="1"/>
  <c r="DB118" i="5" s="1"/>
  <c r="DB117" i="5" s="1"/>
  <c r="DB116" i="5" s="1"/>
  <c r="DB115" i="5" s="1"/>
  <c r="DB114" i="5" s="1"/>
  <c r="DB113" i="5" s="1"/>
  <c r="DB112" i="5" s="1"/>
  <c r="DC213" i="5"/>
  <c r="DC212" i="5" s="1"/>
  <c r="DC211" i="5" s="1"/>
  <c r="DC210" i="5" s="1"/>
  <c r="DC209" i="5" s="1"/>
  <c r="DC208" i="5" s="1"/>
  <c r="DC207" i="5" s="1"/>
  <c r="DC206" i="5" s="1"/>
  <c r="DC205" i="5" s="1"/>
  <c r="DC204" i="5" s="1"/>
  <c r="DC203" i="5" s="1"/>
  <c r="DC202" i="5" s="1"/>
  <c r="DC201" i="5" s="1"/>
  <c r="DC200" i="5" s="1"/>
  <c r="DC199" i="5" s="1"/>
  <c r="DC198" i="5" s="1"/>
  <c r="DC197" i="5" s="1"/>
  <c r="DC196" i="5" s="1"/>
  <c r="DC195" i="5" s="1"/>
  <c r="DC194" i="5" s="1"/>
  <c r="DC193" i="5" s="1"/>
  <c r="DC192" i="5" s="1"/>
  <c r="DC191" i="5" s="1"/>
  <c r="DC190" i="5" s="1"/>
  <c r="DC189" i="5" s="1"/>
  <c r="DC188" i="5" s="1"/>
  <c r="DC187" i="5" s="1"/>
  <c r="DC186" i="5" s="1"/>
  <c r="DC185" i="5" s="1"/>
  <c r="DC184" i="5" s="1"/>
  <c r="DC183" i="5" s="1"/>
  <c r="DC182" i="5" s="1"/>
  <c r="DC181" i="5" s="1"/>
  <c r="DC180" i="5" s="1"/>
  <c r="DC179" i="5" s="1"/>
  <c r="DC178" i="5" s="1"/>
  <c r="DC177" i="5" s="1"/>
  <c r="DC176" i="5" s="1"/>
  <c r="DC175" i="5" s="1"/>
  <c r="DC174" i="5" s="1"/>
  <c r="DC173" i="5" s="1"/>
  <c r="DC172" i="5" s="1"/>
  <c r="DC171" i="5" s="1"/>
  <c r="DC170" i="5" s="1"/>
  <c r="DC169" i="5" s="1"/>
  <c r="DC168" i="5" s="1"/>
  <c r="DC167" i="5" s="1"/>
  <c r="DC166" i="5" s="1"/>
  <c r="DC165" i="5" s="1"/>
  <c r="DC164" i="5" s="1"/>
  <c r="DC163" i="5" s="1"/>
  <c r="DC162" i="5" s="1"/>
  <c r="DC161" i="5" s="1"/>
  <c r="DC160" i="5" s="1"/>
  <c r="DC159" i="5" s="1"/>
  <c r="DC158" i="5" s="1"/>
  <c r="DC157" i="5" s="1"/>
  <c r="DC156" i="5" s="1"/>
  <c r="DC155" i="5" s="1"/>
  <c r="DC154" i="5" s="1"/>
  <c r="DC153" i="5" s="1"/>
  <c r="DC152" i="5" s="1"/>
  <c r="DC151" i="5" s="1"/>
  <c r="DC150" i="5" s="1"/>
  <c r="DC149" i="5" s="1"/>
  <c r="DC148" i="5" s="1"/>
  <c r="DC147" i="5" s="1"/>
  <c r="DC146" i="5" s="1"/>
  <c r="DC145" i="5" s="1"/>
  <c r="DC144" i="5" s="1"/>
  <c r="DC143" i="5" s="1"/>
  <c r="DC142" i="5" s="1"/>
  <c r="DC141" i="5" s="1"/>
  <c r="DC140" i="5" s="1"/>
  <c r="DC139" i="5" s="1"/>
  <c r="DC138" i="5" s="1"/>
  <c r="DC137" i="5" s="1"/>
  <c r="DC136" i="5" s="1"/>
  <c r="DC135" i="5" s="1"/>
  <c r="DC134" i="5" s="1"/>
  <c r="DC133" i="5" s="1"/>
  <c r="DC132" i="5" s="1"/>
  <c r="DC131" i="5" s="1"/>
  <c r="DC130" i="5" s="1"/>
  <c r="DC129" i="5" s="1"/>
  <c r="DC128" i="5" s="1"/>
  <c r="DC127" i="5" s="1"/>
  <c r="DC126" i="5" s="1"/>
  <c r="DC125" i="5" s="1"/>
  <c r="DC124" i="5" s="1"/>
  <c r="DC123" i="5" s="1"/>
  <c r="DC122" i="5" s="1"/>
  <c r="DC121" i="5" s="1"/>
  <c r="DC120" i="5" s="1"/>
  <c r="DC119" i="5" s="1"/>
  <c r="DC118" i="5" s="1"/>
  <c r="DC117" i="5" s="1"/>
  <c r="DC116" i="5" s="1"/>
  <c r="DC115" i="5" s="1"/>
  <c r="DC114" i="5" s="1"/>
  <c r="DC113" i="5" s="1"/>
  <c r="DC112" i="5" s="1"/>
  <c r="DD213" i="5"/>
  <c r="DD212" i="5" s="1"/>
  <c r="DD211" i="5" s="1"/>
  <c r="DD210" i="5" s="1"/>
  <c r="DD209" i="5" s="1"/>
  <c r="DD208" i="5" s="1"/>
  <c r="DD207" i="5" s="1"/>
  <c r="DD206" i="5" s="1"/>
  <c r="DD205" i="5" s="1"/>
  <c r="DD204" i="5" s="1"/>
  <c r="DD203" i="5" s="1"/>
  <c r="DD202" i="5" s="1"/>
  <c r="DD201" i="5" s="1"/>
  <c r="DD200" i="5" s="1"/>
  <c r="DD199" i="5" s="1"/>
  <c r="DD198" i="5" s="1"/>
  <c r="DD197" i="5" s="1"/>
  <c r="DD196" i="5" s="1"/>
  <c r="DD195" i="5" s="1"/>
  <c r="DD194" i="5" s="1"/>
  <c r="DD193" i="5" s="1"/>
  <c r="DD192" i="5" s="1"/>
  <c r="DD191" i="5" s="1"/>
  <c r="DD190" i="5" s="1"/>
  <c r="DD189" i="5" s="1"/>
  <c r="DD188" i="5" s="1"/>
  <c r="DD187" i="5" s="1"/>
  <c r="DD186" i="5" s="1"/>
  <c r="DD185" i="5" s="1"/>
  <c r="DD184" i="5" s="1"/>
  <c r="DD183" i="5" s="1"/>
  <c r="DD182" i="5" s="1"/>
  <c r="DD181" i="5" s="1"/>
  <c r="DD180" i="5" s="1"/>
  <c r="DD179" i="5" s="1"/>
  <c r="DD178" i="5" s="1"/>
  <c r="DD177" i="5" s="1"/>
  <c r="DD176" i="5" s="1"/>
  <c r="DD175" i="5" s="1"/>
  <c r="DD174" i="5" s="1"/>
  <c r="DD173" i="5" s="1"/>
  <c r="DD172" i="5" s="1"/>
  <c r="DD171" i="5" s="1"/>
  <c r="DD170" i="5" s="1"/>
  <c r="DD169" i="5" s="1"/>
  <c r="DD168" i="5" s="1"/>
  <c r="DD167" i="5" s="1"/>
  <c r="DD166" i="5" s="1"/>
  <c r="DD165" i="5" s="1"/>
  <c r="DD164" i="5" s="1"/>
  <c r="DD163" i="5" s="1"/>
  <c r="DD162" i="5" s="1"/>
  <c r="DD161" i="5" s="1"/>
  <c r="DD160" i="5" s="1"/>
  <c r="DD159" i="5" s="1"/>
  <c r="DD158" i="5" s="1"/>
  <c r="DD157" i="5" s="1"/>
  <c r="DD156" i="5" s="1"/>
  <c r="DD155" i="5" s="1"/>
  <c r="DD154" i="5" s="1"/>
  <c r="DD153" i="5" s="1"/>
  <c r="DD152" i="5" s="1"/>
  <c r="DD151" i="5" s="1"/>
  <c r="DD150" i="5" s="1"/>
  <c r="DD149" i="5" s="1"/>
  <c r="DD148" i="5" s="1"/>
  <c r="DD147" i="5" s="1"/>
  <c r="DD146" i="5" s="1"/>
  <c r="DD145" i="5" s="1"/>
  <c r="DD144" i="5" s="1"/>
  <c r="DD143" i="5" s="1"/>
  <c r="DD142" i="5" s="1"/>
  <c r="DD141" i="5" s="1"/>
  <c r="DD140" i="5" s="1"/>
  <c r="DD139" i="5" s="1"/>
  <c r="DD138" i="5" s="1"/>
  <c r="DD137" i="5" s="1"/>
  <c r="DD136" i="5" s="1"/>
  <c r="DD135" i="5" s="1"/>
  <c r="DD134" i="5" s="1"/>
  <c r="DD133" i="5" s="1"/>
  <c r="DD132" i="5" s="1"/>
  <c r="DD131" i="5" s="1"/>
  <c r="DD130" i="5" s="1"/>
  <c r="DD129" i="5" s="1"/>
  <c r="DD128" i="5" s="1"/>
  <c r="DD127" i="5" s="1"/>
  <c r="DD126" i="5" s="1"/>
  <c r="DD125" i="5" s="1"/>
  <c r="DD124" i="5" s="1"/>
  <c r="DD123" i="5" s="1"/>
  <c r="DD122" i="5" s="1"/>
  <c r="DD121" i="5" s="1"/>
  <c r="DD120" i="5" s="1"/>
  <c r="DD119" i="5" s="1"/>
  <c r="DD118" i="5" s="1"/>
  <c r="DD117" i="5" s="1"/>
  <c r="DD116" i="5" s="1"/>
  <c r="DD115" i="5" s="1"/>
  <c r="DD114" i="5" s="1"/>
  <c r="DD113" i="5" s="1"/>
  <c r="DD112" i="5" s="1"/>
  <c r="DE213" i="5"/>
  <c r="DE212" i="5" s="1"/>
  <c r="DE211" i="5" s="1"/>
  <c r="DE210" i="5" s="1"/>
  <c r="DE209" i="5" s="1"/>
  <c r="DE208" i="5" s="1"/>
  <c r="DE207" i="5" s="1"/>
  <c r="DE206" i="5" s="1"/>
  <c r="DE205" i="5" s="1"/>
  <c r="DE204" i="5" s="1"/>
  <c r="DE203" i="5" s="1"/>
  <c r="DE202" i="5" s="1"/>
  <c r="DE201" i="5" s="1"/>
  <c r="DE200" i="5" s="1"/>
  <c r="DE199" i="5" s="1"/>
  <c r="DE198" i="5" s="1"/>
  <c r="DE197" i="5" s="1"/>
  <c r="DE196" i="5" s="1"/>
  <c r="DE195" i="5" s="1"/>
  <c r="DE194" i="5" s="1"/>
  <c r="DE193" i="5" s="1"/>
  <c r="DE192" i="5" s="1"/>
  <c r="DE191" i="5" s="1"/>
  <c r="DE190" i="5" s="1"/>
  <c r="DE189" i="5" s="1"/>
  <c r="DE188" i="5" s="1"/>
  <c r="DE187" i="5" s="1"/>
  <c r="DE186" i="5" s="1"/>
  <c r="DE185" i="5" s="1"/>
  <c r="DE184" i="5" s="1"/>
  <c r="DE183" i="5" s="1"/>
  <c r="DE182" i="5" s="1"/>
  <c r="DE181" i="5" s="1"/>
  <c r="DE180" i="5" s="1"/>
  <c r="DE179" i="5" s="1"/>
  <c r="DE178" i="5" s="1"/>
  <c r="DE177" i="5" s="1"/>
  <c r="DE176" i="5" s="1"/>
  <c r="DE175" i="5" s="1"/>
  <c r="DE174" i="5" s="1"/>
  <c r="DE173" i="5" s="1"/>
  <c r="DE172" i="5" s="1"/>
  <c r="DE171" i="5" s="1"/>
  <c r="DE170" i="5" s="1"/>
  <c r="DE169" i="5" s="1"/>
  <c r="DE168" i="5" s="1"/>
  <c r="DE167" i="5" s="1"/>
  <c r="DE166" i="5" s="1"/>
  <c r="DE165" i="5" s="1"/>
  <c r="DE164" i="5" s="1"/>
  <c r="DE163" i="5" s="1"/>
  <c r="DE162" i="5" s="1"/>
  <c r="DE161" i="5" s="1"/>
  <c r="DE160" i="5" s="1"/>
  <c r="DE159" i="5" s="1"/>
  <c r="DE158" i="5" s="1"/>
  <c r="DE157" i="5" s="1"/>
  <c r="DE156" i="5" s="1"/>
  <c r="DE155" i="5" s="1"/>
  <c r="DE154" i="5" s="1"/>
  <c r="DE153" i="5" s="1"/>
  <c r="DE152" i="5" s="1"/>
  <c r="DE151" i="5" s="1"/>
  <c r="DE150" i="5" s="1"/>
  <c r="DE149" i="5" s="1"/>
  <c r="DE148" i="5" s="1"/>
  <c r="DE147" i="5" s="1"/>
  <c r="DE146" i="5" s="1"/>
  <c r="DE145" i="5" s="1"/>
  <c r="DE144" i="5" s="1"/>
  <c r="DE143" i="5" s="1"/>
  <c r="DE142" i="5" s="1"/>
  <c r="DE141" i="5" s="1"/>
  <c r="DE140" i="5" s="1"/>
  <c r="DE139" i="5" s="1"/>
  <c r="DE138" i="5" s="1"/>
  <c r="DE137" i="5" s="1"/>
  <c r="DE136" i="5" s="1"/>
  <c r="DE135" i="5" s="1"/>
  <c r="DE134" i="5" s="1"/>
  <c r="DE133" i="5" s="1"/>
  <c r="DE132" i="5" s="1"/>
  <c r="DE131" i="5" s="1"/>
  <c r="DE130" i="5" s="1"/>
  <c r="DE129" i="5" s="1"/>
  <c r="DE128" i="5" s="1"/>
  <c r="DE127" i="5" s="1"/>
  <c r="DE126" i="5" s="1"/>
  <c r="DE125" i="5" s="1"/>
  <c r="DE124" i="5" s="1"/>
  <c r="DE123" i="5" s="1"/>
  <c r="DE122" i="5" s="1"/>
  <c r="DE121" i="5" s="1"/>
  <c r="DE120" i="5" s="1"/>
  <c r="DE119" i="5" s="1"/>
  <c r="DE118" i="5" s="1"/>
  <c r="DE117" i="5" s="1"/>
  <c r="DE116" i="5" s="1"/>
  <c r="DE115" i="5" s="1"/>
  <c r="DE114" i="5" s="1"/>
  <c r="DE113" i="5" s="1"/>
  <c r="DE112" i="5" s="1"/>
  <c r="DF213" i="5"/>
  <c r="DF212" i="5" s="1"/>
  <c r="DF211" i="5" s="1"/>
  <c r="DF210" i="5" s="1"/>
  <c r="DF209" i="5" s="1"/>
  <c r="DF208" i="5" s="1"/>
  <c r="DF207" i="5" s="1"/>
  <c r="DF206" i="5" s="1"/>
  <c r="DF205" i="5" s="1"/>
  <c r="DF204" i="5" s="1"/>
  <c r="DF203" i="5" s="1"/>
  <c r="DF202" i="5" s="1"/>
  <c r="DF201" i="5" s="1"/>
  <c r="DF200" i="5" s="1"/>
  <c r="DF199" i="5" s="1"/>
  <c r="DF198" i="5" s="1"/>
  <c r="DF197" i="5" s="1"/>
  <c r="DF196" i="5" s="1"/>
  <c r="DF195" i="5" s="1"/>
  <c r="DF194" i="5" s="1"/>
  <c r="DF193" i="5" s="1"/>
  <c r="DF192" i="5" s="1"/>
  <c r="DF191" i="5" s="1"/>
  <c r="DF190" i="5" s="1"/>
  <c r="DF189" i="5" s="1"/>
  <c r="DF188" i="5" s="1"/>
  <c r="DF187" i="5" s="1"/>
  <c r="DF186" i="5" s="1"/>
  <c r="DF185" i="5" s="1"/>
  <c r="DF184" i="5" s="1"/>
  <c r="DF183" i="5" s="1"/>
  <c r="DF182" i="5" s="1"/>
  <c r="DF181" i="5" s="1"/>
  <c r="DF180" i="5" s="1"/>
  <c r="DF179" i="5" s="1"/>
  <c r="DF178" i="5" s="1"/>
  <c r="DF177" i="5" s="1"/>
  <c r="DF176" i="5" s="1"/>
  <c r="DF175" i="5" s="1"/>
  <c r="DF174" i="5" s="1"/>
  <c r="DF173" i="5" s="1"/>
  <c r="DF172" i="5" s="1"/>
  <c r="DF171" i="5" s="1"/>
  <c r="DF170" i="5" s="1"/>
  <c r="DF169" i="5" s="1"/>
  <c r="DF168" i="5" s="1"/>
  <c r="DF167" i="5" s="1"/>
  <c r="DF166" i="5" s="1"/>
  <c r="DF165" i="5" s="1"/>
  <c r="DF164" i="5" s="1"/>
  <c r="DF163" i="5" s="1"/>
  <c r="DF162" i="5" s="1"/>
  <c r="DF161" i="5" s="1"/>
  <c r="DF160" i="5" s="1"/>
  <c r="DF159" i="5" s="1"/>
  <c r="DF158" i="5" s="1"/>
  <c r="DF157" i="5" s="1"/>
  <c r="DF156" i="5" s="1"/>
  <c r="DF155" i="5" s="1"/>
  <c r="DF154" i="5" s="1"/>
  <c r="DF153" i="5" s="1"/>
  <c r="DF152" i="5" s="1"/>
  <c r="DF151" i="5" s="1"/>
  <c r="DF150" i="5" s="1"/>
  <c r="DF149" i="5" s="1"/>
  <c r="DF148" i="5" s="1"/>
  <c r="DF147" i="5" s="1"/>
  <c r="DF146" i="5" s="1"/>
  <c r="DF145" i="5" s="1"/>
  <c r="DF144" i="5" s="1"/>
  <c r="DF143" i="5" s="1"/>
  <c r="DF142" i="5" s="1"/>
  <c r="DF141" i="5" s="1"/>
  <c r="DF140" i="5" s="1"/>
  <c r="DF139" i="5" s="1"/>
  <c r="DF138" i="5" s="1"/>
  <c r="DF137" i="5" s="1"/>
  <c r="DF136" i="5" s="1"/>
  <c r="DF135" i="5" s="1"/>
  <c r="DF134" i="5" s="1"/>
  <c r="DF133" i="5" s="1"/>
  <c r="DF132" i="5" s="1"/>
  <c r="DF131" i="5" s="1"/>
  <c r="DF130" i="5" s="1"/>
  <c r="DF129" i="5" s="1"/>
  <c r="DF128" i="5" s="1"/>
  <c r="DF127" i="5" s="1"/>
  <c r="DF126" i="5" s="1"/>
  <c r="DF125" i="5" s="1"/>
  <c r="DF124" i="5" s="1"/>
  <c r="DF123" i="5" s="1"/>
  <c r="DF122" i="5" s="1"/>
  <c r="DF121" i="5" s="1"/>
  <c r="DF120" i="5" s="1"/>
  <c r="DF119" i="5" s="1"/>
  <c r="DF118" i="5" s="1"/>
  <c r="DF117" i="5" s="1"/>
  <c r="DF116" i="5" s="1"/>
  <c r="DF115" i="5" s="1"/>
  <c r="DF114" i="5" s="1"/>
  <c r="DF113" i="5" s="1"/>
  <c r="DF112" i="5" s="1"/>
  <c r="DG213" i="5"/>
  <c r="DG212" i="5" s="1"/>
  <c r="DG211" i="5" s="1"/>
  <c r="DG210" i="5" s="1"/>
  <c r="DG209" i="5" s="1"/>
  <c r="DG208" i="5" s="1"/>
  <c r="DG207" i="5" s="1"/>
  <c r="DG206" i="5" s="1"/>
  <c r="DG205" i="5" s="1"/>
  <c r="DG204" i="5" s="1"/>
  <c r="DG203" i="5" s="1"/>
  <c r="DG202" i="5" s="1"/>
  <c r="DG201" i="5" s="1"/>
  <c r="DG200" i="5" s="1"/>
  <c r="DG199" i="5" s="1"/>
  <c r="DG198" i="5" s="1"/>
  <c r="DG197" i="5" s="1"/>
  <c r="DG196" i="5" s="1"/>
  <c r="DG195" i="5" s="1"/>
  <c r="DG194" i="5" s="1"/>
  <c r="DG193" i="5" s="1"/>
  <c r="DG192" i="5" s="1"/>
  <c r="DG191" i="5" s="1"/>
  <c r="DG190" i="5" s="1"/>
  <c r="DG189" i="5" s="1"/>
  <c r="DG188" i="5" s="1"/>
  <c r="DG187" i="5" s="1"/>
  <c r="DG186" i="5" s="1"/>
  <c r="DG185" i="5" s="1"/>
  <c r="DG184" i="5" s="1"/>
  <c r="DG183" i="5" s="1"/>
  <c r="DG182" i="5" s="1"/>
  <c r="DG181" i="5" s="1"/>
  <c r="DG180" i="5" s="1"/>
  <c r="DG179" i="5" s="1"/>
  <c r="DG178" i="5" s="1"/>
  <c r="DG177" i="5" s="1"/>
  <c r="DG176" i="5" s="1"/>
  <c r="DG175" i="5" s="1"/>
  <c r="DG174" i="5" s="1"/>
  <c r="DG173" i="5" s="1"/>
  <c r="DG172" i="5" s="1"/>
  <c r="DG171" i="5" s="1"/>
  <c r="DG170" i="5" s="1"/>
  <c r="DG169" i="5" s="1"/>
  <c r="DG168" i="5" s="1"/>
  <c r="DG167" i="5" s="1"/>
  <c r="DG166" i="5" s="1"/>
  <c r="DG165" i="5" s="1"/>
  <c r="DG164" i="5" s="1"/>
  <c r="DG163" i="5" s="1"/>
  <c r="DG162" i="5" s="1"/>
  <c r="DG161" i="5" s="1"/>
  <c r="DG160" i="5" s="1"/>
  <c r="DG159" i="5" s="1"/>
  <c r="DG158" i="5" s="1"/>
  <c r="DG157" i="5" s="1"/>
  <c r="DG156" i="5" s="1"/>
  <c r="DG155" i="5" s="1"/>
  <c r="DG154" i="5" s="1"/>
  <c r="DG153" i="5" s="1"/>
  <c r="DG152" i="5" s="1"/>
  <c r="DG151" i="5" s="1"/>
  <c r="DG150" i="5" s="1"/>
  <c r="DG149" i="5" s="1"/>
  <c r="DG148" i="5" s="1"/>
  <c r="DG147" i="5" s="1"/>
  <c r="DG146" i="5" s="1"/>
  <c r="DG145" i="5" s="1"/>
  <c r="DG144" i="5" s="1"/>
  <c r="DG143" i="5" s="1"/>
  <c r="DG142" i="5" s="1"/>
  <c r="DG141" i="5" s="1"/>
  <c r="DG140" i="5" s="1"/>
  <c r="DG139" i="5" s="1"/>
  <c r="DG138" i="5" s="1"/>
  <c r="DG137" i="5" s="1"/>
  <c r="DG136" i="5" s="1"/>
  <c r="DG135" i="5" s="1"/>
  <c r="DG134" i="5" s="1"/>
  <c r="DG133" i="5" s="1"/>
  <c r="DG132" i="5" s="1"/>
  <c r="DG131" i="5" s="1"/>
  <c r="DG130" i="5" s="1"/>
  <c r="DG129" i="5" s="1"/>
  <c r="DG128" i="5" s="1"/>
  <c r="DG127" i="5" s="1"/>
  <c r="DG126" i="5" s="1"/>
  <c r="DG125" i="5" s="1"/>
  <c r="DG124" i="5" s="1"/>
  <c r="DG123" i="5" s="1"/>
  <c r="DG122" i="5" s="1"/>
  <c r="DG121" i="5" s="1"/>
  <c r="DG120" i="5" s="1"/>
  <c r="DG119" i="5" s="1"/>
  <c r="DG118" i="5" s="1"/>
  <c r="DG117" i="5" s="1"/>
  <c r="DG116" i="5" s="1"/>
  <c r="DG115" i="5" s="1"/>
  <c r="DG114" i="5" s="1"/>
  <c r="DG113" i="5" s="1"/>
  <c r="DG112" i="5" s="1"/>
  <c r="DH213" i="5"/>
  <c r="DH212" i="5" s="1"/>
  <c r="DH211" i="5" s="1"/>
  <c r="DH210" i="5" s="1"/>
  <c r="DH209" i="5" s="1"/>
  <c r="DH208" i="5" s="1"/>
  <c r="DH207" i="5" s="1"/>
  <c r="DH206" i="5" s="1"/>
  <c r="DH205" i="5" s="1"/>
  <c r="DH204" i="5" s="1"/>
  <c r="DH203" i="5" s="1"/>
  <c r="DH202" i="5" s="1"/>
  <c r="DH201" i="5" s="1"/>
  <c r="DH200" i="5" s="1"/>
  <c r="DH199" i="5" s="1"/>
  <c r="DH198" i="5" s="1"/>
  <c r="DH197" i="5" s="1"/>
  <c r="DH196" i="5" s="1"/>
  <c r="DH195" i="5" s="1"/>
  <c r="DH194" i="5" s="1"/>
  <c r="DH193" i="5" s="1"/>
  <c r="DH192" i="5" s="1"/>
  <c r="DH191" i="5" s="1"/>
  <c r="DH190" i="5" s="1"/>
  <c r="DH189" i="5" s="1"/>
  <c r="DH188" i="5" s="1"/>
  <c r="DH187" i="5" s="1"/>
  <c r="DH186" i="5" s="1"/>
  <c r="DH185" i="5" s="1"/>
  <c r="DH184" i="5" s="1"/>
  <c r="DH183" i="5" s="1"/>
  <c r="DH182" i="5" s="1"/>
  <c r="DH181" i="5" s="1"/>
  <c r="DH180" i="5" s="1"/>
  <c r="DH179" i="5" s="1"/>
  <c r="DH178" i="5" s="1"/>
  <c r="DH177" i="5" s="1"/>
  <c r="DH176" i="5" s="1"/>
  <c r="DH175" i="5" s="1"/>
  <c r="DH174" i="5" s="1"/>
  <c r="DH173" i="5" s="1"/>
  <c r="DH172" i="5" s="1"/>
  <c r="DH171" i="5" s="1"/>
  <c r="DH170" i="5" s="1"/>
  <c r="DH169" i="5" s="1"/>
  <c r="DH168" i="5" s="1"/>
  <c r="DH167" i="5" s="1"/>
  <c r="DH166" i="5" s="1"/>
  <c r="DH165" i="5" s="1"/>
  <c r="DH164" i="5" s="1"/>
  <c r="DH163" i="5" s="1"/>
  <c r="DH162" i="5" s="1"/>
  <c r="DH161" i="5" s="1"/>
  <c r="DH160" i="5" s="1"/>
  <c r="DH159" i="5" s="1"/>
  <c r="DH158" i="5" s="1"/>
  <c r="DH157" i="5" s="1"/>
  <c r="DH156" i="5" s="1"/>
  <c r="DH155" i="5" s="1"/>
  <c r="DH154" i="5" s="1"/>
  <c r="DH153" i="5" s="1"/>
  <c r="DH152" i="5" s="1"/>
  <c r="DH151" i="5" s="1"/>
  <c r="DH150" i="5" s="1"/>
  <c r="DH149" i="5" s="1"/>
  <c r="DH148" i="5" s="1"/>
  <c r="DH147" i="5" s="1"/>
  <c r="DH146" i="5" s="1"/>
  <c r="DH145" i="5" s="1"/>
  <c r="DH144" i="5" s="1"/>
  <c r="DH143" i="5" s="1"/>
  <c r="DH142" i="5" s="1"/>
  <c r="DH141" i="5" s="1"/>
  <c r="DH140" i="5" s="1"/>
  <c r="DH139" i="5" s="1"/>
  <c r="DH138" i="5" s="1"/>
  <c r="DH137" i="5" s="1"/>
  <c r="DH136" i="5" s="1"/>
  <c r="DH135" i="5" s="1"/>
  <c r="DH134" i="5" s="1"/>
  <c r="DH133" i="5" s="1"/>
  <c r="DH132" i="5" s="1"/>
  <c r="DH131" i="5" s="1"/>
  <c r="DH130" i="5" s="1"/>
  <c r="DH129" i="5" s="1"/>
  <c r="DH128" i="5" s="1"/>
  <c r="DH127" i="5" s="1"/>
  <c r="DH126" i="5" s="1"/>
  <c r="DH125" i="5" s="1"/>
  <c r="DH124" i="5" s="1"/>
  <c r="DH123" i="5" s="1"/>
  <c r="DH122" i="5" s="1"/>
  <c r="DH121" i="5" s="1"/>
  <c r="DH120" i="5" s="1"/>
  <c r="DH119" i="5" s="1"/>
  <c r="DH118" i="5" s="1"/>
  <c r="DH117" i="5" s="1"/>
  <c r="DH116" i="5" s="1"/>
  <c r="DH115" i="5" s="1"/>
  <c r="DH114" i="5" s="1"/>
  <c r="DH113" i="5" s="1"/>
  <c r="DH112" i="5" s="1"/>
  <c r="DI213" i="5"/>
  <c r="DI212" i="5" s="1"/>
  <c r="DI211" i="5" s="1"/>
  <c r="DI210" i="5" s="1"/>
  <c r="DI209" i="5" s="1"/>
  <c r="DI208" i="5" s="1"/>
  <c r="DI207" i="5" s="1"/>
  <c r="DI206" i="5" s="1"/>
  <c r="DI205" i="5" s="1"/>
  <c r="DI204" i="5" s="1"/>
  <c r="DI203" i="5" s="1"/>
  <c r="DI202" i="5" s="1"/>
  <c r="DI201" i="5" s="1"/>
  <c r="DI200" i="5" s="1"/>
  <c r="DI199" i="5" s="1"/>
  <c r="DI198" i="5" s="1"/>
  <c r="DI197" i="5" s="1"/>
  <c r="DI196" i="5" s="1"/>
  <c r="DI195" i="5" s="1"/>
  <c r="DI194" i="5" s="1"/>
  <c r="DI193" i="5" s="1"/>
  <c r="DI192" i="5" s="1"/>
  <c r="DI191" i="5" s="1"/>
  <c r="DI190" i="5" s="1"/>
  <c r="DI189" i="5" s="1"/>
  <c r="DI188" i="5" s="1"/>
  <c r="DI187" i="5" s="1"/>
  <c r="DI186" i="5" s="1"/>
  <c r="DI185" i="5" s="1"/>
  <c r="DI184" i="5" s="1"/>
  <c r="DI183" i="5" s="1"/>
  <c r="DI182" i="5" s="1"/>
  <c r="DI181" i="5" s="1"/>
  <c r="DI180" i="5" s="1"/>
  <c r="DI179" i="5" s="1"/>
  <c r="DI178" i="5" s="1"/>
  <c r="DI177" i="5" s="1"/>
  <c r="DI176" i="5" s="1"/>
  <c r="DI175" i="5" s="1"/>
  <c r="DI174" i="5" s="1"/>
  <c r="DI173" i="5" s="1"/>
  <c r="DI172" i="5" s="1"/>
  <c r="DI171" i="5" s="1"/>
  <c r="DI170" i="5" s="1"/>
  <c r="DI169" i="5" s="1"/>
  <c r="DI168" i="5" s="1"/>
  <c r="DI167" i="5" s="1"/>
  <c r="DI166" i="5" s="1"/>
  <c r="DI165" i="5" s="1"/>
  <c r="DI164" i="5" s="1"/>
  <c r="DI163" i="5" s="1"/>
  <c r="DI162" i="5" s="1"/>
  <c r="DI161" i="5" s="1"/>
  <c r="DI160" i="5" s="1"/>
  <c r="DI159" i="5" s="1"/>
  <c r="DI158" i="5" s="1"/>
  <c r="DI157" i="5" s="1"/>
  <c r="DI156" i="5" s="1"/>
  <c r="DI155" i="5" s="1"/>
  <c r="DI154" i="5" s="1"/>
  <c r="DI153" i="5" s="1"/>
  <c r="DI152" i="5" s="1"/>
  <c r="DI151" i="5" s="1"/>
  <c r="DI150" i="5" s="1"/>
  <c r="DI149" i="5" s="1"/>
  <c r="DI148" i="5" s="1"/>
  <c r="DI147" i="5" s="1"/>
  <c r="DI146" i="5" s="1"/>
  <c r="DI145" i="5" s="1"/>
  <c r="DI144" i="5" s="1"/>
  <c r="DI143" i="5" s="1"/>
  <c r="DI142" i="5" s="1"/>
  <c r="DI141" i="5" s="1"/>
  <c r="DI140" i="5" s="1"/>
  <c r="DI139" i="5" s="1"/>
  <c r="DI138" i="5" s="1"/>
  <c r="DI137" i="5" s="1"/>
  <c r="DI136" i="5" s="1"/>
  <c r="DI135" i="5" s="1"/>
  <c r="DI134" i="5" s="1"/>
  <c r="DI133" i="5" s="1"/>
  <c r="DI132" i="5" s="1"/>
  <c r="DI131" i="5" s="1"/>
  <c r="DI130" i="5" s="1"/>
  <c r="DI129" i="5" s="1"/>
  <c r="DI128" i="5" s="1"/>
  <c r="DI127" i="5" s="1"/>
  <c r="DI126" i="5" s="1"/>
  <c r="DI125" i="5" s="1"/>
  <c r="DI124" i="5" s="1"/>
  <c r="DI123" i="5" s="1"/>
  <c r="DI122" i="5" s="1"/>
  <c r="DI121" i="5" s="1"/>
  <c r="DI120" i="5" s="1"/>
  <c r="DI119" i="5" s="1"/>
  <c r="DI118" i="5" s="1"/>
  <c r="DI117" i="5" s="1"/>
  <c r="DI116" i="5" s="1"/>
  <c r="DI115" i="5" s="1"/>
  <c r="DI114" i="5" s="1"/>
  <c r="DI113" i="5" s="1"/>
  <c r="DI112" i="5" s="1"/>
  <c r="DJ213" i="5"/>
  <c r="DJ212" i="5" s="1"/>
  <c r="DJ211" i="5" s="1"/>
  <c r="DJ210" i="5" s="1"/>
  <c r="DJ209" i="5" s="1"/>
  <c r="DJ208" i="5" s="1"/>
  <c r="DJ207" i="5" s="1"/>
  <c r="DJ206" i="5" s="1"/>
  <c r="DJ205" i="5" s="1"/>
  <c r="DJ204" i="5" s="1"/>
  <c r="DJ203" i="5" s="1"/>
  <c r="DJ202" i="5" s="1"/>
  <c r="DJ201" i="5" s="1"/>
  <c r="DJ200" i="5" s="1"/>
  <c r="DJ199" i="5" s="1"/>
  <c r="DJ198" i="5" s="1"/>
  <c r="DJ197" i="5" s="1"/>
  <c r="DJ196" i="5" s="1"/>
  <c r="DJ195" i="5" s="1"/>
  <c r="DJ194" i="5" s="1"/>
  <c r="DJ193" i="5" s="1"/>
  <c r="DJ192" i="5" s="1"/>
  <c r="DJ191" i="5" s="1"/>
  <c r="DJ190" i="5" s="1"/>
  <c r="DJ189" i="5" s="1"/>
  <c r="DJ188" i="5" s="1"/>
  <c r="DJ187" i="5" s="1"/>
  <c r="DJ186" i="5" s="1"/>
  <c r="DJ185" i="5" s="1"/>
  <c r="DJ184" i="5" s="1"/>
  <c r="DJ183" i="5" s="1"/>
  <c r="DJ182" i="5" s="1"/>
  <c r="DJ181" i="5" s="1"/>
  <c r="DJ180" i="5" s="1"/>
  <c r="DJ179" i="5" s="1"/>
  <c r="DJ178" i="5" s="1"/>
  <c r="DJ177" i="5" s="1"/>
  <c r="DJ176" i="5" s="1"/>
  <c r="DJ175" i="5" s="1"/>
  <c r="DJ174" i="5" s="1"/>
  <c r="DJ173" i="5" s="1"/>
  <c r="DJ172" i="5" s="1"/>
  <c r="DJ171" i="5" s="1"/>
  <c r="DJ170" i="5" s="1"/>
  <c r="DJ169" i="5" s="1"/>
  <c r="DJ168" i="5" s="1"/>
  <c r="DJ167" i="5" s="1"/>
  <c r="DJ166" i="5" s="1"/>
  <c r="DJ165" i="5" s="1"/>
  <c r="DJ164" i="5" s="1"/>
  <c r="DJ163" i="5" s="1"/>
  <c r="DJ162" i="5" s="1"/>
  <c r="DJ161" i="5" s="1"/>
  <c r="DJ160" i="5" s="1"/>
  <c r="DJ159" i="5" s="1"/>
  <c r="DJ158" i="5" s="1"/>
  <c r="DJ157" i="5" s="1"/>
  <c r="DJ156" i="5" s="1"/>
  <c r="DJ155" i="5" s="1"/>
  <c r="DJ154" i="5" s="1"/>
  <c r="DJ153" i="5" s="1"/>
  <c r="DJ152" i="5" s="1"/>
  <c r="DJ151" i="5" s="1"/>
  <c r="DJ150" i="5" s="1"/>
  <c r="DJ149" i="5" s="1"/>
  <c r="DJ148" i="5" s="1"/>
  <c r="DJ147" i="5" s="1"/>
  <c r="DJ146" i="5" s="1"/>
  <c r="DJ145" i="5" s="1"/>
  <c r="DJ144" i="5" s="1"/>
  <c r="DJ143" i="5" s="1"/>
  <c r="DJ142" i="5" s="1"/>
  <c r="DJ141" i="5" s="1"/>
  <c r="DJ140" i="5" s="1"/>
  <c r="DJ139" i="5" s="1"/>
  <c r="DJ138" i="5" s="1"/>
  <c r="DJ137" i="5" s="1"/>
  <c r="DJ136" i="5" s="1"/>
  <c r="DJ135" i="5" s="1"/>
  <c r="DJ134" i="5" s="1"/>
  <c r="DJ133" i="5" s="1"/>
  <c r="DJ132" i="5" s="1"/>
  <c r="DJ131" i="5" s="1"/>
  <c r="DJ130" i="5" s="1"/>
  <c r="DJ129" i="5" s="1"/>
  <c r="DJ128" i="5" s="1"/>
  <c r="DJ127" i="5" s="1"/>
  <c r="DJ126" i="5" s="1"/>
  <c r="DJ125" i="5" s="1"/>
  <c r="DJ124" i="5" s="1"/>
  <c r="DJ123" i="5" s="1"/>
  <c r="DJ122" i="5" s="1"/>
  <c r="DJ121" i="5" s="1"/>
  <c r="DJ120" i="5" s="1"/>
  <c r="DJ119" i="5" s="1"/>
  <c r="DJ118" i="5" s="1"/>
  <c r="DJ117" i="5" s="1"/>
  <c r="DJ116" i="5" s="1"/>
  <c r="DJ115" i="5" s="1"/>
  <c r="DJ114" i="5" s="1"/>
  <c r="DJ113" i="5" s="1"/>
  <c r="DJ112" i="5" s="1"/>
  <c r="DK213" i="5"/>
  <c r="DK212" i="5" s="1"/>
  <c r="DK211" i="5" s="1"/>
  <c r="DK210" i="5" s="1"/>
  <c r="DK209" i="5" s="1"/>
  <c r="DK208" i="5" s="1"/>
  <c r="DK207" i="5" s="1"/>
  <c r="DK206" i="5" s="1"/>
  <c r="DK205" i="5" s="1"/>
  <c r="DK204" i="5" s="1"/>
  <c r="DK203" i="5" s="1"/>
  <c r="DK202" i="5" s="1"/>
  <c r="DK201" i="5" s="1"/>
  <c r="DK200" i="5" s="1"/>
  <c r="DK199" i="5" s="1"/>
  <c r="DK198" i="5" s="1"/>
  <c r="DK197" i="5" s="1"/>
  <c r="DK196" i="5" s="1"/>
  <c r="DK195" i="5" s="1"/>
  <c r="DK194" i="5" s="1"/>
  <c r="DK193" i="5" s="1"/>
  <c r="DK192" i="5" s="1"/>
  <c r="DK191" i="5" s="1"/>
  <c r="DK190" i="5" s="1"/>
  <c r="DK189" i="5" s="1"/>
  <c r="DK188" i="5" s="1"/>
  <c r="DK187" i="5" s="1"/>
  <c r="DK186" i="5" s="1"/>
  <c r="DK185" i="5" s="1"/>
  <c r="DK184" i="5" s="1"/>
  <c r="DK183" i="5" s="1"/>
  <c r="DK182" i="5" s="1"/>
  <c r="DK181" i="5" s="1"/>
  <c r="DK180" i="5" s="1"/>
  <c r="DK179" i="5" s="1"/>
  <c r="DK178" i="5" s="1"/>
  <c r="DK177" i="5" s="1"/>
  <c r="DK176" i="5" s="1"/>
  <c r="DK175" i="5" s="1"/>
  <c r="DK174" i="5" s="1"/>
  <c r="DK173" i="5" s="1"/>
  <c r="DK172" i="5" s="1"/>
  <c r="DK171" i="5" s="1"/>
  <c r="DK170" i="5" s="1"/>
  <c r="DK169" i="5" s="1"/>
  <c r="DK168" i="5" s="1"/>
  <c r="DK167" i="5" s="1"/>
  <c r="DK166" i="5" s="1"/>
  <c r="DK165" i="5" s="1"/>
  <c r="DK164" i="5" s="1"/>
  <c r="DK163" i="5" s="1"/>
  <c r="DK162" i="5" s="1"/>
  <c r="DK161" i="5" s="1"/>
  <c r="DK160" i="5" s="1"/>
  <c r="DK159" i="5" s="1"/>
  <c r="DK158" i="5" s="1"/>
  <c r="DK157" i="5" s="1"/>
  <c r="DK156" i="5" s="1"/>
  <c r="DK155" i="5" s="1"/>
  <c r="DK154" i="5" s="1"/>
  <c r="DK153" i="5" s="1"/>
  <c r="DK152" i="5" s="1"/>
  <c r="DK151" i="5" s="1"/>
  <c r="DK150" i="5" s="1"/>
  <c r="DK149" i="5" s="1"/>
  <c r="DK148" i="5" s="1"/>
  <c r="DK147" i="5" s="1"/>
  <c r="DK146" i="5" s="1"/>
  <c r="DK145" i="5" s="1"/>
  <c r="DK144" i="5" s="1"/>
  <c r="DK143" i="5" s="1"/>
  <c r="DK142" i="5" s="1"/>
  <c r="DK141" i="5" s="1"/>
  <c r="DK140" i="5" s="1"/>
  <c r="DK139" i="5" s="1"/>
  <c r="DK138" i="5" s="1"/>
  <c r="DK137" i="5" s="1"/>
  <c r="DK136" i="5" s="1"/>
  <c r="DK135" i="5" s="1"/>
  <c r="DK134" i="5" s="1"/>
  <c r="DK133" i="5" s="1"/>
  <c r="DK132" i="5" s="1"/>
  <c r="DK131" i="5" s="1"/>
  <c r="DK130" i="5" s="1"/>
  <c r="DK129" i="5" s="1"/>
  <c r="DK128" i="5" s="1"/>
  <c r="DK127" i="5" s="1"/>
  <c r="DK126" i="5" s="1"/>
  <c r="DK125" i="5" s="1"/>
  <c r="DK124" i="5" s="1"/>
  <c r="DK123" i="5" s="1"/>
  <c r="DK122" i="5" s="1"/>
  <c r="DK121" i="5" s="1"/>
  <c r="DK120" i="5" s="1"/>
  <c r="DK119" i="5" s="1"/>
  <c r="DK118" i="5" s="1"/>
  <c r="DK117" i="5" s="1"/>
  <c r="DK116" i="5" s="1"/>
  <c r="DK115" i="5" s="1"/>
  <c r="DK114" i="5" s="1"/>
  <c r="DK113" i="5" s="1"/>
  <c r="DK112" i="5" s="1"/>
  <c r="DL213" i="5"/>
  <c r="DL212" i="5" s="1"/>
  <c r="DL211" i="5" s="1"/>
  <c r="DL210" i="5" s="1"/>
  <c r="DL209" i="5" s="1"/>
  <c r="DL208" i="5" s="1"/>
  <c r="DL207" i="5" s="1"/>
  <c r="DL206" i="5" s="1"/>
  <c r="DL205" i="5" s="1"/>
  <c r="DL204" i="5" s="1"/>
  <c r="DL203" i="5" s="1"/>
  <c r="DL202" i="5" s="1"/>
  <c r="DL201" i="5" s="1"/>
  <c r="DL200" i="5" s="1"/>
  <c r="DL199" i="5" s="1"/>
  <c r="DL198" i="5" s="1"/>
  <c r="DL197" i="5" s="1"/>
  <c r="DL196" i="5" s="1"/>
  <c r="DL195" i="5" s="1"/>
  <c r="DL194" i="5" s="1"/>
  <c r="DL193" i="5" s="1"/>
  <c r="DL192" i="5" s="1"/>
  <c r="DL191" i="5" s="1"/>
  <c r="DL190" i="5" s="1"/>
  <c r="DL189" i="5" s="1"/>
  <c r="DL188" i="5" s="1"/>
  <c r="DL187" i="5" s="1"/>
  <c r="DL186" i="5" s="1"/>
  <c r="DL185" i="5" s="1"/>
  <c r="DL184" i="5" s="1"/>
  <c r="DL183" i="5" s="1"/>
  <c r="DL182" i="5" s="1"/>
  <c r="DL181" i="5" s="1"/>
  <c r="DL180" i="5" s="1"/>
  <c r="DL179" i="5" s="1"/>
  <c r="DL178" i="5" s="1"/>
  <c r="DL177" i="5" s="1"/>
  <c r="DL176" i="5" s="1"/>
  <c r="DL175" i="5" s="1"/>
  <c r="DL174" i="5" s="1"/>
  <c r="DL173" i="5" s="1"/>
  <c r="DL172" i="5" s="1"/>
  <c r="DL171" i="5" s="1"/>
  <c r="DL170" i="5" s="1"/>
  <c r="DL169" i="5" s="1"/>
  <c r="DL168" i="5" s="1"/>
  <c r="DL167" i="5" s="1"/>
  <c r="DL166" i="5" s="1"/>
  <c r="DL165" i="5" s="1"/>
  <c r="DL164" i="5" s="1"/>
  <c r="DL163" i="5" s="1"/>
  <c r="DL162" i="5" s="1"/>
  <c r="DL161" i="5" s="1"/>
  <c r="DL160" i="5" s="1"/>
  <c r="DL159" i="5" s="1"/>
  <c r="DL158" i="5" s="1"/>
  <c r="DL157" i="5" s="1"/>
  <c r="DL156" i="5" s="1"/>
  <c r="DL155" i="5" s="1"/>
  <c r="DL154" i="5" s="1"/>
  <c r="DL153" i="5" s="1"/>
  <c r="DL152" i="5" s="1"/>
  <c r="DL151" i="5" s="1"/>
  <c r="DL150" i="5" s="1"/>
  <c r="DL149" i="5" s="1"/>
  <c r="DL148" i="5" s="1"/>
  <c r="DL147" i="5" s="1"/>
  <c r="DL146" i="5" s="1"/>
  <c r="DL145" i="5" s="1"/>
  <c r="DL144" i="5" s="1"/>
  <c r="DL143" i="5" s="1"/>
  <c r="DL142" i="5" s="1"/>
  <c r="DL141" i="5" s="1"/>
  <c r="DL140" i="5" s="1"/>
  <c r="DL139" i="5" s="1"/>
  <c r="DL138" i="5" s="1"/>
  <c r="DL137" i="5" s="1"/>
  <c r="DL136" i="5" s="1"/>
  <c r="DL135" i="5" s="1"/>
  <c r="DL134" i="5" s="1"/>
  <c r="DL133" i="5" s="1"/>
  <c r="DL132" i="5" s="1"/>
  <c r="DL131" i="5" s="1"/>
  <c r="DL130" i="5" s="1"/>
  <c r="DL129" i="5" s="1"/>
  <c r="DL128" i="5" s="1"/>
  <c r="DL127" i="5" s="1"/>
  <c r="DL126" i="5" s="1"/>
  <c r="DL125" i="5" s="1"/>
  <c r="DL124" i="5" s="1"/>
  <c r="DL123" i="5" s="1"/>
  <c r="DL122" i="5" s="1"/>
  <c r="DL121" i="5" s="1"/>
  <c r="DL120" i="5" s="1"/>
  <c r="DL119" i="5" s="1"/>
  <c r="DL118" i="5" s="1"/>
  <c r="DL117" i="5" s="1"/>
  <c r="DL116" i="5" s="1"/>
  <c r="DL115" i="5" s="1"/>
  <c r="DL114" i="5" s="1"/>
  <c r="DL113" i="5" s="1"/>
  <c r="DL112" i="5" s="1"/>
  <c r="DM213" i="5"/>
  <c r="DM212" i="5" s="1"/>
  <c r="DM211" i="5" s="1"/>
  <c r="DM210" i="5" s="1"/>
  <c r="DM209" i="5" s="1"/>
  <c r="DM208" i="5" s="1"/>
  <c r="DM207" i="5" s="1"/>
  <c r="DM206" i="5" s="1"/>
  <c r="DM205" i="5" s="1"/>
  <c r="DM204" i="5" s="1"/>
  <c r="DM203" i="5" s="1"/>
  <c r="DM202" i="5" s="1"/>
  <c r="DM201" i="5" s="1"/>
  <c r="DM200" i="5" s="1"/>
  <c r="DM199" i="5" s="1"/>
  <c r="DM198" i="5" s="1"/>
  <c r="DM197" i="5" s="1"/>
  <c r="DM196" i="5" s="1"/>
  <c r="DM195" i="5" s="1"/>
  <c r="DM194" i="5" s="1"/>
  <c r="DM193" i="5" s="1"/>
  <c r="DM192" i="5" s="1"/>
  <c r="DM191" i="5" s="1"/>
  <c r="DM190" i="5" s="1"/>
  <c r="DM189" i="5" s="1"/>
  <c r="DM188" i="5" s="1"/>
  <c r="DM187" i="5" s="1"/>
  <c r="DM186" i="5" s="1"/>
  <c r="DM185" i="5" s="1"/>
  <c r="DM184" i="5" s="1"/>
  <c r="DM183" i="5" s="1"/>
  <c r="DM182" i="5" s="1"/>
  <c r="DM181" i="5" s="1"/>
  <c r="DM180" i="5" s="1"/>
  <c r="DM179" i="5" s="1"/>
  <c r="DM178" i="5" s="1"/>
  <c r="DM177" i="5" s="1"/>
  <c r="DM176" i="5" s="1"/>
  <c r="DM175" i="5" s="1"/>
  <c r="DM174" i="5" s="1"/>
  <c r="DM173" i="5" s="1"/>
  <c r="DM172" i="5" s="1"/>
  <c r="DM171" i="5" s="1"/>
  <c r="DM170" i="5" s="1"/>
  <c r="DM169" i="5" s="1"/>
  <c r="DM168" i="5" s="1"/>
  <c r="DM167" i="5" s="1"/>
  <c r="DM166" i="5" s="1"/>
  <c r="DM165" i="5" s="1"/>
  <c r="DM164" i="5" s="1"/>
  <c r="DM163" i="5" s="1"/>
  <c r="DM162" i="5" s="1"/>
  <c r="DM161" i="5" s="1"/>
  <c r="DM160" i="5" s="1"/>
  <c r="DM159" i="5" s="1"/>
  <c r="DM158" i="5" s="1"/>
  <c r="DM157" i="5" s="1"/>
  <c r="DM156" i="5" s="1"/>
  <c r="DM155" i="5" s="1"/>
  <c r="DM154" i="5" s="1"/>
  <c r="DM153" i="5" s="1"/>
  <c r="DM152" i="5" s="1"/>
  <c r="DM151" i="5" s="1"/>
  <c r="DM150" i="5" s="1"/>
  <c r="DM149" i="5" s="1"/>
  <c r="DM148" i="5" s="1"/>
  <c r="DM147" i="5" s="1"/>
  <c r="DM146" i="5" s="1"/>
  <c r="DM145" i="5" s="1"/>
  <c r="DM144" i="5" s="1"/>
  <c r="DM143" i="5" s="1"/>
  <c r="DM142" i="5" s="1"/>
  <c r="DM141" i="5" s="1"/>
  <c r="DM140" i="5" s="1"/>
  <c r="DM139" i="5" s="1"/>
  <c r="DM138" i="5" s="1"/>
  <c r="DM137" i="5" s="1"/>
  <c r="DM136" i="5" s="1"/>
  <c r="DM135" i="5" s="1"/>
  <c r="DM134" i="5" s="1"/>
  <c r="DM133" i="5" s="1"/>
  <c r="DM132" i="5" s="1"/>
  <c r="DM131" i="5" s="1"/>
  <c r="DM130" i="5" s="1"/>
  <c r="DM129" i="5" s="1"/>
  <c r="DM128" i="5" s="1"/>
  <c r="DM127" i="5" s="1"/>
  <c r="DM126" i="5" s="1"/>
  <c r="DM125" i="5" s="1"/>
  <c r="DM124" i="5" s="1"/>
  <c r="DM123" i="5" s="1"/>
  <c r="DM122" i="5" s="1"/>
  <c r="DM121" i="5" s="1"/>
  <c r="DM120" i="5" s="1"/>
  <c r="DM119" i="5" s="1"/>
  <c r="DM118" i="5" s="1"/>
  <c r="DM117" i="5" s="1"/>
  <c r="DM116" i="5" s="1"/>
  <c r="DM115" i="5" s="1"/>
  <c r="DM114" i="5" s="1"/>
  <c r="DM113" i="5" s="1"/>
  <c r="DM112" i="5" s="1"/>
  <c r="DN213" i="5"/>
  <c r="DN212" i="5" s="1"/>
  <c r="DN211" i="5" s="1"/>
  <c r="DN210" i="5" s="1"/>
  <c r="DN209" i="5" s="1"/>
  <c r="DN208" i="5" s="1"/>
  <c r="DN207" i="5" s="1"/>
  <c r="DN206" i="5" s="1"/>
  <c r="DN205" i="5" s="1"/>
  <c r="DN204" i="5" s="1"/>
  <c r="DN203" i="5" s="1"/>
  <c r="DN202" i="5" s="1"/>
  <c r="DN201" i="5" s="1"/>
  <c r="DN200" i="5" s="1"/>
  <c r="DN199" i="5" s="1"/>
  <c r="DN198" i="5" s="1"/>
  <c r="DN197" i="5" s="1"/>
  <c r="DN196" i="5" s="1"/>
  <c r="DN195" i="5" s="1"/>
  <c r="DN194" i="5" s="1"/>
  <c r="DN193" i="5" s="1"/>
  <c r="DN192" i="5" s="1"/>
  <c r="DN191" i="5" s="1"/>
  <c r="DN190" i="5" s="1"/>
  <c r="DN189" i="5" s="1"/>
  <c r="DN188" i="5" s="1"/>
  <c r="DN187" i="5" s="1"/>
  <c r="DN186" i="5" s="1"/>
  <c r="DN185" i="5" s="1"/>
  <c r="DN184" i="5" s="1"/>
  <c r="DN183" i="5" s="1"/>
  <c r="DN182" i="5" s="1"/>
  <c r="DN181" i="5" s="1"/>
  <c r="DN180" i="5" s="1"/>
  <c r="DN179" i="5" s="1"/>
  <c r="DN178" i="5" s="1"/>
  <c r="DN177" i="5" s="1"/>
  <c r="DN176" i="5" s="1"/>
  <c r="DN175" i="5" s="1"/>
  <c r="DN174" i="5" s="1"/>
  <c r="DN173" i="5" s="1"/>
  <c r="DN172" i="5" s="1"/>
  <c r="DN171" i="5" s="1"/>
  <c r="DN170" i="5" s="1"/>
  <c r="DN169" i="5" s="1"/>
  <c r="DN168" i="5" s="1"/>
  <c r="DN167" i="5" s="1"/>
  <c r="DN166" i="5" s="1"/>
  <c r="DN165" i="5" s="1"/>
  <c r="DN164" i="5" s="1"/>
  <c r="DN163" i="5" s="1"/>
  <c r="DN162" i="5" s="1"/>
  <c r="DN161" i="5" s="1"/>
  <c r="DN160" i="5" s="1"/>
  <c r="DN159" i="5" s="1"/>
  <c r="DN158" i="5" s="1"/>
  <c r="DN157" i="5" s="1"/>
  <c r="DN156" i="5" s="1"/>
  <c r="DN155" i="5" s="1"/>
  <c r="DN154" i="5" s="1"/>
  <c r="DN153" i="5" s="1"/>
  <c r="DN152" i="5" s="1"/>
  <c r="DN151" i="5" s="1"/>
  <c r="DN150" i="5" s="1"/>
  <c r="DN149" i="5" s="1"/>
  <c r="DN148" i="5" s="1"/>
  <c r="DN147" i="5" s="1"/>
  <c r="DN146" i="5" s="1"/>
  <c r="DN145" i="5" s="1"/>
  <c r="DN144" i="5" s="1"/>
  <c r="DN143" i="5" s="1"/>
  <c r="DN142" i="5" s="1"/>
  <c r="DN141" i="5" s="1"/>
  <c r="DN140" i="5" s="1"/>
  <c r="DN139" i="5" s="1"/>
  <c r="DN138" i="5" s="1"/>
  <c r="DN137" i="5" s="1"/>
  <c r="DN136" i="5" s="1"/>
  <c r="DN135" i="5" s="1"/>
  <c r="DN134" i="5" s="1"/>
  <c r="DN133" i="5" s="1"/>
  <c r="DN132" i="5" s="1"/>
  <c r="DN131" i="5" s="1"/>
  <c r="DN130" i="5" s="1"/>
  <c r="DN129" i="5" s="1"/>
  <c r="DN128" i="5" s="1"/>
  <c r="DN127" i="5" s="1"/>
  <c r="DN126" i="5" s="1"/>
  <c r="DN125" i="5" s="1"/>
  <c r="DN124" i="5" s="1"/>
  <c r="DN123" i="5" s="1"/>
  <c r="DN122" i="5" s="1"/>
  <c r="DN121" i="5" s="1"/>
  <c r="DN120" i="5" s="1"/>
  <c r="DN119" i="5" s="1"/>
  <c r="DN118" i="5" s="1"/>
  <c r="DN117" i="5" s="1"/>
  <c r="DN116" i="5" s="1"/>
  <c r="DN115" i="5" s="1"/>
  <c r="DN114" i="5" s="1"/>
  <c r="DN113" i="5" s="1"/>
  <c r="DN112" i="5" s="1"/>
  <c r="DO213" i="5"/>
  <c r="DO212" i="5" s="1"/>
  <c r="DO211" i="5" s="1"/>
  <c r="DO210" i="5" s="1"/>
  <c r="DO209" i="5" s="1"/>
  <c r="DO208" i="5" s="1"/>
  <c r="DO207" i="5" s="1"/>
  <c r="DO206" i="5" s="1"/>
  <c r="DO205" i="5" s="1"/>
  <c r="DO204" i="5" s="1"/>
  <c r="DO203" i="5" s="1"/>
  <c r="DO202" i="5" s="1"/>
  <c r="DO201" i="5" s="1"/>
  <c r="DO200" i="5" s="1"/>
  <c r="DO199" i="5" s="1"/>
  <c r="DO198" i="5" s="1"/>
  <c r="DO197" i="5" s="1"/>
  <c r="DO196" i="5" s="1"/>
  <c r="DO195" i="5" s="1"/>
  <c r="DO194" i="5" s="1"/>
  <c r="DO193" i="5" s="1"/>
  <c r="DO192" i="5" s="1"/>
  <c r="DO191" i="5" s="1"/>
  <c r="DO190" i="5" s="1"/>
  <c r="DO189" i="5" s="1"/>
  <c r="DO188" i="5" s="1"/>
  <c r="DO187" i="5" s="1"/>
  <c r="DO186" i="5" s="1"/>
  <c r="DO185" i="5" s="1"/>
  <c r="DO184" i="5" s="1"/>
  <c r="DO183" i="5" s="1"/>
  <c r="DO182" i="5" s="1"/>
  <c r="DO181" i="5" s="1"/>
  <c r="DO180" i="5" s="1"/>
  <c r="DO179" i="5" s="1"/>
  <c r="DO178" i="5" s="1"/>
  <c r="DO177" i="5" s="1"/>
  <c r="DO176" i="5" s="1"/>
  <c r="DO175" i="5" s="1"/>
  <c r="DO174" i="5" s="1"/>
  <c r="DO173" i="5" s="1"/>
  <c r="DO172" i="5" s="1"/>
  <c r="DO171" i="5" s="1"/>
  <c r="DO170" i="5" s="1"/>
  <c r="DO169" i="5" s="1"/>
  <c r="DO168" i="5" s="1"/>
  <c r="DO167" i="5" s="1"/>
  <c r="DO166" i="5" s="1"/>
  <c r="DO165" i="5" s="1"/>
  <c r="DO164" i="5" s="1"/>
  <c r="DO163" i="5" s="1"/>
  <c r="DO162" i="5" s="1"/>
  <c r="DO161" i="5" s="1"/>
  <c r="DO160" i="5" s="1"/>
  <c r="DO159" i="5" s="1"/>
  <c r="DO158" i="5" s="1"/>
  <c r="DO157" i="5" s="1"/>
  <c r="DO156" i="5" s="1"/>
  <c r="DO155" i="5" s="1"/>
  <c r="DO154" i="5" s="1"/>
  <c r="DO153" i="5" s="1"/>
  <c r="DO152" i="5" s="1"/>
  <c r="DO151" i="5" s="1"/>
  <c r="DO150" i="5" s="1"/>
  <c r="DO149" i="5" s="1"/>
  <c r="DO148" i="5" s="1"/>
  <c r="DO147" i="5" s="1"/>
  <c r="DO146" i="5" s="1"/>
  <c r="DO145" i="5" s="1"/>
  <c r="DO144" i="5" s="1"/>
  <c r="DO143" i="5" s="1"/>
  <c r="DO142" i="5" s="1"/>
  <c r="DO141" i="5" s="1"/>
  <c r="DO140" i="5" s="1"/>
  <c r="DO139" i="5" s="1"/>
  <c r="DO138" i="5" s="1"/>
  <c r="DO137" i="5" s="1"/>
  <c r="DO136" i="5" s="1"/>
  <c r="DO135" i="5" s="1"/>
  <c r="DO134" i="5" s="1"/>
  <c r="DO133" i="5" s="1"/>
  <c r="DO132" i="5" s="1"/>
  <c r="DO131" i="5" s="1"/>
  <c r="DO130" i="5" s="1"/>
  <c r="DO129" i="5" s="1"/>
  <c r="DO128" i="5" s="1"/>
  <c r="DO127" i="5" s="1"/>
  <c r="DO126" i="5" s="1"/>
  <c r="DO125" i="5" s="1"/>
  <c r="DO124" i="5" s="1"/>
  <c r="DO123" i="5" s="1"/>
  <c r="DO122" i="5" s="1"/>
  <c r="DO121" i="5" s="1"/>
  <c r="DO120" i="5" s="1"/>
  <c r="DO119" i="5" s="1"/>
  <c r="DO118" i="5" s="1"/>
  <c r="DO117" i="5" s="1"/>
  <c r="DO116" i="5" s="1"/>
  <c r="DO115" i="5" s="1"/>
  <c r="DO114" i="5" s="1"/>
  <c r="DO113" i="5" s="1"/>
  <c r="DO112" i="5" s="1"/>
  <c r="DP213" i="5"/>
  <c r="DP212" i="5" s="1"/>
  <c r="DP211" i="5" s="1"/>
  <c r="DP210" i="5" s="1"/>
  <c r="DP209" i="5" s="1"/>
  <c r="DP208" i="5" s="1"/>
  <c r="DP207" i="5" s="1"/>
  <c r="DP206" i="5" s="1"/>
  <c r="DP205" i="5" s="1"/>
  <c r="DP204" i="5" s="1"/>
  <c r="DP203" i="5" s="1"/>
  <c r="DP202" i="5" s="1"/>
  <c r="DP201" i="5" s="1"/>
  <c r="DP200" i="5" s="1"/>
  <c r="DP199" i="5" s="1"/>
  <c r="DP198" i="5" s="1"/>
  <c r="DP197" i="5" s="1"/>
  <c r="DP196" i="5" s="1"/>
  <c r="DP195" i="5" s="1"/>
  <c r="DP194" i="5" s="1"/>
  <c r="DP193" i="5" s="1"/>
  <c r="DP192" i="5" s="1"/>
  <c r="DP191" i="5" s="1"/>
  <c r="DP190" i="5" s="1"/>
  <c r="DP189" i="5" s="1"/>
  <c r="DP188" i="5" s="1"/>
  <c r="DP187" i="5" s="1"/>
  <c r="DP186" i="5" s="1"/>
  <c r="DP185" i="5" s="1"/>
  <c r="DP184" i="5" s="1"/>
  <c r="DP183" i="5" s="1"/>
  <c r="DP182" i="5" s="1"/>
  <c r="DP181" i="5" s="1"/>
  <c r="DP180" i="5" s="1"/>
  <c r="DP179" i="5" s="1"/>
  <c r="DP178" i="5" s="1"/>
  <c r="DP177" i="5" s="1"/>
  <c r="DP176" i="5" s="1"/>
  <c r="DP175" i="5" s="1"/>
  <c r="DP174" i="5" s="1"/>
  <c r="DP173" i="5" s="1"/>
  <c r="DP172" i="5" s="1"/>
  <c r="DP171" i="5" s="1"/>
  <c r="DP170" i="5" s="1"/>
  <c r="DP169" i="5" s="1"/>
  <c r="DP168" i="5" s="1"/>
  <c r="DP167" i="5" s="1"/>
  <c r="DP166" i="5" s="1"/>
  <c r="DP165" i="5" s="1"/>
  <c r="DP164" i="5" s="1"/>
  <c r="DP163" i="5" s="1"/>
  <c r="DP162" i="5" s="1"/>
  <c r="DP161" i="5" s="1"/>
  <c r="DP160" i="5" s="1"/>
  <c r="DP159" i="5" s="1"/>
  <c r="DP158" i="5" s="1"/>
  <c r="DP157" i="5" s="1"/>
  <c r="DP156" i="5" s="1"/>
  <c r="DP155" i="5" s="1"/>
  <c r="DP154" i="5" s="1"/>
  <c r="DP153" i="5" s="1"/>
  <c r="DP152" i="5" s="1"/>
  <c r="DP151" i="5" s="1"/>
  <c r="DP150" i="5" s="1"/>
  <c r="DP149" i="5" s="1"/>
  <c r="DP148" i="5" s="1"/>
  <c r="DP147" i="5" s="1"/>
  <c r="DP146" i="5" s="1"/>
  <c r="DP145" i="5" s="1"/>
  <c r="DP144" i="5" s="1"/>
  <c r="DP143" i="5" s="1"/>
  <c r="DP142" i="5" s="1"/>
  <c r="DP141" i="5" s="1"/>
  <c r="DP140" i="5" s="1"/>
  <c r="DP139" i="5" s="1"/>
  <c r="DP138" i="5" s="1"/>
  <c r="DP137" i="5" s="1"/>
  <c r="DP136" i="5" s="1"/>
  <c r="DP135" i="5" s="1"/>
  <c r="DP134" i="5" s="1"/>
  <c r="DP133" i="5" s="1"/>
  <c r="DP132" i="5" s="1"/>
  <c r="DP131" i="5" s="1"/>
  <c r="DP130" i="5" s="1"/>
  <c r="DP129" i="5" s="1"/>
  <c r="DP128" i="5" s="1"/>
  <c r="DP127" i="5" s="1"/>
  <c r="DP126" i="5" s="1"/>
  <c r="DP125" i="5" s="1"/>
  <c r="DP124" i="5" s="1"/>
  <c r="DP123" i="5" s="1"/>
  <c r="DP122" i="5" s="1"/>
  <c r="DP121" i="5" s="1"/>
  <c r="DP120" i="5" s="1"/>
  <c r="DP119" i="5" s="1"/>
  <c r="DP118" i="5" s="1"/>
  <c r="DP117" i="5" s="1"/>
  <c r="DP116" i="5" s="1"/>
  <c r="DP115" i="5" s="1"/>
  <c r="DP114" i="5" s="1"/>
  <c r="DP113" i="5" s="1"/>
  <c r="DP112" i="5" s="1"/>
  <c r="DQ213" i="5"/>
  <c r="DQ212" i="5" s="1"/>
  <c r="DQ211" i="5" s="1"/>
  <c r="DQ210" i="5" s="1"/>
  <c r="DQ209" i="5" s="1"/>
  <c r="DQ208" i="5" s="1"/>
  <c r="DQ207" i="5" s="1"/>
  <c r="DQ206" i="5" s="1"/>
  <c r="DQ205" i="5" s="1"/>
  <c r="DQ204" i="5" s="1"/>
  <c r="DQ203" i="5" s="1"/>
  <c r="DQ202" i="5" s="1"/>
  <c r="DQ201" i="5" s="1"/>
  <c r="DQ200" i="5" s="1"/>
  <c r="DQ199" i="5" s="1"/>
  <c r="DQ198" i="5" s="1"/>
  <c r="DQ197" i="5" s="1"/>
  <c r="DQ196" i="5" s="1"/>
  <c r="DQ195" i="5" s="1"/>
  <c r="DQ194" i="5" s="1"/>
  <c r="DQ193" i="5" s="1"/>
  <c r="DQ192" i="5" s="1"/>
  <c r="DQ191" i="5" s="1"/>
  <c r="DQ190" i="5" s="1"/>
  <c r="DQ189" i="5" s="1"/>
  <c r="DQ188" i="5" s="1"/>
  <c r="DQ187" i="5" s="1"/>
  <c r="DQ186" i="5" s="1"/>
  <c r="DQ185" i="5" s="1"/>
  <c r="DQ184" i="5" s="1"/>
  <c r="DQ183" i="5" s="1"/>
  <c r="DQ182" i="5" s="1"/>
  <c r="DQ181" i="5" s="1"/>
  <c r="DQ180" i="5" s="1"/>
  <c r="DQ179" i="5" s="1"/>
  <c r="DQ178" i="5" s="1"/>
  <c r="DQ177" i="5" s="1"/>
  <c r="DQ176" i="5" s="1"/>
  <c r="DQ175" i="5" s="1"/>
  <c r="DQ174" i="5" s="1"/>
  <c r="DQ173" i="5" s="1"/>
  <c r="DQ172" i="5" s="1"/>
  <c r="DQ171" i="5" s="1"/>
  <c r="DQ170" i="5" s="1"/>
  <c r="DQ169" i="5" s="1"/>
  <c r="DQ168" i="5" s="1"/>
  <c r="DQ167" i="5" s="1"/>
  <c r="DQ166" i="5" s="1"/>
  <c r="DQ165" i="5" s="1"/>
  <c r="DQ164" i="5" s="1"/>
  <c r="DQ163" i="5" s="1"/>
  <c r="DQ162" i="5" s="1"/>
  <c r="DQ161" i="5" s="1"/>
  <c r="DQ160" i="5" s="1"/>
  <c r="DQ159" i="5" s="1"/>
  <c r="DQ158" i="5" s="1"/>
  <c r="DQ157" i="5" s="1"/>
  <c r="DQ156" i="5" s="1"/>
  <c r="DQ155" i="5" s="1"/>
  <c r="DQ154" i="5" s="1"/>
  <c r="DQ153" i="5" s="1"/>
  <c r="DQ152" i="5" s="1"/>
  <c r="DQ151" i="5" s="1"/>
  <c r="DQ150" i="5" s="1"/>
  <c r="DQ149" i="5" s="1"/>
  <c r="DQ148" i="5" s="1"/>
  <c r="DQ147" i="5" s="1"/>
  <c r="DQ146" i="5" s="1"/>
  <c r="DQ145" i="5" s="1"/>
  <c r="DQ144" i="5" s="1"/>
  <c r="DQ143" i="5" s="1"/>
  <c r="DQ142" i="5" s="1"/>
  <c r="DQ141" i="5" s="1"/>
  <c r="DQ140" i="5" s="1"/>
  <c r="DQ139" i="5" s="1"/>
  <c r="DQ138" i="5" s="1"/>
  <c r="DQ137" i="5" s="1"/>
  <c r="DQ136" i="5" s="1"/>
  <c r="DQ135" i="5" s="1"/>
  <c r="DQ134" i="5" s="1"/>
  <c r="DQ133" i="5" s="1"/>
  <c r="DQ132" i="5" s="1"/>
  <c r="DQ131" i="5" s="1"/>
  <c r="DQ130" i="5" s="1"/>
  <c r="DQ129" i="5" s="1"/>
  <c r="DQ128" i="5" s="1"/>
  <c r="DQ127" i="5" s="1"/>
  <c r="DQ126" i="5" s="1"/>
  <c r="DQ125" i="5" s="1"/>
  <c r="DQ124" i="5" s="1"/>
  <c r="DQ123" i="5" s="1"/>
  <c r="DQ122" i="5" s="1"/>
  <c r="DQ121" i="5" s="1"/>
  <c r="DQ120" i="5" s="1"/>
  <c r="DQ119" i="5" s="1"/>
  <c r="DQ118" i="5" s="1"/>
  <c r="DQ117" i="5" s="1"/>
  <c r="DQ116" i="5" s="1"/>
  <c r="DQ115" i="5" s="1"/>
  <c r="DQ114" i="5" s="1"/>
  <c r="DQ113" i="5" s="1"/>
  <c r="DQ112" i="5" s="1"/>
  <c r="DR213" i="5"/>
  <c r="DR212" i="5" s="1"/>
  <c r="DR211" i="5" s="1"/>
  <c r="DR210" i="5" s="1"/>
  <c r="DR209" i="5" s="1"/>
  <c r="DR208" i="5" s="1"/>
  <c r="DR207" i="5" s="1"/>
  <c r="DR206" i="5" s="1"/>
  <c r="DR205" i="5" s="1"/>
  <c r="DR204" i="5" s="1"/>
  <c r="DR203" i="5" s="1"/>
  <c r="DR202" i="5" s="1"/>
  <c r="DR201" i="5" s="1"/>
  <c r="DR200" i="5" s="1"/>
  <c r="DR199" i="5" s="1"/>
  <c r="DR198" i="5" s="1"/>
  <c r="DR197" i="5" s="1"/>
  <c r="DR196" i="5" s="1"/>
  <c r="DR195" i="5" s="1"/>
  <c r="DR194" i="5" s="1"/>
  <c r="DR193" i="5" s="1"/>
  <c r="DR192" i="5" s="1"/>
  <c r="DR191" i="5" s="1"/>
  <c r="DR190" i="5" s="1"/>
  <c r="DR189" i="5" s="1"/>
  <c r="DR188" i="5" s="1"/>
  <c r="DR187" i="5" s="1"/>
  <c r="DR186" i="5" s="1"/>
  <c r="DR185" i="5" s="1"/>
  <c r="DR184" i="5" s="1"/>
  <c r="DR183" i="5" s="1"/>
  <c r="DR182" i="5" s="1"/>
  <c r="DR181" i="5" s="1"/>
  <c r="DR180" i="5" s="1"/>
  <c r="DR179" i="5" s="1"/>
  <c r="DR178" i="5" s="1"/>
  <c r="DR177" i="5" s="1"/>
  <c r="DR176" i="5" s="1"/>
  <c r="DR175" i="5" s="1"/>
  <c r="DR174" i="5" s="1"/>
  <c r="DR173" i="5" s="1"/>
  <c r="DR172" i="5" s="1"/>
  <c r="DR171" i="5" s="1"/>
  <c r="DR170" i="5" s="1"/>
  <c r="DR169" i="5" s="1"/>
  <c r="DR168" i="5" s="1"/>
  <c r="DR167" i="5" s="1"/>
  <c r="DR166" i="5" s="1"/>
  <c r="DR165" i="5" s="1"/>
  <c r="DR164" i="5" s="1"/>
  <c r="DR163" i="5" s="1"/>
  <c r="DR162" i="5" s="1"/>
  <c r="DR161" i="5" s="1"/>
  <c r="DR160" i="5" s="1"/>
  <c r="DR159" i="5" s="1"/>
  <c r="DR158" i="5" s="1"/>
  <c r="DR157" i="5" s="1"/>
  <c r="DR156" i="5" s="1"/>
  <c r="DR155" i="5" s="1"/>
  <c r="DR154" i="5" s="1"/>
  <c r="DR153" i="5" s="1"/>
  <c r="DR152" i="5" s="1"/>
  <c r="DR151" i="5" s="1"/>
  <c r="DR150" i="5" s="1"/>
  <c r="DR149" i="5" s="1"/>
  <c r="DR148" i="5" s="1"/>
  <c r="DR147" i="5" s="1"/>
  <c r="DR146" i="5" s="1"/>
  <c r="DR145" i="5" s="1"/>
  <c r="DR144" i="5" s="1"/>
  <c r="DR143" i="5" s="1"/>
  <c r="DR142" i="5" s="1"/>
  <c r="DR141" i="5" s="1"/>
  <c r="DR140" i="5" s="1"/>
  <c r="DR139" i="5" s="1"/>
  <c r="DR138" i="5" s="1"/>
  <c r="DR137" i="5" s="1"/>
  <c r="DR136" i="5" s="1"/>
  <c r="DR135" i="5" s="1"/>
  <c r="DR134" i="5" s="1"/>
  <c r="DR133" i="5" s="1"/>
  <c r="DR132" i="5" s="1"/>
  <c r="DR131" i="5" s="1"/>
  <c r="DR130" i="5" s="1"/>
  <c r="DR129" i="5" s="1"/>
  <c r="DR128" i="5" s="1"/>
  <c r="DR127" i="5" s="1"/>
  <c r="DR126" i="5" s="1"/>
  <c r="DR125" i="5" s="1"/>
  <c r="DR124" i="5" s="1"/>
  <c r="DR123" i="5" s="1"/>
  <c r="DR122" i="5" s="1"/>
  <c r="DR121" i="5" s="1"/>
  <c r="DR120" i="5" s="1"/>
  <c r="DR119" i="5" s="1"/>
  <c r="DR118" i="5" s="1"/>
  <c r="DR117" i="5" s="1"/>
  <c r="DR116" i="5" s="1"/>
  <c r="DR115" i="5" s="1"/>
  <c r="DR114" i="5" s="1"/>
  <c r="DR113" i="5" s="1"/>
  <c r="DR112" i="5" s="1"/>
  <c r="DS213" i="5"/>
  <c r="DS212" i="5" s="1"/>
  <c r="DS211" i="5" s="1"/>
  <c r="DS210" i="5" s="1"/>
  <c r="DS209" i="5" s="1"/>
  <c r="DS208" i="5" s="1"/>
  <c r="DS207" i="5" s="1"/>
  <c r="DS206" i="5" s="1"/>
  <c r="DS205" i="5" s="1"/>
  <c r="DS204" i="5" s="1"/>
  <c r="DS203" i="5" s="1"/>
  <c r="DS202" i="5" s="1"/>
  <c r="DS201" i="5" s="1"/>
  <c r="DS200" i="5" s="1"/>
  <c r="DS199" i="5" s="1"/>
  <c r="DS198" i="5" s="1"/>
  <c r="DS197" i="5" s="1"/>
  <c r="DS196" i="5" s="1"/>
  <c r="DS195" i="5" s="1"/>
  <c r="DS194" i="5" s="1"/>
  <c r="DS193" i="5" s="1"/>
  <c r="DS192" i="5" s="1"/>
  <c r="DS191" i="5" s="1"/>
  <c r="DS190" i="5" s="1"/>
  <c r="DS189" i="5" s="1"/>
  <c r="DS188" i="5" s="1"/>
  <c r="DS187" i="5" s="1"/>
  <c r="DS186" i="5" s="1"/>
  <c r="DS185" i="5" s="1"/>
  <c r="DS184" i="5" s="1"/>
  <c r="DS183" i="5" s="1"/>
  <c r="DS182" i="5" s="1"/>
  <c r="DS181" i="5" s="1"/>
  <c r="DS180" i="5" s="1"/>
  <c r="DS179" i="5" s="1"/>
  <c r="DS178" i="5" s="1"/>
  <c r="DS177" i="5" s="1"/>
  <c r="DS176" i="5" s="1"/>
  <c r="DS175" i="5" s="1"/>
  <c r="DS174" i="5" s="1"/>
  <c r="DS173" i="5" s="1"/>
  <c r="DS172" i="5" s="1"/>
  <c r="DS171" i="5" s="1"/>
  <c r="DS170" i="5" s="1"/>
  <c r="DS169" i="5" s="1"/>
  <c r="DS168" i="5" s="1"/>
  <c r="DS167" i="5" s="1"/>
  <c r="DS166" i="5" s="1"/>
  <c r="DS165" i="5" s="1"/>
  <c r="DS164" i="5" s="1"/>
  <c r="DS163" i="5" s="1"/>
  <c r="DS162" i="5" s="1"/>
  <c r="DS161" i="5" s="1"/>
  <c r="DS160" i="5" s="1"/>
  <c r="DS159" i="5" s="1"/>
  <c r="DS158" i="5" s="1"/>
  <c r="DS157" i="5" s="1"/>
  <c r="DS156" i="5" s="1"/>
  <c r="DS155" i="5" s="1"/>
  <c r="DS154" i="5" s="1"/>
  <c r="DS153" i="5" s="1"/>
  <c r="DS152" i="5" s="1"/>
  <c r="DS151" i="5" s="1"/>
  <c r="DS150" i="5" s="1"/>
  <c r="DS149" i="5" s="1"/>
  <c r="DS148" i="5" s="1"/>
  <c r="DS147" i="5" s="1"/>
  <c r="DS146" i="5" s="1"/>
  <c r="DS145" i="5" s="1"/>
  <c r="DS144" i="5" s="1"/>
  <c r="DS143" i="5" s="1"/>
  <c r="DS142" i="5" s="1"/>
  <c r="DS141" i="5" s="1"/>
  <c r="DS140" i="5" s="1"/>
  <c r="DS139" i="5" s="1"/>
  <c r="DS138" i="5" s="1"/>
  <c r="DS137" i="5" s="1"/>
  <c r="DS136" i="5" s="1"/>
  <c r="DS135" i="5" s="1"/>
  <c r="DS134" i="5" s="1"/>
  <c r="DS133" i="5" s="1"/>
  <c r="DS132" i="5" s="1"/>
  <c r="DS131" i="5" s="1"/>
  <c r="DS130" i="5" s="1"/>
  <c r="DS129" i="5" s="1"/>
  <c r="DS128" i="5" s="1"/>
  <c r="DS127" i="5" s="1"/>
  <c r="DS126" i="5" s="1"/>
  <c r="DS125" i="5" s="1"/>
  <c r="DS124" i="5" s="1"/>
  <c r="DS123" i="5" s="1"/>
  <c r="DS122" i="5" s="1"/>
  <c r="DS121" i="5" s="1"/>
  <c r="DS120" i="5" s="1"/>
  <c r="DS119" i="5" s="1"/>
  <c r="DS118" i="5" s="1"/>
  <c r="DS117" i="5" s="1"/>
  <c r="DS116" i="5" s="1"/>
  <c r="DS115" i="5" s="1"/>
  <c r="DS114" i="5" s="1"/>
  <c r="DS113" i="5" s="1"/>
  <c r="DS112" i="5" s="1"/>
  <c r="DT213" i="5"/>
  <c r="DT212" i="5" s="1"/>
  <c r="DT211" i="5" s="1"/>
  <c r="DT210" i="5" s="1"/>
  <c r="DT209" i="5" s="1"/>
  <c r="DT208" i="5" s="1"/>
  <c r="DT207" i="5" s="1"/>
  <c r="DT206" i="5" s="1"/>
  <c r="DT205" i="5" s="1"/>
  <c r="DT204" i="5" s="1"/>
  <c r="DT203" i="5" s="1"/>
  <c r="DT202" i="5" s="1"/>
  <c r="DT201" i="5" s="1"/>
  <c r="DT200" i="5" s="1"/>
  <c r="DT199" i="5" s="1"/>
  <c r="DT198" i="5" s="1"/>
  <c r="DT197" i="5" s="1"/>
  <c r="DT196" i="5" s="1"/>
  <c r="DT195" i="5" s="1"/>
  <c r="DT194" i="5" s="1"/>
  <c r="DT193" i="5" s="1"/>
  <c r="DT192" i="5" s="1"/>
  <c r="DT191" i="5" s="1"/>
  <c r="DT190" i="5" s="1"/>
  <c r="DT189" i="5" s="1"/>
  <c r="DT188" i="5" s="1"/>
  <c r="DT187" i="5" s="1"/>
  <c r="DT186" i="5" s="1"/>
  <c r="DT185" i="5" s="1"/>
  <c r="DT184" i="5" s="1"/>
  <c r="DT183" i="5" s="1"/>
  <c r="DT182" i="5" s="1"/>
  <c r="DT181" i="5" s="1"/>
  <c r="DT180" i="5" s="1"/>
  <c r="DT179" i="5" s="1"/>
  <c r="DT178" i="5" s="1"/>
  <c r="DT177" i="5" s="1"/>
  <c r="DT176" i="5" s="1"/>
  <c r="DT175" i="5" s="1"/>
  <c r="DT174" i="5" s="1"/>
  <c r="DT173" i="5" s="1"/>
  <c r="DT172" i="5" s="1"/>
  <c r="DT171" i="5" s="1"/>
  <c r="DT170" i="5" s="1"/>
  <c r="DT169" i="5" s="1"/>
  <c r="DT168" i="5" s="1"/>
  <c r="DT167" i="5" s="1"/>
  <c r="DT166" i="5" s="1"/>
  <c r="DT165" i="5" s="1"/>
  <c r="DT164" i="5" s="1"/>
  <c r="DT163" i="5" s="1"/>
  <c r="DT162" i="5" s="1"/>
  <c r="DT161" i="5" s="1"/>
  <c r="DT160" i="5" s="1"/>
  <c r="DT159" i="5" s="1"/>
  <c r="DT158" i="5" s="1"/>
  <c r="DT157" i="5" s="1"/>
  <c r="DT156" i="5" s="1"/>
  <c r="DT155" i="5" s="1"/>
  <c r="DT154" i="5" s="1"/>
  <c r="DT153" i="5" s="1"/>
  <c r="DT152" i="5" s="1"/>
  <c r="DT151" i="5" s="1"/>
  <c r="DT150" i="5" s="1"/>
  <c r="DT149" i="5" s="1"/>
  <c r="DT148" i="5" s="1"/>
  <c r="DT147" i="5" s="1"/>
  <c r="DT146" i="5" s="1"/>
  <c r="DT145" i="5" s="1"/>
  <c r="DT144" i="5" s="1"/>
  <c r="DT143" i="5" s="1"/>
  <c r="DT142" i="5" s="1"/>
  <c r="DT141" i="5" s="1"/>
  <c r="DT140" i="5" s="1"/>
  <c r="DT139" i="5" s="1"/>
  <c r="DT138" i="5" s="1"/>
  <c r="DT137" i="5" s="1"/>
  <c r="DT136" i="5" s="1"/>
  <c r="DT135" i="5" s="1"/>
  <c r="DT134" i="5" s="1"/>
  <c r="DT133" i="5" s="1"/>
  <c r="DT132" i="5" s="1"/>
  <c r="DT131" i="5" s="1"/>
  <c r="DT130" i="5" s="1"/>
  <c r="DT129" i="5" s="1"/>
  <c r="DT128" i="5" s="1"/>
  <c r="DT127" i="5" s="1"/>
  <c r="DT126" i="5" s="1"/>
  <c r="DT125" i="5" s="1"/>
  <c r="DT124" i="5" s="1"/>
  <c r="DT123" i="5" s="1"/>
  <c r="DT122" i="5" s="1"/>
  <c r="DT121" i="5" s="1"/>
  <c r="DT120" i="5" s="1"/>
  <c r="DT119" i="5" s="1"/>
  <c r="DT118" i="5" s="1"/>
  <c r="DT117" i="5" s="1"/>
  <c r="DT116" i="5" s="1"/>
  <c r="DT115" i="5" s="1"/>
  <c r="DT114" i="5" s="1"/>
  <c r="DT113" i="5" s="1"/>
  <c r="DT112" i="5" s="1"/>
  <c r="DU213" i="5"/>
  <c r="DU212" i="5" s="1"/>
  <c r="DU211" i="5" s="1"/>
  <c r="DU210" i="5" s="1"/>
  <c r="DU209" i="5" s="1"/>
  <c r="DU208" i="5" s="1"/>
  <c r="DU207" i="5" s="1"/>
  <c r="DU206" i="5" s="1"/>
  <c r="DU205" i="5" s="1"/>
  <c r="DU204" i="5" s="1"/>
  <c r="DU203" i="5" s="1"/>
  <c r="DU202" i="5" s="1"/>
  <c r="DU201" i="5" s="1"/>
  <c r="DU200" i="5" s="1"/>
  <c r="DU199" i="5" s="1"/>
  <c r="DU198" i="5" s="1"/>
  <c r="DU197" i="5" s="1"/>
  <c r="DU196" i="5" s="1"/>
  <c r="DU195" i="5" s="1"/>
  <c r="DU194" i="5" s="1"/>
  <c r="DU193" i="5" s="1"/>
  <c r="DU192" i="5" s="1"/>
  <c r="DU191" i="5" s="1"/>
  <c r="DU190" i="5" s="1"/>
  <c r="DU189" i="5" s="1"/>
  <c r="DU188" i="5" s="1"/>
  <c r="DU187" i="5" s="1"/>
  <c r="DU186" i="5" s="1"/>
  <c r="DU185" i="5" s="1"/>
  <c r="DU184" i="5" s="1"/>
  <c r="DU183" i="5" s="1"/>
  <c r="DU182" i="5" s="1"/>
  <c r="DU181" i="5" s="1"/>
  <c r="DU180" i="5" s="1"/>
  <c r="DU179" i="5" s="1"/>
  <c r="DU178" i="5" s="1"/>
  <c r="DU177" i="5" s="1"/>
  <c r="DU176" i="5" s="1"/>
  <c r="DU175" i="5" s="1"/>
  <c r="DU174" i="5" s="1"/>
  <c r="DU173" i="5" s="1"/>
  <c r="DU172" i="5" s="1"/>
  <c r="DU171" i="5" s="1"/>
  <c r="DU170" i="5" s="1"/>
  <c r="DU169" i="5" s="1"/>
  <c r="DU168" i="5" s="1"/>
  <c r="DU167" i="5" s="1"/>
  <c r="DU166" i="5" s="1"/>
  <c r="DU165" i="5" s="1"/>
  <c r="DU164" i="5" s="1"/>
  <c r="DU163" i="5" s="1"/>
  <c r="DU162" i="5" s="1"/>
  <c r="DU161" i="5" s="1"/>
  <c r="DU160" i="5" s="1"/>
  <c r="DU159" i="5" s="1"/>
  <c r="DU158" i="5" s="1"/>
  <c r="DU157" i="5" s="1"/>
  <c r="DU156" i="5" s="1"/>
  <c r="DU155" i="5" s="1"/>
  <c r="DU154" i="5" s="1"/>
  <c r="DU153" i="5" s="1"/>
  <c r="DU152" i="5" s="1"/>
  <c r="DU151" i="5" s="1"/>
  <c r="DU150" i="5" s="1"/>
  <c r="DU149" i="5" s="1"/>
  <c r="DU148" i="5" s="1"/>
  <c r="DU147" i="5" s="1"/>
  <c r="DU146" i="5" s="1"/>
  <c r="DU145" i="5" s="1"/>
  <c r="DU144" i="5" s="1"/>
  <c r="DU143" i="5" s="1"/>
  <c r="DU142" i="5" s="1"/>
  <c r="DU141" i="5" s="1"/>
  <c r="DU140" i="5" s="1"/>
  <c r="DU139" i="5" s="1"/>
  <c r="DU138" i="5" s="1"/>
  <c r="DU137" i="5" s="1"/>
  <c r="DU136" i="5" s="1"/>
  <c r="DU135" i="5" s="1"/>
  <c r="DU134" i="5" s="1"/>
  <c r="DU133" i="5" s="1"/>
  <c r="DU132" i="5" s="1"/>
  <c r="DU131" i="5" s="1"/>
  <c r="DU130" i="5" s="1"/>
  <c r="DU129" i="5" s="1"/>
  <c r="DU128" i="5" s="1"/>
  <c r="DU127" i="5" s="1"/>
  <c r="DU126" i="5" s="1"/>
  <c r="DU125" i="5" s="1"/>
  <c r="DU124" i="5" s="1"/>
  <c r="DU123" i="5" s="1"/>
  <c r="DU122" i="5" s="1"/>
  <c r="DU121" i="5" s="1"/>
  <c r="DU120" i="5" s="1"/>
  <c r="DU119" i="5" s="1"/>
  <c r="DU118" i="5" s="1"/>
  <c r="DU117" i="5" s="1"/>
  <c r="DU116" i="5" s="1"/>
  <c r="DU115" i="5" s="1"/>
  <c r="DU114" i="5" s="1"/>
  <c r="DU113" i="5" s="1"/>
  <c r="DU112" i="5" s="1"/>
  <c r="DV213" i="5"/>
  <c r="DV212" i="5" s="1"/>
  <c r="DV211" i="5" s="1"/>
  <c r="DV210" i="5" s="1"/>
  <c r="DV209" i="5" s="1"/>
  <c r="DV208" i="5" s="1"/>
  <c r="DV207" i="5" s="1"/>
  <c r="DV206" i="5" s="1"/>
  <c r="DV205" i="5" s="1"/>
  <c r="DV204" i="5" s="1"/>
  <c r="DV203" i="5" s="1"/>
  <c r="DV202" i="5" s="1"/>
  <c r="DV201" i="5" s="1"/>
  <c r="DV200" i="5" s="1"/>
  <c r="DV199" i="5" s="1"/>
  <c r="DV198" i="5" s="1"/>
  <c r="DV197" i="5" s="1"/>
  <c r="DV196" i="5" s="1"/>
  <c r="DV195" i="5" s="1"/>
  <c r="DV194" i="5" s="1"/>
  <c r="DV193" i="5" s="1"/>
  <c r="DV192" i="5" s="1"/>
  <c r="DV191" i="5" s="1"/>
  <c r="DV190" i="5" s="1"/>
  <c r="DV189" i="5" s="1"/>
  <c r="DV188" i="5" s="1"/>
  <c r="DV187" i="5" s="1"/>
  <c r="DV186" i="5" s="1"/>
  <c r="DV185" i="5" s="1"/>
  <c r="DV184" i="5" s="1"/>
  <c r="DV183" i="5" s="1"/>
  <c r="DV182" i="5" s="1"/>
  <c r="DV181" i="5" s="1"/>
  <c r="DV180" i="5" s="1"/>
  <c r="DV179" i="5" s="1"/>
  <c r="DV178" i="5" s="1"/>
  <c r="DV177" i="5" s="1"/>
  <c r="DV176" i="5" s="1"/>
  <c r="DV175" i="5" s="1"/>
  <c r="DV174" i="5" s="1"/>
  <c r="DV173" i="5" s="1"/>
  <c r="DV172" i="5" s="1"/>
  <c r="DV171" i="5" s="1"/>
  <c r="DV170" i="5" s="1"/>
  <c r="DV169" i="5" s="1"/>
  <c r="DV168" i="5" s="1"/>
  <c r="DV167" i="5" s="1"/>
  <c r="DV166" i="5" s="1"/>
  <c r="DV165" i="5" s="1"/>
  <c r="DV164" i="5" s="1"/>
  <c r="DV163" i="5" s="1"/>
  <c r="DV162" i="5" s="1"/>
  <c r="DV161" i="5" s="1"/>
  <c r="DV160" i="5" s="1"/>
  <c r="DV159" i="5" s="1"/>
  <c r="DV158" i="5" s="1"/>
  <c r="DV157" i="5" s="1"/>
  <c r="DV156" i="5" s="1"/>
  <c r="DV155" i="5" s="1"/>
  <c r="DV154" i="5" s="1"/>
  <c r="DV153" i="5" s="1"/>
  <c r="DV152" i="5" s="1"/>
  <c r="DV151" i="5" s="1"/>
  <c r="DV150" i="5" s="1"/>
  <c r="DV149" i="5" s="1"/>
  <c r="DV148" i="5" s="1"/>
  <c r="DV147" i="5" s="1"/>
  <c r="DV146" i="5" s="1"/>
  <c r="DV145" i="5" s="1"/>
  <c r="DV144" i="5" s="1"/>
  <c r="DV143" i="5" s="1"/>
  <c r="DV142" i="5" s="1"/>
  <c r="DV141" i="5" s="1"/>
  <c r="DV140" i="5" s="1"/>
  <c r="DV139" i="5" s="1"/>
  <c r="DV138" i="5" s="1"/>
  <c r="DV137" i="5" s="1"/>
  <c r="DV136" i="5" s="1"/>
  <c r="DV135" i="5" s="1"/>
  <c r="DV134" i="5" s="1"/>
  <c r="DV133" i="5" s="1"/>
  <c r="DV132" i="5" s="1"/>
  <c r="DV131" i="5" s="1"/>
  <c r="DV130" i="5" s="1"/>
  <c r="DV129" i="5" s="1"/>
  <c r="DV128" i="5" s="1"/>
  <c r="DV127" i="5" s="1"/>
  <c r="DV126" i="5" s="1"/>
  <c r="DV125" i="5" s="1"/>
  <c r="DV124" i="5" s="1"/>
  <c r="DV123" i="5" s="1"/>
  <c r="DV122" i="5" s="1"/>
  <c r="DV121" i="5" s="1"/>
  <c r="DV120" i="5" s="1"/>
  <c r="DV119" i="5" s="1"/>
  <c r="DV118" i="5" s="1"/>
  <c r="DV117" i="5" s="1"/>
  <c r="DV116" i="5" s="1"/>
  <c r="DV115" i="5" s="1"/>
  <c r="DV114" i="5" s="1"/>
  <c r="DV113" i="5" s="1"/>
  <c r="DV112" i="5" s="1"/>
  <c r="DW213" i="5"/>
  <c r="DW212" i="5" s="1"/>
  <c r="DW211" i="5" s="1"/>
  <c r="DW210" i="5" s="1"/>
  <c r="DW209" i="5" s="1"/>
  <c r="DW208" i="5" s="1"/>
  <c r="DW207" i="5" s="1"/>
  <c r="DW206" i="5" s="1"/>
  <c r="DW205" i="5" s="1"/>
  <c r="DW204" i="5" s="1"/>
  <c r="DW203" i="5" s="1"/>
  <c r="DW202" i="5" s="1"/>
  <c r="DW201" i="5" s="1"/>
  <c r="DW200" i="5" s="1"/>
  <c r="DW199" i="5" s="1"/>
  <c r="DW198" i="5" s="1"/>
  <c r="DW197" i="5" s="1"/>
  <c r="DW196" i="5" s="1"/>
  <c r="DW195" i="5" s="1"/>
  <c r="DW194" i="5" s="1"/>
  <c r="DW193" i="5" s="1"/>
  <c r="DW192" i="5" s="1"/>
  <c r="DW191" i="5" s="1"/>
  <c r="DW190" i="5" s="1"/>
  <c r="DW189" i="5" s="1"/>
  <c r="DW188" i="5" s="1"/>
  <c r="DW187" i="5" s="1"/>
  <c r="DW186" i="5" s="1"/>
  <c r="DW185" i="5" s="1"/>
  <c r="DW184" i="5" s="1"/>
  <c r="DW183" i="5" s="1"/>
  <c r="DW182" i="5" s="1"/>
  <c r="DW181" i="5" s="1"/>
  <c r="DW180" i="5" s="1"/>
  <c r="DW179" i="5" s="1"/>
  <c r="DW178" i="5" s="1"/>
  <c r="DW177" i="5" s="1"/>
  <c r="DW176" i="5" s="1"/>
  <c r="DW175" i="5" s="1"/>
  <c r="DW174" i="5" s="1"/>
  <c r="DW173" i="5" s="1"/>
  <c r="DW172" i="5" s="1"/>
  <c r="DW171" i="5" s="1"/>
  <c r="DW170" i="5" s="1"/>
  <c r="DW169" i="5" s="1"/>
  <c r="DW168" i="5" s="1"/>
  <c r="DW167" i="5" s="1"/>
  <c r="DW166" i="5" s="1"/>
  <c r="DW165" i="5" s="1"/>
  <c r="DW164" i="5" s="1"/>
  <c r="DW163" i="5" s="1"/>
  <c r="DW162" i="5" s="1"/>
  <c r="DW161" i="5" s="1"/>
  <c r="DW160" i="5" s="1"/>
  <c r="DW159" i="5" s="1"/>
  <c r="DW158" i="5" s="1"/>
  <c r="DW157" i="5" s="1"/>
  <c r="DW156" i="5" s="1"/>
  <c r="DW155" i="5" s="1"/>
  <c r="DW154" i="5" s="1"/>
  <c r="DW153" i="5" s="1"/>
  <c r="DW152" i="5" s="1"/>
  <c r="DW151" i="5" s="1"/>
  <c r="DW150" i="5" s="1"/>
  <c r="DW149" i="5" s="1"/>
  <c r="DW148" i="5" s="1"/>
  <c r="DW147" i="5" s="1"/>
  <c r="DW146" i="5" s="1"/>
  <c r="DW145" i="5" s="1"/>
  <c r="DW144" i="5" s="1"/>
  <c r="DW143" i="5" s="1"/>
  <c r="DW142" i="5" s="1"/>
  <c r="DW141" i="5" s="1"/>
  <c r="DW140" i="5" s="1"/>
  <c r="DW139" i="5" s="1"/>
  <c r="DW138" i="5" s="1"/>
  <c r="DW137" i="5" s="1"/>
  <c r="DW136" i="5" s="1"/>
  <c r="DW135" i="5" s="1"/>
  <c r="DW134" i="5" s="1"/>
  <c r="DW133" i="5" s="1"/>
  <c r="DW132" i="5" s="1"/>
  <c r="DW131" i="5" s="1"/>
  <c r="DW130" i="5" s="1"/>
  <c r="DW129" i="5" s="1"/>
  <c r="DW128" i="5" s="1"/>
  <c r="DW127" i="5" s="1"/>
  <c r="DW126" i="5" s="1"/>
  <c r="DW125" i="5" s="1"/>
  <c r="DW124" i="5" s="1"/>
  <c r="DW123" i="5" s="1"/>
  <c r="DW122" i="5" s="1"/>
  <c r="DW121" i="5" s="1"/>
  <c r="DW120" i="5" s="1"/>
  <c r="DW119" i="5" s="1"/>
  <c r="DW118" i="5" s="1"/>
  <c r="DW117" i="5" s="1"/>
  <c r="DW116" i="5" s="1"/>
  <c r="DW115" i="5" s="1"/>
  <c r="DW114" i="5" s="1"/>
  <c r="DW113" i="5" s="1"/>
  <c r="DW112" i="5" s="1"/>
  <c r="DX213" i="5"/>
  <c r="DX212" i="5" s="1"/>
  <c r="DX211" i="5" s="1"/>
  <c r="DX210" i="5" s="1"/>
  <c r="DX209" i="5" s="1"/>
  <c r="DX208" i="5" s="1"/>
  <c r="DX207" i="5" s="1"/>
  <c r="DX206" i="5" s="1"/>
  <c r="DX205" i="5" s="1"/>
  <c r="DX204" i="5" s="1"/>
  <c r="DX203" i="5" s="1"/>
  <c r="DX202" i="5" s="1"/>
  <c r="DX201" i="5" s="1"/>
  <c r="DX200" i="5" s="1"/>
  <c r="DX199" i="5" s="1"/>
  <c r="DX198" i="5" s="1"/>
  <c r="DX197" i="5" s="1"/>
  <c r="DX196" i="5" s="1"/>
  <c r="DX195" i="5" s="1"/>
  <c r="DX194" i="5" s="1"/>
  <c r="DX193" i="5" s="1"/>
  <c r="DX192" i="5" s="1"/>
  <c r="DX191" i="5" s="1"/>
  <c r="DX190" i="5" s="1"/>
  <c r="DX189" i="5" s="1"/>
  <c r="DX188" i="5" s="1"/>
  <c r="DX187" i="5" s="1"/>
  <c r="DX186" i="5" s="1"/>
  <c r="DX185" i="5" s="1"/>
  <c r="DX184" i="5" s="1"/>
  <c r="DX183" i="5" s="1"/>
  <c r="DX182" i="5" s="1"/>
  <c r="DX181" i="5" s="1"/>
  <c r="DX180" i="5" s="1"/>
  <c r="DX179" i="5" s="1"/>
  <c r="DX178" i="5" s="1"/>
  <c r="DX177" i="5" s="1"/>
  <c r="DX176" i="5" s="1"/>
  <c r="DX175" i="5" s="1"/>
  <c r="DX174" i="5" s="1"/>
  <c r="DX173" i="5" s="1"/>
  <c r="DX172" i="5" s="1"/>
  <c r="DX171" i="5" s="1"/>
  <c r="DX170" i="5" s="1"/>
  <c r="DX169" i="5" s="1"/>
  <c r="DX168" i="5" s="1"/>
  <c r="DX167" i="5" s="1"/>
  <c r="DX166" i="5" s="1"/>
  <c r="DX165" i="5" s="1"/>
  <c r="DX164" i="5" s="1"/>
  <c r="DX163" i="5" s="1"/>
  <c r="DX162" i="5" s="1"/>
  <c r="DX161" i="5" s="1"/>
  <c r="DX160" i="5" s="1"/>
  <c r="DX159" i="5" s="1"/>
  <c r="DX158" i="5" s="1"/>
  <c r="DX157" i="5" s="1"/>
  <c r="DX156" i="5" s="1"/>
  <c r="DX155" i="5" s="1"/>
  <c r="DX154" i="5" s="1"/>
  <c r="DX153" i="5" s="1"/>
  <c r="DX152" i="5" s="1"/>
  <c r="DX151" i="5" s="1"/>
  <c r="DX150" i="5" s="1"/>
  <c r="DX149" i="5" s="1"/>
  <c r="DX148" i="5" s="1"/>
  <c r="DX147" i="5" s="1"/>
  <c r="DX146" i="5" s="1"/>
  <c r="DX145" i="5" s="1"/>
  <c r="DX144" i="5" s="1"/>
  <c r="DX143" i="5" s="1"/>
  <c r="DX142" i="5" s="1"/>
  <c r="DX141" i="5" s="1"/>
  <c r="DX140" i="5" s="1"/>
  <c r="DX139" i="5" s="1"/>
  <c r="DX138" i="5" s="1"/>
  <c r="DX137" i="5" s="1"/>
  <c r="DX136" i="5" s="1"/>
  <c r="DX135" i="5" s="1"/>
  <c r="DX134" i="5" s="1"/>
  <c r="DX133" i="5" s="1"/>
  <c r="DX132" i="5" s="1"/>
  <c r="DX131" i="5" s="1"/>
  <c r="DX130" i="5" s="1"/>
  <c r="DX129" i="5" s="1"/>
  <c r="DX128" i="5" s="1"/>
  <c r="DX127" i="5" s="1"/>
  <c r="DX126" i="5" s="1"/>
  <c r="DX125" i="5" s="1"/>
  <c r="DX124" i="5" s="1"/>
  <c r="DX123" i="5" s="1"/>
  <c r="DX122" i="5" s="1"/>
  <c r="DX121" i="5" s="1"/>
  <c r="DX120" i="5" s="1"/>
  <c r="DX119" i="5" s="1"/>
  <c r="DX118" i="5" s="1"/>
  <c r="DX117" i="5" s="1"/>
  <c r="DX116" i="5" s="1"/>
  <c r="DX115" i="5" s="1"/>
  <c r="DX114" i="5" s="1"/>
  <c r="DX113" i="5" s="1"/>
  <c r="DX112" i="5" s="1"/>
  <c r="DY213" i="5"/>
  <c r="DY212" i="5" s="1"/>
  <c r="DY211" i="5" s="1"/>
  <c r="DY210" i="5" s="1"/>
  <c r="DY209" i="5" s="1"/>
  <c r="DY208" i="5" s="1"/>
  <c r="DY207" i="5" s="1"/>
  <c r="DY206" i="5" s="1"/>
  <c r="DY205" i="5" s="1"/>
  <c r="DY204" i="5" s="1"/>
  <c r="DY203" i="5" s="1"/>
  <c r="DY202" i="5" s="1"/>
  <c r="DY201" i="5" s="1"/>
  <c r="DY200" i="5" s="1"/>
  <c r="DY199" i="5" s="1"/>
  <c r="DY198" i="5" s="1"/>
  <c r="DY197" i="5" s="1"/>
  <c r="DY196" i="5" s="1"/>
  <c r="DY195" i="5" s="1"/>
  <c r="DY194" i="5" s="1"/>
  <c r="DY193" i="5" s="1"/>
  <c r="DY192" i="5" s="1"/>
  <c r="DY191" i="5" s="1"/>
  <c r="DY190" i="5" s="1"/>
  <c r="DY189" i="5" s="1"/>
  <c r="DY188" i="5" s="1"/>
  <c r="DY187" i="5" s="1"/>
  <c r="DY186" i="5" s="1"/>
  <c r="DY185" i="5" s="1"/>
  <c r="DY184" i="5" s="1"/>
  <c r="DY183" i="5" s="1"/>
  <c r="DY182" i="5" s="1"/>
  <c r="DY181" i="5" s="1"/>
  <c r="DY180" i="5" s="1"/>
  <c r="DY179" i="5" s="1"/>
  <c r="DY178" i="5" s="1"/>
  <c r="DY177" i="5" s="1"/>
  <c r="DY176" i="5" s="1"/>
  <c r="DY175" i="5" s="1"/>
  <c r="DY174" i="5" s="1"/>
  <c r="DY173" i="5" s="1"/>
  <c r="DY172" i="5" s="1"/>
  <c r="DY171" i="5" s="1"/>
  <c r="DY170" i="5" s="1"/>
  <c r="DY169" i="5" s="1"/>
  <c r="DY168" i="5" s="1"/>
  <c r="DY167" i="5" s="1"/>
  <c r="DY166" i="5" s="1"/>
  <c r="DY165" i="5" s="1"/>
  <c r="DY164" i="5" s="1"/>
  <c r="DY163" i="5" s="1"/>
  <c r="DY162" i="5" s="1"/>
  <c r="DY161" i="5" s="1"/>
  <c r="DY160" i="5" s="1"/>
  <c r="DY159" i="5" s="1"/>
  <c r="DY158" i="5" s="1"/>
  <c r="DY157" i="5" s="1"/>
  <c r="DY156" i="5" s="1"/>
  <c r="DY155" i="5" s="1"/>
  <c r="DY154" i="5" s="1"/>
  <c r="DY153" i="5" s="1"/>
  <c r="DY152" i="5" s="1"/>
  <c r="DY151" i="5" s="1"/>
  <c r="DY150" i="5" s="1"/>
  <c r="DY149" i="5" s="1"/>
  <c r="DY148" i="5" s="1"/>
  <c r="DY147" i="5" s="1"/>
  <c r="DY146" i="5" s="1"/>
  <c r="DY145" i="5" s="1"/>
  <c r="DY144" i="5" s="1"/>
  <c r="DY143" i="5" s="1"/>
  <c r="DY142" i="5" s="1"/>
  <c r="DY141" i="5" s="1"/>
  <c r="DY140" i="5" s="1"/>
  <c r="DY139" i="5" s="1"/>
  <c r="DY138" i="5" s="1"/>
  <c r="DY137" i="5" s="1"/>
  <c r="DY136" i="5" s="1"/>
  <c r="DY135" i="5" s="1"/>
  <c r="DY134" i="5" s="1"/>
  <c r="DY133" i="5" s="1"/>
  <c r="DY132" i="5" s="1"/>
  <c r="DY131" i="5" s="1"/>
  <c r="DY130" i="5" s="1"/>
  <c r="DY129" i="5" s="1"/>
  <c r="DY128" i="5" s="1"/>
  <c r="DY127" i="5" s="1"/>
  <c r="DY126" i="5" s="1"/>
  <c r="DY125" i="5" s="1"/>
  <c r="DY124" i="5" s="1"/>
  <c r="DY123" i="5" s="1"/>
  <c r="DY122" i="5" s="1"/>
  <c r="DY121" i="5" s="1"/>
  <c r="DY120" i="5" s="1"/>
  <c r="DY119" i="5" s="1"/>
  <c r="DY118" i="5" s="1"/>
  <c r="DY117" i="5" s="1"/>
  <c r="DY116" i="5" s="1"/>
  <c r="DY115" i="5" s="1"/>
  <c r="DY114" i="5" s="1"/>
  <c r="DY113" i="5" s="1"/>
  <c r="DY112" i="5" s="1"/>
  <c r="DZ213" i="5"/>
  <c r="DZ212" i="5" s="1"/>
  <c r="DZ211" i="5" s="1"/>
  <c r="DZ210" i="5" s="1"/>
  <c r="DZ209" i="5" s="1"/>
  <c r="DZ208" i="5" s="1"/>
  <c r="DZ207" i="5" s="1"/>
  <c r="DZ206" i="5" s="1"/>
  <c r="DZ205" i="5" s="1"/>
  <c r="DZ204" i="5" s="1"/>
  <c r="DZ203" i="5" s="1"/>
  <c r="DZ202" i="5" s="1"/>
  <c r="DZ201" i="5" s="1"/>
  <c r="DZ200" i="5" s="1"/>
  <c r="DZ199" i="5" s="1"/>
  <c r="DZ198" i="5" s="1"/>
  <c r="DZ197" i="5" s="1"/>
  <c r="DZ196" i="5" s="1"/>
  <c r="DZ195" i="5" s="1"/>
  <c r="DZ194" i="5" s="1"/>
  <c r="DZ193" i="5" s="1"/>
  <c r="DZ192" i="5" s="1"/>
  <c r="DZ191" i="5" s="1"/>
  <c r="DZ190" i="5" s="1"/>
  <c r="DZ189" i="5" s="1"/>
  <c r="DZ188" i="5" s="1"/>
  <c r="DZ187" i="5" s="1"/>
  <c r="DZ186" i="5" s="1"/>
  <c r="DZ185" i="5" s="1"/>
  <c r="DZ184" i="5" s="1"/>
  <c r="DZ183" i="5" s="1"/>
  <c r="DZ182" i="5" s="1"/>
  <c r="DZ181" i="5" s="1"/>
  <c r="DZ180" i="5" s="1"/>
  <c r="DZ179" i="5" s="1"/>
  <c r="DZ178" i="5" s="1"/>
  <c r="DZ177" i="5" s="1"/>
  <c r="DZ176" i="5" s="1"/>
  <c r="DZ175" i="5" s="1"/>
  <c r="DZ174" i="5" s="1"/>
  <c r="DZ173" i="5" s="1"/>
  <c r="DZ172" i="5" s="1"/>
  <c r="DZ171" i="5" s="1"/>
  <c r="DZ170" i="5" s="1"/>
  <c r="DZ169" i="5" s="1"/>
  <c r="DZ168" i="5" s="1"/>
  <c r="DZ167" i="5" s="1"/>
  <c r="DZ166" i="5" s="1"/>
  <c r="DZ165" i="5" s="1"/>
  <c r="DZ164" i="5" s="1"/>
  <c r="DZ163" i="5" s="1"/>
  <c r="DZ162" i="5" s="1"/>
  <c r="DZ161" i="5" s="1"/>
  <c r="DZ160" i="5" s="1"/>
  <c r="DZ159" i="5" s="1"/>
  <c r="DZ158" i="5" s="1"/>
  <c r="DZ157" i="5" s="1"/>
  <c r="DZ156" i="5" s="1"/>
  <c r="DZ155" i="5" s="1"/>
  <c r="DZ154" i="5" s="1"/>
  <c r="DZ153" i="5" s="1"/>
  <c r="DZ152" i="5" s="1"/>
  <c r="DZ151" i="5" s="1"/>
  <c r="DZ150" i="5" s="1"/>
  <c r="DZ149" i="5" s="1"/>
  <c r="DZ148" i="5" s="1"/>
  <c r="DZ147" i="5" s="1"/>
  <c r="DZ146" i="5" s="1"/>
  <c r="DZ145" i="5" s="1"/>
  <c r="DZ144" i="5" s="1"/>
  <c r="DZ143" i="5" s="1"/>
  <c r="DZ142" i="5" s="1"/>
  <c r="DZ141" i="5" s="1"/>
  <c r="DZ140" i="5" s="1"/>
  <c r="DZ139" i="5" s="1"/>
  <c r="DZ138" i="5" s="1"/>
  <c r="DZ137" i="5" s="1"/>
  <c r="DZ136" i="5" s="1"/>
  <c r="DZ135" i="5" s="1"/>
  <c r="DZ134" i="5" s="1"/>
  <c r="DZ133" i="5" s="1"/>
  <c r="DZ132" i="5" s="1"/>
  <c r="DZ131" i="5" s="1"/>
  <c r="DZ130" i="5" s="1"/>
  <c r="DZ129" i="5" s="1"/>
  <c r="DZ128" i="5" s="1"/>
  <c r="DZ127" i="5" s="1"/>
  <c r="DZ126" i="5" s="1"/>
  <c r="DZ125" i="5" s="1"/>
  <c r="DZ124" i="5" s="1"/>
  <c r="DZ123" i="5" s="1"/>
  <c r="DZ122" i="5" s="1"/>
  <c r="DZ121" i="5" s="1"/>
  <c r="DZ120" i="5" s="1"/>
  <c r="DZ119" i="5" s="1"/>
  <c r="DZ118" i="5" s="1"/>
  <c r="DZ117" i="5" s="1"/>
  <c r="DZ116" i="5" s="1"/>
  <c r="DZ115" i="5" s="1"/>
  <c r="DZ114" i="5" s="1"/>
  <c r="DZ113" i="5" s="1"/>
  <c r="DZ112" i="5" s="1"/>
  <c r="EA213" i="5"/>
  <c r="EA212" i="5" s="1"/>
  <c r="EA211" i="5" s="1"/>
  <c r="EA210" i="5" s="1"/>
  <c r="EA209" i="5" s="1"/>
  <c r="EA208" i="5" s="1"/>
  <c r="EA207" i="5" s="1"/>
  <c r="EA206" i="5" s="1"/>
  <c r="EA205" i="5" s="1"/>
  <c r="EA204" i="5" s="1"/>
  <c r="EA203" i="5" s="1"/>
  <c r="EA202" i="5" s="1"/>
  <c r="EA201" i="5" s="1"/>
  <c r="EA200" i="5" s="1"/>
  <c r="EA199" i="5" s="1"/>
  <c r="EA198" i="5" s="1"/>
  <c r="EA197" i="5" s="1"/>
  <c r="EA196" i="5" s="1"/>
  <c r="EA195" i="5" s="1"/>
  <c r="EA194" i="5" s="1"/>
  <c r="EA193" i="5" s="1"/>
  <c r="EA192" i="5" s="1"/>
  <c r="EA191" i="5" s="1"/>
  <c r="EA190" i="5" s="1"/>
  <c r="EA189" i="5" s="1"/>
  <c r="EA188" i="5" s="1"/>
  <c r="EA187" i="5" s="1"/>
  <c r="EA186" i="5" s="1"/>
  <c r="EA185" i="5" s="1"/>
  <c r="EA184" i="5" s="1"/>
  <c r="EA183" i="5" s="1"/>
  <c r="EA182" i="5" s="1"/>
  <c r="EA181" i="5" s="1"/>
  <c r="EA180" i="5" s="1"/>
  <c r="EA179" i="5" s="1"/>
  <c r="EA178" i="5" s="1"/>
  <c r="EA177" i="5" s="1"/>
  <c r="EA176" i="5" s="1"/>
  <c r="EA175" i="5" s="1"/>
  <c r="EA174" i="5" s="1"/>
  <c r="EA173" i="5" s="1"/>
  <c r="EA172" i="5" s="1"/>
  <c r="EA171" i="5" s="1"/>
  <c r="EA170" i="5" s="1"/>
  <c r="EA169" i="5" s="1"/>
  <c r="EA168" i="5" s="1"/>
  <c r="EA167" i="5" s="1"/>
  <c r="EA166" i="5" s="1"/>
  <c r="EA165" i="5" s="1"/>
  <c r="EA164" i="5" s="1"/>
  <c r="EA163" i="5" s="1"/>
  <c r="EA162" i="5" s="1"/>
  <c r="EA161" i="5" s="1"/>
  <c r="EA160" i="5" s="1"/>
  <c r="EA159" i="5" s="1"/>
  <c r="EA158" i="5" s="1"/>
  <c r="EA157" i="5" s="1"/>
  <c r="EA156" i="5" s="1"/>
  <c r="EA155" i="5" s="1"/>
  <c r="EA154" i="5" s="1"/>
  <c r="EA153" i="5" s="1"/>
  <c r="EA152" i="5" s="1"/>
  <c r="EA151" i="5" s="1"/>
  <c r="EA150" i="5" s="1"/>
  <c r="EA149" i="5" s="1"/>
  <c r="EA148" i="5" s="1"/>
  <c r="EA147" i="5" s="1"/>
  <c r="EA146" i="5" s="1"/>
  <c r="EA145" i="5" s="1"/>
  <c r="EA144" i="5" s="1"/>
  <c r="EA143" i="5" s="1"/>
  <c r="EA142" i="5" s="1"/>
  <c r="EA141" i="5" s="1"/>
  <c r="EA140" i="5" s="1"/>
  <c r="EA139" i="5" s="1"/>
  <c r="EA138" i="5" s="1"/>
  <c r="EA137" i="5" s="1"/>
  <c r="EA136" i="5" s="1"/>
  <c r="EA135" i="5" s="1"/>
  <c r="EA134" i="5" s="1"/>
  <c r="EA133" i="5" s="1"/>
  <c r="EA132" i="5" s="1"/>
  <c r="EA131" i="5" s="1"/>
  <c r="EA130" i="5" s="1"/>
  <c r="EA129" i="5" s="1"/>
  <c r="EA128" i="5" s="1"/>
  <c r="EA127" i="5" s="1"/>
  <c r="EA126" i="5" s="1"/>
  <c r="EA125" i="5" s="1"/>
  <c r="EA124" i="5" s="1"/>
  <c r="EA123" i="5" s="1"/>
  <c r="EA122" i="5" s="1"/>
  <c r="EA121" i="5" s="1"/>
  <c r="EA120" i="5" s="1"/>
  <c r="EA119" i="5" s="1"/>
  <c r="EA118" i="5" s="1"/>
  <c r="EA117" i="5" s="1"/>
  <c r="EA116" i="5" s="1"/>
  <c r="EA115" i="5" s="1"/>
  <c r="EA114" i="5" s="1"/>
  <c r="EA113" i="5" s="1"/>
  <c r="EA112" i="5" s="1"/>
  <c r="EB213" i="5"/>
  <c r="EB212" i="5" s="1"/>
  <c r="EB211" i="5" s="1"/>
  <c r="EB210" i="5" s="1"/>
  <c r="EB209" i="5" s="1"/>
  <c r="EB208" i="5" s="1"/>
  <c r="EB207" i="5" s="1"/>
  <c r="EB206" i="5" s="1"/>
  <c r="EB205" i="5" s="1"/>
  <c r="EB204" i="5" s="1"/>
  <c r="EB203" i="5" s="1"/>
  <c r="EB202" i="5" s="1"/>
  <c r="EB201" i="5" s="1"/>
  <c r="EB200" i="5" s="1"/>
  <c r="EB199" i="5" s="1"/>
  <c r="EB198" i="5" s="1"/>
  <c r="EB197" i="5" s="1"/>
  <c r="EB196" i="5" s="1"/>
  <c r="EB195" i="5" s="1"/>
  <c r="EB194" i="5" s="1"/>
  <c r="EB193" i="5" s="1"/>
  <c r="EB192" i="5" s="1"/>
  <c r="EB191" i="5" s="1"/>
  <c r="EB190" i="5" s="1"/>
  <c r="EB189" i="5" s="1"/>
  <c r="EB188" i="5" s="1"/>
  <c r="EB187" i="5" s="1"/>
  <c r="EB186" i="5" s="1"/>
  <c r="EB185" i="5" s="1"/>
  <c r="EB184" i="5" s="1"/>
  <c r="EB183" i="5" s="1"/>
  <c r="EB182" i="5" s="1"/>
  <c r="EB181" i="5" s="1"/>
  <c r="EB180" i="5" s="1"/>
  <c r="EB179" i="5" s="1"/>
  <c r="EB178" i="5" s="1"/>
  <c r="EB177" i="5" s="1"/>
  <c r="EB176" i="5" s="1"/>
  <c r="EB175" i="5" s="1"/>
  <c r="EB174" i="5" s="1"/>
  <c r="EB173" i="5" s="1"/>
  <c r="EB172" i="5" s="1"/>
  <c r="EB171" i="5" s="1"/>
  <c r="EB170" i="5" s="1"/>
  <c r="EB169" i="5" s="1"/>
  <c r="EB168" i="5" s="1"/>
  <c r="EB167" i="5" s="1"/>
  <c r="EB166" i="5" s="1"/>
  <c r="EB165" i="5" s="1"/>
  <c r="EB164" i="5" s="1"/>
  <c r="EB163" i="5" s="1"/>
  <c r="EB162" i="5" s="1"/>
  <c r="EB161" i="5" s="1"/>
  <c r="EB160" i="5" s="1"/>
  <c r="EB159" i="5" s="1"/>
  <c r="EB158" i="5" s="1"/>
  <c r="EB157" i="5" s="1"/>
  <c r="EB156" i="5" s="1"/>
  <c r="EB155" i="5" s="1"/>
  <c r="EB154" i="5" s="1"/>
  <c r="EB153" i="5" s="1"/>
  <c r="EB152" i="5" s="1"/>
  <c r="EB151" i="5" s="1"/>
  <c r="EB150" i="5" s="1"/>
  <c r="EB149" i="5" s="1"/>
  <c r="EB148" i="5" s="1"/>
  <c r="EB147" i="5" s="1"/>
  <c r="EB146" i="5" s="1"/>
  <c r="EB145" i="5" s="1"/>
  <c r="EB144" i="5" s="1"/>
  <c r="EB143" i="5" s="1"/>
  <c r="EB142" i="5" s="1"/>
  <c r="EB141" i="5" s="1"/>
  <c r="EB140" i="5" s="1"/>
  <c r="EB139" i="5" s="1"/>
  <c r="EB138" i="5" s="1"/>
  <c r="EB137" i="5" s="1"/>
  <c r="EB136" i="5" s="1"/>
  <c r="EB135" i="5" s="1"/>
  <c r="EB134" i="5" s="1"/>
  <c r="EB133" i="5" s="1"/>
  <c r="EB132" i="5" s="1"/>
  <c r="EB131" i="5" s="1"/>
  <c r="EB130" i="5" s="1"/>
  <c r="EB129" i="5" s="1"/>
  <c r="EB128" i="5" s="1"/>
  <c r="EB127" i="5" s="1"/>
  <c r="EB126" i="5" s="1"/>
  <c r="EB125" i="5" s="1"/>
  <c r="EB124" i="5" s="1"/>
  <c r="EB123" i="5" s="1"/>
  <c r="EB122" i="5" s="1"/>
  <c r="EB121" i="5" s="1"/>
  <c r="EB120" i="5" s="1"/>
  <c r="EB119" i="5" s="1"/>
  <c r="EB118" i="5" s="1"/>
  <c r="EB117" i="5" s="1"/>
  <c r="EB116" i="5" s="1"/>
  <c r="EB115" i="5" s="1"/>
  <c r="EB114" i="5" s="1"/>
  <c r="EB113" i="5" s="1"/>
  <c r="EB112" i="5" s="1"/>
  <c r="EC213" i="5"/>
  <c r="EC212" i="5" s="1"/>
  <c r="EC211" i="5" s="1"/>
  <c r="EC210" i="5" s="1"/>
  <c r="EC209" i="5" s="1"/>
  <c r="EC208" i="5" s="1"/>
  <c r="EC207" i="5" s="1"/>
  <c r="EC206" i="5" s="1"/>
  <c r="EC205" i="5" s="1"/>
  <c r="EC204" i="5" s="1"/>
  <c r="EC203" i="5" s="1"/>
  <c r="EC202" i="5" s="1"/>
  <c r="EC201" i="5" s="1"/>
  <c r="EC200" i="5" s="1"/>
  <c r="EC199" i="5" s="1"/>
  <c r="EC198" i="5" s="1"/>
  <c r="EC197" i="5" s="1"/>
  <c r="EC196" i="5" s="1"/>
  <c r="EC195" i="5" s="1"/>
  <c r="EC194" i="5" s="1"/>
  <c r="EC193" i="5" s="1"/>
  <c r="EC192" i="5" s="1"/>
  <c r="EC191" i="5" s="1"/>
  <c r="EC190" i="5" s="1"/>
  <c r="EC189" i="5" s="1"/>
  <c r="EC188" i="5" s="1"/>
  <c r="EC187" i="5" s="1"/>
  <c r="EC186" i="5" s="1"/>
  <c r="EC185" i="5" s="1"/>
  <c r="EC184" i="5" s="1"/>
  <c r="EC183" i="5" s="1"/>
  <c r="EC182" i="5" s="1"/>
  <c r="EC181" i="5" s="1"/>
  <c r="EC180" i="5" s="1"/>
  <c r="EC179" i="5" s="1"/>
  <c r="EC178" i="5" s="1"/>
  <c r="EC177" i="5" s="1"/>
  <c r="EC176" i="5" s="1"/>
  <c r="EC175" i="5" s="1"/>
  <c r="EC174" i="5" s="1"/>
  <c r="EC173" i="5" s="1"/>
  <c r="EC172" i="5" s="1"/>
  <c r="EC171" i="5" s="1"/>
  <c r="EC170" i="5" s="1"/>
  <c r="EC169" i="5" s="1"/>
  <c r="EC168" i="5" s="1"/>
  <c r="EC167" i="5" s="1"/>
  <c r="EC166" i="5" s="1"/>
  <c r="EC165" i="5" s="1"/>
  <c r="EC164" i="5" s="1"/>
  <c r="EC163" i="5" s="1"/>
  <c r="EC162" i="5" s="1"/>
  <c r="EC161" i="5" s="1"/>
  <c r="EC160" i="5" s="1"/>
  <c r="EC159" i="5" s="1"/>
  <c r="EC158" i="5" s="1"/>
  <c r="EC157" i="5" s="1"/>
  <c r="EC156" i="5" s="1"/>
  <c r="EC155" i="5" s="1"/>
  <c r="EC154" i="5" s="1"/>
  <c r="EC153" i="5" s="1"/>
  <c r="EC152" i="5" s="1"/>
  <c r="EC151" i="5" s="1"/>
  <c r="EC150" i="5" s="1"/>
  <c r="EC149" i="5" s="1"/>
  <c r="EC148" i="5" s="1"/>
  <c r="EC147" i="5" s="1"/>
  <c r="EC146" i="5" s="1"/>
  <c r="EC145" i="5" s="1"/>
  <c r="EC144" i="5" s="1"/>
  <c r="EC143" i="5" s="1"/>
  <c r="EC142" i="5" s="1"/>
  <c r="EC141" i="5" s="1"/>
  <c r="EC140" i="5" s="1"/>
  <c r="EC139" i="5" s="1"/>
  <c r="EC138" i="5" s="1"/>
  <c r="EC137" i="5" s="1"/>
  <c r="EC136" i="5" s="1"/>
  <c r="EC135" i="5" s="1"/>
  <c r="EC134" i="5" s="1"/>
  <c r="EC133" i="5" s="1"/>
  <c r="EC132" i="5" s="1"/>
  <c r="EC131" i="5" s="1"/>
  <c r="EC130" i="5" s="1"/>
  <c r="EC129" i="5" s="1"/>
  <c r="EC128" i="5" s="1"/>
  <c r="EC127" i="5" s="1"/>
  <c r="EC126" i="5" s="1"/>
  <c r="EC125" i="5" s="1"/>
  <c r="EC124" i="5" s="1"/>
  <c r="EC123" i="5" s="1"/>
  <c r="EC122" i="5" s="1"/>
  <c r="EC121" i="5" s="1"/>
  <c r="EC120" i="5" s="1"/>
  <c r="EC119" i="5" s="1"/>
  <c r="EC118" i="5" s="1"/>
  <c r="EC117" i="5" s="1"/>
  <c r="EC116" i="5" s="1"/>
  <c r="EC115" i="5" s="1"/>
  <c r="EC114" i="5" s="1"/>
  <c r="EC113" i="5" s="1"/>
  <c r="EC112" i="5" s="1"/>
  <c r="ED213" i="5"/>
  <c r="ED212" i="5" s="1"/>
  <c r="ED211" i="5" s="1"/>
  <c r="ED210" i="5" s="1"/>
  <c r="ED209" i="5" s="1"/>
  <c r="ED208" i="5" s="1"/>
  <c r="ED207" i="5" s="1"/>
  <c r="ED206" i="5" s="1"/>
  <c r="ED205" i="5" s="1"/>
  <c r="ED204" i="5" s="1"/>
  <c r="ED203" i="5" s="1"/>
  <c r="ED202" i="5" s="1"/>
  <c r="ED201" i="5" s="1"/>
  <c r="ED200" i="5" s="1"/>
  <c r="ED199" i="5" s="1"/>
  <c r="ED198" i="5" s="1"/>
  <c r="ED197" i="5" s="1"/>
  <c r="ED196" i="5" s="1"/>
  <c r="ED195" i="5" s="1"/>
  <c r="ED194" i="5" s="1"/>
  <c r="ED193" i="5" s="1"/>
  <c r="ED192" i="5" s="1"/>
  <c r="ED191" i="5" s="1"/>
  <c r="ED190" i="5" s="1"/>
  <c r="ED189" i="5" s="1"/>
  <c r="ED188" i="5" s="1"/>
  <c r="ED187" i="5" s="1"/>
  <c r="ED186" i="5" s="1"/>
  <c r="ED185" i="5" s="1"/>
  <c r="ED184" i="5" s="1"/>
  <c r="ED183" i="5" s="1"/>
  <c r="ED182" i="5" s="1"/>
  <c r="ED181" i="5" s="1"/>
  <c r="ED180" i="5" s="1"/>
  <c r="ED179" i="5" s="1"/>
  <c r="ED178" i="5" s="1"/>
  <c r="ED177" i="5" s="1"/>
  <c r="ED176" i="5" s="1"/>
  <c r="ED175" i="5" s="1"/>
  <c r="ED174" i="5" s="1"/>
  <c r="ED173" i="5" s="1"/>
  <c r="ED172" i="5" s="1"/>
  <c r="ED171" i="5" s="1"/>
  <c r="ED170" i="5" s="1"/>
  <c r="ED169" i="5" s="1"/>
  <c r="ED168" i="5" s="1"/>
  <c r="ED167" i="5" s="1"/>
  <c r="ED166" i="5" s="1"/>
  <c r="ED165" i="5" s="1"/>
  <c r="ED164" i="5" s="1"/>
  <c r="ED163" i="5" s="1"/>
  <c r="ED162" i="5" s="1"/>
  <c r="ED161" i="5" s="1"/>
  <c r="ED160" i="5" s="1"/>
  <c r="ED159" i="5" s="1"/>
  <c r="ED158" i="5" s="1"/>
  <c r="ED157" i="5" s="1"/>
  <c r="ED156" i="5" s="1"/>
  <c r="ED155" i="5" s="1"/>
  <c r="ED154" i="5" s="1"/>
  <c r="ED153" i="5" s="1"/>
  <c r="ED152" i="5" s="1"/>
  <c r="ED151" i="5" s="1"/>
  <c r="ED150" i="5" s="1"/>
  <c r="ED149" i="5" s="1"/>
  <c r="ED148" i="5" s="1"/>
  <c r="ED147" i="5" s="1"/>
  <c r="ED146" i="5" s="1"/>
  <c r="ED145" i="5" s="1"/>
  <c r="ED144" i="5" s="1"/>
  <c r="ED143" i="5" s="1"/>
  <c r="ED142" i="5" s="1"/>
  <c r="ED141" i="5" s="1"/>
  <c r="ED140" i="5" s="1"/>
  <c r="ED139" i="5" s="1"/>
  <c r="ED138" i="5" s="1"/>
  <c r="ED137" i="5" s="1"/>
  <c r="ED136" i="5" s="1"/>
  <c r="ED135" i="5" s="1"/>
  <c r="ED134" i="5" s="1"/>
  <c r="ED133" i="5" s="1"/>
  <c r="ED132" i="5" s="1"/>
  <c r="ED131" i="5" s="1"/>
  <c r="ED130" i="5" s="1"/>
  <c r="ED129" i="5" s="1"/>
  <c r="ED128" i="5" s="1"/>
  <c r="ED127" i="5" s="1"/>
  <c r="ED126" i="5" s="1"/>
  <c r="ED125" i="5" s="1"/>
  <c r="ED124" i="5" s="1"/>
  <c r="ED123" i="5" s="1"/>
  <c r="ED122" i="5" s="1"/>
  <c r="ED121" i="5" s="1"/>
  <c r="ED120" i="5" s="1"/>
  <c r="ED119" i="5" s="1"/>
  <c r="ED118" i="5" s="1"/>
  <c r="ED117" i="5" s="1"/>
  <c r="ED116" i="5" s="1"/>
  <c r="ED115" i="5" s="1"/>
  <c r="ED114" i="5" s="1"/>
  <c r="ED113" i="5" s="1"/>
  <c r="ED112" i="5" s="1"/>
  <c r="EE213" i="5"/>
  <c r="EE212" i="5" s="1"/>
  <c r="EE211" i="5" s="1"/>
  <c r="EE210" i="5" s="1"/>
  <c r="EE209" i="5" s="1"/>
  <c r="EE208" i="5" s="1"/>
  <c r="EE207" i="5" s="1"/>
  <c r="EE206" i="5" s="1"/>
  <c r="EE205" i="5" s="1"/>
  <c r="EE204" i="5" s="1"/>
  <c r="EE203" i="5" s="1"/>
  <c r="EE202" i="5" s="1"/>
  <c r="EE201" i="5" s="1"/>
  <c r="EE200" i="5" s="1"/>
  <c r="EE199" i="5" s="1"/>
  <c r="EE198" i="5" s="1"/>
  <c r="EE197" i="5" s="1"/>
  <c r="EE196" i="5" s="1"/>
  <c r="EE195" i="5" s="1"/>
  <c r="EE194" i="5" s="1"/>
  <c r="EE193" i="5" s="1"/>
  <c r="EE192" i="5" s="1"/>
  <c r="EE191" i="5" s="1"/>
  <c r="EE190" i="5" s="1"/>
  <c r="EE189" i="5" s="1"/>
  <c r="EE188" i="5" s="1"/>
  <c r="EE187" i="5" s="1"/>
  <c r="EE186" i="5" s="1"/>
  <c r="EE185" i="5" s="1"/>
  <c r="EE184" i="5" s="1"/>
  <c r="EE183" i="5" s="1"/>
  <c r="EE182" i="5" s="1"/>
  <c r="EE181" i="5" s="1"/>
  <c r="EE180" i="5" s="1"/>
  <c r="EE179" i="5" s="1"/>
  <c r="EE178" i="5" s="1"/>
  <c r="EE177" i="5" s="1"/>
  <c r="EE176" i="5" s="1"/>
  <c r="EE175" i="5" s="1"/>
  <c r="EE174" i="5" s="1"/>
  <c r="EE173" i="5" s="1"/>
  <c r="EE172" i="5" s="1"/>
  <c r="EE171" i="5" s="1"/>
  <c r="EE170" i="5" s="1"/>
  <c r="EE169" i="5" s="1"/>
  <c r="EE168" i="5" s="1"/>
  <c r="EE167" i="5" s="1"/>
  <c r="EE166" i="5" s="1"/>
  <c r="EE165" i="5" s="1"/>
  <c r="EE164" i="5" s="1"/>
  <c r="EE163" i="5" s="1"/>
  <c r="EE162" i="5" s="1"/>
  <c r="EE161" i="5" s="1"/>
  <c r="EE160" i="5" s="1"/>
  <c r="EE159" i="5" s="1"/>
  <c r="EE158" i="5" s="1"/>
  <c r="EE157" i="5" s="1"/>
  <c r="EE156" i="5" s="1"/>
  <c r="EE155" i="5" s="1"/>
  <c r="EE154" i="5" s="1"/>
  <c r="EE153" i="5" s="1"/>
  <c r="EE152" i="5" s="1"/>
  <c r="EE151" i="5" s="1"/>
  <c r="EE150" i="5" s="1"/>
  <c r="EE149" i="5" s="1"/>
  <c r="EE148" i="5" s="1"/>
  <c r="EE147" i="5" s="1"/>
  <c r="EE146" i="5" s="1"/>
  <c r="EE145" i="5" s="1"/>
  <c r="EE144" i="5" s="1"/>
  <c r="EE143" i="5" s="1"/>
  <c r="EE142" i="5" s="1"/>
  <c r="EE141" i="5" s="1"/>
  <c r="EE140" i="5" s="1"/>
  <c r="EE139" i="5" s="1"/>
  <c r="EE138" i="5" s="1"/>
  <c r="EE137" i="5" s="1"/>
  <c r="EE136" i="5" s="1"/>
  <c r="EE135" i="5" s="1"/>
  <c r="EE134" i="5" s="1"/>
  <c r="EE133" i="5" s="1"/>
  <c r="EE132" i="5" s="1"/>
  <c r="EE131" i="5" s="1"/>
  <c r="EE130" i="5" s="1"/>
  <c r="EE129" i="5" s="1"/>
  <c r="EE128" i="5" s="1"/>
  <c r="EE127" i="5" s="1"/>
  <c r="EE126" i="5" s="1"/>
  <c r="EE125" i="5" s="1"/>
  <c r="EE124" i="5" s="1"/>
  <c r="EE123" i="5" s="1"/>
  <c r="EE122" i="5" s="1"/>
  <c r="EE121" i="5" s="1"/>
  <c r="EE120" i="5" s="1"/>
  <c r="EE119" i="5" s="1"/>
  <c r="EE118" i="5" s="1"/>
  <c r="EE117" i="5" s="1"/>
  <c r="EE116" i="5" s="1"/>
  <c r="EE115" i="5" s="1"/>
  <c r="EE114" i="5" s="1"/>
  <c r="EE113" i="5" s="1"/>
  <c r="EE112" i="5" s="1"/>
  <c r="EF213" i="5"/>
  <c r="EF212" i="5" s="1"/>
  <c r="EF211" i="5" s="1"/>
  <c r="EF210" i="5" s="1"/>
  <c r="EF209" i="5" s="1"/>
  <c r="EF208" i="5" s="1"/>
  <c r="EF207" i="5" s="1"/>
  <c r="EF206" i="5" s="1"/>
  <c r="EF205" i="5" s="1"/>
  <c r="EF204" i="5" s="1"/>
  <c r="EF203" i="5" s="1"/>
  <c r="EF202" i="5" s="1"/>
  <c r="EF201" i="5" s="1"/>
  <c r="EF200" i="5" s="1"/>
  <c r="EF199" i="5" s="1"/>
  <c r="EF198" i="5" s="1"/>
  <c r="EF197" i="5" s="1"/>
  <c r="EF196" i="5" s="1"/>
  <c r="EF195" i="5" s="1"/>
  <c r="EF194" i="5" s="1"/>
  <c r="EF193" i="5" s="1"/>
  <c r="EF192" i="5" s="1"/>
  <c r="EF191" i="5" s="1"/>
  <c r="EF190" i="5" s="1"/>
  <c r="EF189" i="5" s="1"/>
  <c r="EF188" i="5" s="1"/>
  <c r="EF187" i="5" s="1"/>
  <c r="EF186" i="5" s="1"/>
  <c r="EF185" i="5" s="1"/>
  <c r="EF184" i="5" s="1"/>
  <c r="EF183" i="5" s="1"/>
  <c r="EF182" i="5" s="1"/>
  <c r="EF181" i="5" s="1"/>
  <c r="EF180" i="5" s="1"/>
  <c r="EF179" i="5" s="1"/>
  <c r="EF178" i="5" s="1"/>
  <c r="EF177" i="5" s="1"/>
  <c r="EF176" i="5" s="1"/>
  <c r="EF175" i="5" s="1"/>
  <c r="EF174" i="5" s="1"/>
  <c r="EF173" i="5" s="1"/>
  <c r="EF172" i="5" s="1"/>
  <c r="EF171" i="5" s="1"/>
  <c r="EF170" i="5" s="1"/>
  <c r="EF169" i="5" s="1"/>
  <c r="EF168" i="5" s="1"/>
  <c r="EF167" i="5" s="1"/>
  <c r="EF166" i="5" s="1"/>
  <c r="EF165" i="5" s="1"/>
  <c r="EF164" i="5" s="1"/>
  <c r="EF163" i="5" s="1"/>
  <c r="EF162" i="5" s="1"/>
  <c r="EF161" i="5" s="1"/>
  <c r="EF160" i="5" s="1"/>
  <c r="EF159" i="5" s="1"/>
  <c r="EF158" i="5" s="1"/>
  <c r="EF157" i="5" s="1"/>
  <c r="EF156" i="5" s="1"/>
  <c r="EF155" i="5" s="1"/>
  <c r="EF154" i="5" s="1"/>
  <c r="EF153" i="5" s="1"/>
  <c r="EF152" i="5" s="1"/>
  <c r="EF151" i="5" s="1"/>
  <c r="EF150" i="5" s="1"/>
  <c r="EF149" i="5" s="1"/>
  <c r="EF148" i="5" s="1"/>
  <c r="EF147" i="5" s="1"/>
  <c r="EF146" i="5" s="1"/>
  <c r="EF145" i="5" s="1"/>
  <c r="EF144" i="5" s="1"/>
  <c r="EF143" i="5" s="1"/>
  <c r="EF142" i="5" s="1"/>
  <c r="EF141" i="5" s="1"/>
  <c r="EF140" i="5" s="1"/>
  <c r="EF139" i="5" s="1"/>
  <c r="EF138" i="5" s="1"/>
  <c r="EF137" i="5" s="1"/>
  <c r="EF136" i="5" s="1"/>
  <c r="EF135" i="5" s="1"/>
  <c r="EF134" i="5" s="1"/>
  <c r="EF133" i="5" s="1"/>
  <c r="EF132" i="5" s="1"/>
  <c r="EF131" i="5" s="1"/>
  <c r="EF130" i="5" s="1"/>
  <c r="EF129" i="5" s="1"/>
  <c r="EF128" i="5" s="1"/>
  <c r="EF127" i="5" s="1"/>
  <c r="EF126" i="5" s="1"/>
  <c r="EF125" i="5" s="1"/>
  <c r="EF124" i="5" s="1"/>
  <c r="EF123" i="5" s="1"/>
  <c r="EF122" i="5" s="1"/>
  <c r="EF121" i="5" s="1"/>
  <c r="EF120" i="5" s="1"/>
  <c r="EF119" i="5" s="1"/>
  <c r="EF118" i="5" s="1"/>
  <c r="EF117" i="5" s="1"/>
  <c r="EF116" i="5" s="1"/>
  <c r="EF115" i="5" s="1"/>
  <c r="EF114" i="5" s="1"/>
  <c r="EF113" i="5" s="1"/>
  <c r="EF112" i="5" s="1"/>
  <c r="EG213" i="5"/>
  <c r="EG212" i="5" s="1"/>
  <c r="EG211" i="5" s="1"/>
  <c r="EG210" i="5" s="1"/>
  <c r="EG209" i="5" s="1"/>
  <c r="EG208" i="5" s="1"/>
  <c r="EG207" i="5" s="1"/>
  <c r="EG206" i="5" s="1"/>
  <c r="EG205" i="5" s="1"/>
  <c r="EG204" i="5" s="1"/>
  <c r="EG203" i="5" s="1"/>
  <c r="EG202" i="5" s="1"/>
  <c r="EG201" i="5" s="1"/>
  <c r="EG200" i="5" s="1"/>
  <c r="EG199" i="5" s="1"/>
  <c r="EG198" i="5" s="1"/>
  <c r="EG197" i="5" s="1"/>
  <c r="EG196" i="5" s="1"/>
  <c r="EG195" i="5" s="1"/>
  <c r="EG194" i="5" s="1"/>
  <c r="EG193" i="5" s="1"/>
  <c r="EG192" i="5" s="1"/>
  <c r="EG191" i="5" s="1"/>
  <c r="EG190" i="5" s="1"/>
  <c r="EG189" i="5" s="1"/>
  <c r="EG188" i="5" s="1"/>
  <c r="EG187" i="5" s="1"/>
  <c r="EG186" i="5" s="1"/>
  <c r="EG185" i="5" s="1"/>
  <c r="EG184" i="5" s="1"/>
  <c r="EG183" i="5" s="1"/>
  <c r="EG182" i="5" s="1"/>
  <c r="EG181" i="5" s="1"/>
  <c r="EG180" i="5" s="1"/>
  <c r="EG179" i="5" s="1"/>
  <c r="EG178" i="5" s="1"/>
  <c r="EG177" i="5" s="1"/>
  <c r="EG176" i="5" s="1"/>
  <c r="EG175" i="5" s="1"/>
  <c r="EG174" i="5" s="1"/>
  <c r="EG173" i="5" s="1"/>
  <c r="EG172" i="5" s="1"/>
  <c r="EG171" i="5" s="1"/>
  <c r="EG170" i="5" s="1"/>
  <c r="EG169" i="5" s="1"/>
  <c r="EG168" i="5" s="1"/>
  <c r="EG167" i="5" s="1"/>
  <c r="EG166" i="5" s="1"/>
  <c r="EG165" i="5" s="1"/>
  <c r="EG164" i="5" s="1"/>
  <c r="EG163" i="5" s="1"/>
  <c r="EG162" i="5" s="1"/>
  <c r="EG161" i="5" s="1"/>
  <c r="EG160" i="5" s="1"/>
  <c r="EG159" i="5" s="1"/>
  <c r="EG158" i="5" s="1"/>
  <c r="EG157" i="5" s="1"/>
  <c r="EG156" i="5" s="1"/>
  <c r="EG155" i="5" s="1"/>
  <c r="EG154" i="5" s="1"/>
  <c r="EG153" i="5" s="1"/>
  <c r="EG152" i="5" s="1"/>
  <c r="EG151" i="5" s="1"/>
  <c r="EG150" i="5" s="1"/>
  <c r="EG149" i="5" s="1"/>
  <c r="EG148" i="5" s="1"/>
  <c r="EG147" i="5" s="1"/>
  <c r="EG146" i="5" s="1"/>
  <c r="EG145" i="5" s="1"/>
  <c r="EG144" i="5" s="1"/>
  <c r="EG143" i="5" s="1"/>
  <c r="EG142" i="5" s="1"/>
  <c r="EG141" i="5" s="1"/>
  <c r="EG140" i="5" s="1"/>
  <c r="EG139" i="5" s="1"/>
  <c r="EG138" i="5" s="1"/>
  <c r="EG137" i="5" s="1"/>
  <c r="EG136" i="5" s="1"/>
  <c r="EG135" i="5" s="1"/>
  <c r="EG134" i="5" s="1"/>
  <c r="EG133" i="5" s="1"/>
  <c r="EG132" i="5" s="1"/>
  <c r="EG131" i="5" s="1"/>
  <c r="EG130" i="5" s="1"/>
  <c r="EG129" i="5" s="1"/>
  <c r="EG128" i="5" s="1"/>
  <c r="EG127" i="5" s="1"/>
  <c r="EG126" i="5" s="1"/>
  <c r="EG125" i="5" s="1"/>
  <c r="EG124" i="5" s="1"/>
  <c r="EG123" i="5" s="1"/>
  <c r="EG122" i="5" s="1"/>
  <c r="EG121" i="5" s="1"/>
  <c r="EG120" i="5" s="1"/>
  <c r="EG119" i="5" s="1"/>
  <c r="EG118" i="5" s="1"/>
  <c r="EG117" i="5" s="1"/>
  <c r="EG116" i="5" s="1"/>
  <c r="EG115" i="5" s="1"/>
  <c r="EG114" i="5" s="1"/>
  <c r="EG113" i="5" s="1"/>
  <c r="EG112" i="5" s="1"/>
  <c r="EH213" i="5"/>
  <c r="EH212" i="5" s="1"/>
  <c r="EH211" i="5" s="1"/>
  <c r="EH210" i="5" s="1"/>
  <c r="EH209" i="5" s="1"/>
  <c r="EH208" i="5" s="1"/>
  <c r="EH207" i="5" s="1"/>
  <c r="EH206" i="5" s="1"/>
  <c r="EH205" i="5" s="1"/>
  <c r="EH204" i="5" s="1"/>
  <c r="EH203" i="5" s="1"/>
  <c r="EH202" i="5" s="1"/>
  <c r="EH201" i="5" s="1"/>
  <c r="EH200" i="5" s="1"/>
  <c r="EH199" i="5" s="1"/>
  <c r="EH198" i="5" s="1"/>
  <c r="EH197" i="5" s="1"/>
  <c r="EH196" i="5" s="1"/>
  <c r="EH195" i="5" s="1"/>
  <c r="EH194" i="5" s="1"/>
  <c r="EH193" i="5" s="1"/>
  <c r="EH192" i="5" s="1"/>
  <c r="EH191" i="5" s="1"/>
  <c r="EH190" i="5" s="1"/>
  <c r="EH189" i="5" s="1"/>
  <c r="EH188" i="5" s="1"/>
  <c r="EH187" i="5" s="1"/>
  <c r="EH186" i="5" s="1"/>
  <c r="EH185" i="5" s="1"/>
  <c r="EH184" i="5" s="1"/>
  <c r="EH183" i="5" s="1"/>
  <c r="EH182" i="5" s="1"/>
  <c r="EH181" i="5" s="1"/>
  <c r="EH180" i="5" s="1"/>
  <c r="EH179" i="5" s="1"/>
  <c r="EH178" i="5" s="1"/>
  <c r="EH177" i="5" s="1"/>
  <c r="EH176" i="5" s="1"/>
  <c r="EH175" i="5" s="1"/>
  <c r="EH174" i="5" s="1"/>
  <c r="EH173" i="5" s="1"/>
  <c r="EH172" i="5" s="1"/>
  <c r="EH171" i="5" s="1"/>
  <c r="EH170" i="5" s="1"/>
  <c r="EH169" i="5" s="1"/>
  <c r="EH168" i="5" s="1"/>
  <c r="EH167" i="5" s="1"/>
  <c r="EH166" i="5" s="1"/>
  <c r="EH165" i="5" s="1"/>
  <c r="EH164" i="5" s="1"/>
  <c r="EH163" i="5" s="1"/>
  <c r="EH162" i="5" s="1"/>
  <c r="EH161" i="5" s="1"/>
  <c r="EH160" i="5" s="1"/>
  <c r="EH159" i="5" s="1"/>
  <c r="EH158" i="5" s="1"/>
  <c r="EH157" i="5" s="1"/>
  <c r="EH156" i="5" s="1"/>
  <c r="EH155" i="5" s="1"/>
  <c r="EH154" i="5" s="1"/>
  <c r="EH153" i="5" s="1"/>
  <c r="EH152" i="5" s="1"/>
  <c r="EH151" i="5" s="1"/>
  <c r="EH150" i="5" s="1"/>
  <c r="EH149" i="5" s="1"/>
  <c r="EH148" i="5" s="1"/>
  <c r="EH147" i="5" s="1"/>
  <c r="EH146" i="5" s="1"/>
  <c r="EH145" i="5" s="1"/>
  <c r="EH144" i="5" s="1"/>
  <c r="EH143" i="5" s="1"/>
  <c r="EH142" i="5" s="1"/>
  <c r="EH141" i="5" s="1"/>
  <c r="EH140" i="5" s="1"/>
  <c r="EH139" i="5" s="1"/>
  <c r="EH138" i="5" s="1"/>
  <c r="EH137" i="5" s="1"/>
  <c r="EH136" i="5" s="1"/>
  <c r="EH135" i="5" s="1"/>
  <c r="EH134" i="5" s="1"/>
  <c r="EH133" i="5" s="1"/>
  <c r="EH132" i="5" s="1"/>
  <c r="EH131" i="5" s="1"/>
  <c r="EH130" i="5" s="1"/>
  <c r="EH129" i="5" s="1"/>
  <c r="EH128" i="5" s="1"/>
  <c r="EH127" i="5" s="1"/>
  <c r="EH126" i="5" s="1"/>
  <c r="EH125" i="5" s="1"/>
  <c r="EH124" i="5" s="1"/>
  <c r="EH123" i="5" s="1"/>
  <c r="EH122" i="5" s="1"/>
  <c r="EH121" i="5" s="1"/>
  <c r="EH120" i="5" s="1"/>
  <c r="EH119" i="5" s="1"/>
  <c r="EH118" i="5" s="1"/>
  <c r="EH117" i="5" s="1"/>
  <c r="EH116" i="5" s="1"/>
  <c r="EH115" i="5" s="1"/>
  <c r="EH114" i="5" s="1"/>
  <c r="EH113" i="5" s="1"/>
  <c r="EH112" i="5" s="1"/>
  <c r="EI213" i="5"/>
  <c r="EI212" i="5" s="1"/>
  <c r="EI211" i="5" s="1"/>
  <c r="EI210" i="5" s="1"/>
  <c r="EI209" i="5" s="1"/>
  <c r="EI208" i="5" s="1"/>
  <c r="EI207" i="5" s="1"/>
  <c r="EI206" i="5" s="1"/>
  <c r="EI205" i="5" s="1"/>
  <c r="EI204" i="5" s="1"/>
  <c r="EI203" i="5" s="1"/>
  <c r="EI202" i="5" s="1"/>
  <c r="EI201" i="5" s="1"/>
  <c r="EI200" i="5" s="1"/>
  <c r="EI199" i="5" s="1"/>
  <c r="EI198" i="5" s="1"/>
  <c r="EI197" i="5" s="1"/>
  <c r="EI196" i="5" s="1"/>
  <c r="EI195" i="5" s="1"/>
  <c r="EI194" i="5" s="1"/>
  <c r="EI193" i="5" s="1"/>
  <c r="EI192" i="5" s="1"/>
  <c r="EI191" i="5" s="1"/>
  <c r="EI190" i="5" s="1"/>
  <c r="EI189" i="5" s="1"/>
  <c r="EI188" i="5" s="1"/>
  <c r="EI187" i="5" s="1"/>
  <c r="EI186" i="5" s="1"/>
  <c r="EI185" i="5" s="1"/>
  <c r="EI184" i="5" s="1"/>
  <c r="EI183" i="5" s="1"/>
  <c r="EI182" i="5" s="1"/>
  <c r="EI181" i="5" s="1"/>
  <c r="EI180" i="5" s="1"/>
  <c r="EI179" i="5" s="1"/>
  <c r="EI178" i="5" s="1"/>
  <c r="EI177" i="5" s="1"/>
  <c r="EI176" i="5" s="1"/>
  <c r="EI175" i="5" s="1"/>
  <c r="EI174" i="5" s="1"/>
  <c r="EI173" i="5" s="1"/>
  <c r="EI172" i="5" s="1"/>
  <c r="EI171" i="5" s="1"/>
  <c r="EI170" i="5" s="1"/>
  <c r="EI169" i="5" s="1"/>
  <c r="EI168" i="5" s="1"/>
  <c r="EI167" i="5" s="1"/>
  <c r="EI166" i="5" s="1"/>
  <c r="EI165" i="5" s="1"/>
  <c r="EI164" i="5" s="1"/>
  <c r="EI163" i="5" s="1"/>
  <c r="EI162" i="5" s="1"/>
  <c r="EI161" i="5" s="1"/>
  <c r="EI160" i="5" s="1"/>
  <c r="EI159" i="5" s="1"/>
  <c r="EI158" i="5" s="1"/>
  <c r="EI157" i="5" s="1"/>
  <c r="EI156" i="5" s="1"/>
  <c r="EI155" i="5" s="1"/>
  <c r="EI154" i="5" s="1"/>
  <c r="EI153" i="5" s="1"/>
  <c r="EI152" i="5" s="1"/>
  <c r="EI151" i="5" s="1"/>
  <c r="EI150" i="5" s="1"/>
  <c r="EI149" i="5" s="1"/>
  <c r="EI148" i="5" s="1"/>
  <c r="EI147" i="5" s="1"/>
  <c r="EI146" i="5" s="1"/>
  <c r="EI145" i="5" s="1"/>
  <c r="EI144" i="5" s="1"/>
  <c r="EI143" i="5" s="1"/>
  <c r="EI142" i="5" s="1"/>
  <c r="EI141" i="5" s="1"/>
  <c r="EI140" i="5" s="1"/>
  <c r="EI139" i="5" s="1"/>
  <c r="EI138" i="5" s="1"/>
  <c r="EI137" i="5" s="1"/>
  <c r="EI136" i="5" s="1"/>
  <c r="EI135" i="5" s="1"/>
  <c r="EI134" i="5" s="1"/>
  <c r="EI133" i="5" s="1"/>
  <c r="EI132" i="5" s="1"/>
  <c r="EI131" i="5" s="1"/>
  <c r="EI130" i="5" s="1"/>
  <c r="EI129" i="5" s="1"/>
  <c r="EI128" i="5" s="1"/>
  <c r="EI127" i="5" s="1"/>
  <c r="EI126" i="5" s="1"/>
  <c r="EI125" i="5" s="1"/>
  <c r="EI124" i="5" s="1"/>
  <c r="EI123" i="5" s="1"/>
  <c r="EI122" i="5" s="1"/>
  <c r="EI121" i="5" s="1"/>
  <c r="EI120" i="5" s="1"/>
  <c r="EI119" i="5" s="1"/>
  <c r="EI118" i="5" s="1"/>
  <c r="EI117" i="5" s="1"/>
  <c r="EI116" i="5" s="1"/>
  <c r="EI115" i="5" s="1"/>
  <c r="EI114" i="5" s="1"/>
  <c r="EI113" i="5" s="1"/>
  <c r="EI112" i="5" s="1"/>
  <c r="EJ213" i="5"/>
  <c r="EJ212" i="5" s="1"/>
  <c r="EJ211" i="5" s="1"/>
  <c r="EJ210" i="5" s="1"/>
  <c r="EJ209" i="5" s="1"/>
  <c r="EJ208" i="5" s="1"/>
  <c r="EJ207" i="5" s="1"/>
  <c r="EJ206" i="5" s="1"/>
  <c r="EJ205" i="5" s="1"/>
  <c r="EJ204" i="5" s="1"/>
  <c r="EJ203" i="5" s="1"/>
  <c r="EJ202" i="5" s="1"/>
  <c r="EJ201" i="5" s="1"/>
  <c r="EJ200" i="5" s="1"/>
  <c r="EJ199" i="5" s="1"/>
  <c r="EJ198" i="5" s="1"/>
  <c r="EJ197" i="5" s="1"/>
  <c r="EJ196" i="5" s="1"/>
  <c r="EJ195" i="5" s="1"/>
  <c r="EJ194" i="5" s="1"/>
  <c r="EJ193" i="5" s="1"/>
  <c r="EJ192" i="5" s="1"/>
  <c r="EJ191" i="5" s="1"/>
  <c r="EJ190" i="5" s="1"/>
  <c r="EJ189" i="5" s="1"/>
  <c r="EJ188" i="5" s="1"/>
  <c r="EJ187" i="5" s="1"/>
  <c r="EJ186" i="5" s="1"/>
  <c r="EJ185" i="5" s="1"/>
  <c r="EJ184" i="5" s="1"/>
  <c r="EJ183" i="5" s="1"/>
  <c r="EJ182" i="5" s="1"/>
  <c r="EJ181" i="5" s="1"/>
  <c r="EJ180" i="5" s="1"/>
  <c r="EJ179" i="5" s="1"/>
  <c r="EJ178" i="5" s="1"/>
  <c r="EJ177" i="5" s="1"/>
  <c r="EJ176" i="5" s="1"/>
  <c r="EJ175" i="5" s="1"/>
  <c r="EJ174" i="5" s="1"/>
  <c r="EJ173" i="5" s="1"/>
  <c r="EJ172" i="5" s="1"/>
  <c r="EJ171" i="5" s="1"/>
  <c r="EJ170" i="5" s="1"/>
  <c r="EJ169" i="5" s="1"/>
  <c r="EJ168" i="5" s="1"/>
  <c r="EJ167" i="5" s="1"/>
  <c r="EJ166" i="5" s="1"/>
  <c r="EJ165" i="5" s="1"/>
  <c r="EJ164" i="5" s="1"/>
  <c r="EJ163" i="5" s="1"/>
  <c r="EJ162" i="5" s="1"/>
  <c r="EJ161" i="5" s="1"/>
  <c r="EJ160" i="5" s="1"/>
  <c r="EJ159" i="5" s="1"/>
  <c r="EJ158" i="5" s="1"/>
  <c r="EJ157" i="5" s="1"/>
  <c r="EJ156" i="5" s="1"/>
  <c r="EJ155" i="5" s="1"/>
  <c r="EJ154" i="5" s="1"/>
  <c r="EJ153" i="5" s="1"/>
  <c r="EJ152" i="5" s="1"/>
  <c r="EJ151" i="5" s="1"/>
  <c r="EJ150" i="5" s="1"/>
  <c r="EJ149" i="5" s="1"/>
  <c r="EJ148" i="5" s="1"/>
  <c r="EJ147" i="5" s="1"/>
  <c r="EJ146" i="5" s="1"/>
  <c r="EJ145" i="5" s="1"/>
  <c r="EJ144" i="5" s="1"/>
  <c r="EJ143" i="5" s="1"/>
  <c r="EJ142" i="5" s="1"/>
  <c r="EJ141" i="5" s="1"/>
  <c r="EJ140" i="5" s="1"/>
  <c r="EJ139" i="5" s="1"/>
  <c r="EJ138" i="5" s="1"/>
  <c r="EJ137" i="5" s="1"/>
  <c r="EJ136" i="5" s="1"/>
  <c r="EJ135" i="5" s="1"/>
  <c r="EJ134" i="5" s="1"/>
  <c r="EJ133" i="5" s="1"/>
  <c r="EJ132" i="5" s="1"/>
  <c r="EJ131" i="5" s="1"/>
  <c r="EJ130" i="5" s="1"/>
  <c r="EJ129" i="5" s="1"/>
  <c r="EJ128" i="5" s="1"/>
  <c r="EJ127" i="5" s="1"/>
  <c r="EJ126" i="5" s="1"/>
  <c r="EJ125" i="5" s="1"/>
  <c r="EJ124" i="5" s="1"/>
  <c r="EJ123" i="5" s="1"/>
  <c r="EJ122" i="5" s="1"/>
  <c r="EJ121" i="5" s="1"/>
  <c r="EJ120" i="5" s="1"/>
  <c r="EJ119" i="5" s="1"/>
  <c r="EJ118" i="5" s="1"/>
  <c r="EJ117" i="5" s="1"/>
  <c r="EJ116" i="5" s="1"/>
  <c r="EJ115" i="5" s="1"/>
  <c r="EJ114" i="5" s="1"/>
  <c r="EJ113" i="5" s="1"/>
  <c r="EJ112" i="5" s="1"/>
  <c r="EK213" i="5"/>
  <c r="EK212" i="5" s="1"/>
  <c r="EK211" i="5" s="1"/>
  <c r="EK210" i="5" s="1"/>
  <c r="EK209" i="5" s="1"/>
  <c r="EK208" i="5" s="1"/>
  <c r="EK207" i="5" s="1"/>
  <c r="EK206" i="5" s="1"/>
  <c r="EK205" i="5" s="1"/>
  <c r="EK204" i="5" s="1"/>
  <c r="EK203" i="5" s="1"/>
  <c r="EK202" i="5" s="1"/>
  <c r="EK201" i="5" s="1"/>
  <c r="EK200" i="5" s="1"/>
  <c r="EK199" i="5" s="1"/>
  <c r="EK198" i="5" s="1"/>
  <c r="EK197" i="5" s="1"/>
  <c r="EK196" i="5" s="1"/>
  <c r="EK195" i="5" s="1"/>
  <c r="EK194" i="5" s="1"/>
  <c r="EK193" i="5" s="1"/>
  <c r="EK192" i="5" s="1"/>
  <c r="EK191" i="5" s="1"/>
  <c r="EK190" i="5" s="1"/>
  <c r="EK189" i="5" s="1"/>
  <c r="EK188" i="5" s="1"/>
  <c r="EK187" i="5" s="1"/>
  <c r="EK186" i="5" s="1"/>
  <c r="EK185" i="5" s="1"/>
  <c r="EK184" i="5" s="1"/>
  <c r="EK183" i="5" s="1"/>
  <c r="EK182" i="5" s="1"/>
  <c r="EK181" i="5" s="1"/>
  <c r="EK180" i="5" s="1"/>
  <c r="EK179" i="5" s="1"/>
  <c r="EK178" i="5" s="1"/>
  <c r="EK177" i="5" s="1"/>
  <c r="EK176" i="5" s="1"/>
  <c r="EK175" i="5" s="1"/>
  <c r="EK174" i="5" s="1"/>
  <c r="EK173" i="5" s="1"/>
  <c r="EK172" i="5" s="1"/>
  <c r="EK171" i="5" s="1"/>
  <c r="EK170" i="5" s="1"/>
  <c r="EK169" i="5" s="1"/>
  <c r="EK168" i="5" s="1"/>
  <c r="EK167" i="5" s="1"/>
  <c r="EK166" i="5" s="1"/>
  <c r="EK165" i="5" s="1"/>
  <c r="EK164" i="5" s="1"/>
  <c r="EK163" i="5" s="1"/>
  <c r="EK162" i="5" s="1"/>
  <c r="EK161" i="5" s="1"/>
  <c r="EK160" i="5" s="1"/>
  <c r="EK159" i="5" s="1"/>
  <c r="EK158" i="5" s="1"/>
  <c r="EK157" i="5" s="1"/>
  <c r="EK156" i="5" s="1"/>
  <c r="EK155" i="5" s="1"/>
  <c r="EK154" i="5" s="1"/>
  <c r="EK153" i="5" s="1"/>
  <c r="EK152" i="5" s="1"/>
  <c r="EK151" i="5" s="1"/>
  <c r="EK150" i="5" s="1"/>
  <c r="EK149" i="5" s="1"/>
  <c r="EK148" i="5" s="1"/>
  <c r="EK147" i="5" s="1"/>
  <c r="EK146" i="5" s="1"/>
  <c r="EK145" i="5" s="1"/>
  <c r="EK144" i="5" s="1"/>
  <c r="EK143" i="5" s="1"/>
  <c r="EK142" i="5" s="1"/>
  <c r="EK141" i="5" s="1"/>
  <c r="EK140" i="5" s="1"/>
  <c r="EK139" i="5" s="1"/>
  <c r="EK138" i="5" s="1"/>
  <c r="EK137" i="5" s="1"/>
  <c r="EK136" i="5" s="1"/>
  <c r="EK135" i="5" s="1"/>
  <c r="EK134" i="5" s="1"/>
  <c r="EK133" i="5" s="1"/>
  <c r="EK132" i="5" s="1"/>
  <c r="EK131" i="5" s="1"/>
  <c r="EK130" i="5" s="1"/>
  <c r="EK129" i="5" s="1"/>
  <c r="EK128" i="5" s="1"/>
  <c r="EK127" i="5" s="1"/>
  <c r="EK126" i="5" s="1"/>
  <c r="EK125" i="5" s="1"/>
  <c r="EK124" i="5" s="1"/>
  <c r="EK123" i="5" s="1"/>
  <c r="EK122" i="5" s="1"/>
  <c r="EK121" i="5" s="1"/>
  <c r="EK120" i="5" s="1"/>
  <c r="EK119" i="5" s="1"/>
  <c r="EK118" i="5" s="1"/>
  <c r="EK117" i="5" s="1"/>
  <c r="EK116" i="5" s="1"/>
  <c r="EK115" i="5" s="1"/>
  <c r="EK114" i="5" s="1"/>
  <c r="EK113" i="5" s="1"/>
  <c r="EK112" i="5" s="1"/>
  <c r="EL213" i="5"/>
  <c r="EL212" i="5" s="1"/>
  <c r="EL211" i="5" s="1"/>
  <c r="EL210" i="5" s="1"/>
  <c r="EL209" i="5" s="1"/>
  <c r="EL208" i="5" s="1"/>
  <c r="EL207" i="5" s="1"/>
  <c r="EL206" i="5" s="1"/>
  <c r="EL205" i="5" s="1"/>
  <c r="EL204" i="5" s="1"/>
  <c r="EL203" i="5" s="1"/>
  <c r="EL202" i="5" s="1"/>
  <c r="EL201" i="5" s="1"/>
  <c r="EL200" i="5" s="1"/>
  <c r="EL199" i="5" s="1"/>
  <c r="EL198" i="5" s="1"/>
  <c r="EL197" i="5" s="1"/>
  <c r="EL196" i="5" s="1"/>
  <c r="EL195" i="5" s="1"/>
  <c r="EL194" i="5" s="1"/>
  <c r="EL193" i="5" s="1"/>
  <c r="EL192" i="5" s="1"/>
  <c r="EL191" i="5" s="1"/>
  <c r="EL190" i="5" s="1"/>
  <c r="EL189" i="5" s="1"/>
  <c r="EL188" i="5" s="1"/>
  <c r="EL187" i="5" s="1"/>
  <c r="EL186" i="5" s="1"/>
  <c r="EL185" i="5" s="1"/>
  <c r="EL184" i="5" s="1"/>
  <c r="EL183" i="5" s="1"/>
  <c r="EL182" i="5" s="1"/>
  <c r="EL181" i="5" s="1"/>
  <c r="EL180" i="5" s="1"/>
  <c r="EL179" i="5" s="1"/>
  <c r="EL178" i="5" s="1"/>
  <c r="EL177" i="5" s="1"/>
  <c r="EL176" i="5" s="1"/>
  <c r="EL175" i="5" s="1"/>
  <c r="EL174" i="5" s="1"/>
  <c r="EL173" i="5" s="1"/>
  <c r="EL172" i="5" s="1"/>
  <c r="EL171" i="5" s="1"/>
  <c r="EL170" i="5" s="1"/>
  <c r="EL169" i="5" s="1"/>
  <c r="EL168" i="5" s="1"/>
  <c r="EL167" i="5" s="1"/>
  <c r="EL166" i="5" s="1"/>
  <c r="EL165" i="5" s="1"/>
  <c r="EL164" i="5" s="1"/>
  <c r="EL163" i="5" s="1"/>
  <c r="EL162" i="5" s="1"/>
  <c r="EL161" i="5" s="1"/>
  <c r="EL160" i="5" s="1"/>
  <c r="EL159" i="5" s="1"/>
  <c r="EL158" i="5" s="1"/>
  <c r="EL157" i="5" s="1"/>
  <c r="EL156" i="5" s="1"/>
  <c r="EL155" i="5" s="1"/>
  <c r="EL154" i="5" s="1"/>
  <c r="EL153" i="5" s="1"/>
  <c r="EL152" i="5" s="1"/>
  <c r="EL151" i="5" s="1"/>
  <c r="EL150" i="5" s="1"/>
  <c r="EL149" i="5" s="1"/>
  <c r="EL148" i="5" s="1"/>
  <c r="EL147" i="5" s="1"/>
  <c r="EL146" i="5" s="1"/>
  <c r="EL145" i="5" s="1"/>
  <c r="EL144" i="5" s="1"/>
  <c r="EL143" i="5" s="1"/>
  <c r="EL142" i="5" s="1"/>
  <c r="EL141" i="5" s="1"/>
  <c r="EL140" i="5" s="1"/>
  <c r="EL139" i="5" s="1"/>
  <c r="EL138" i="5" s="1"/>
  <c r="EL137" i="5" s="1"/>
  <c r="EL136" i="5" s="1"/>
  <c r="EL135" i="5" s="1"/>
  <c r="EL134" i="5" s="1"/>
  <c r="EL133" i="5" s="1"/>
  <c r="EL132" i="5" s="1"/>
  <c r="EL131" i="5" s="1"/>
  <c r="EL130" i="5" s="1"/>
  <c r="EL129" i="5" s="1"/>
  <c r="EL128" i="5" s="1"/>
  <c r="EL127" i="5" s="1"/>
  <c r="EL126" i="5" s="1"/>
  <c r="EL125" i="5" s="1"/>
  <c r="EL124" i="5" s="1"/>
  <c r="EL123" i="5" s="1"/>
  <c r="EL122" i="5" s="1"/>
  <c r="EL121" i="5" s="1"/>
  <c r="EL120" i="5" s="1"/>
  <c r="EL119" i="5" s="1"/>
  <c r="EL118" i="5" s="1"/>
  <c r="EL117" i="5" s="1"/>
  <c r="EL116" i="5" s="1"/>
  <c r="EL115" i="5" s="1"/>
  <c r="EL114" i="5" s="1"/>
  <c r="EL113" i="5" s="1"/>
  <c r="EL112" i="5" s="1"/>
  <c r="EM213" i="5"/>
  <c r="EM212" i="5" s="1"/>
  <c r="EM211" i="5" s="1"/>
  <c r="EM210" i="5" s="1"/>
  <c r="EM209" i="5" s="1"/>
  <c r="EM208" i="5" s="1"/>
  <c r="EM207" i="5" s="1"/>
  <c r="EM206" i="5" s="1"/>
  <c r="EM205" i="5" s="1"/>
  <c r="EM204" i="5" s="1"/>
  <c r="EM203" i="5" s="1"/>
  <c r="EM202" i="5" s="1"/>
  <c r="EM201" i="5" s="1"/>
  <c r="EM200" i="5" s="1"/>
  <c r="EM199" i="5" s="1"/>
  <c r="EM198" i="5" s="1"/>
  <c r="EM197" i="5" s="1"/>
  <c r="EM196" i="5" s="1"/>
  <c r="EM195" i="5" s="1"/>
  <c r="EM194" i="5" s="1"/>
  <c r="EM193" i="5" s="1"/>
  <c r="EM192" i="5" s="1"/>
  <c r="EM191" i="5" s="1"/>
  <c r="EM190" i="5" s="1"/>
  <c r="EM189" i="5" s="1"/>
  <c r="EM188" i="5" s="1"/>
  <c r="EM187" i="5" s="1"/>
  <c r="EM186" i="5" s="1"/>
  <c r="EM185" i="5" s="1"/>
  <c r="EM184" i="5" s="1"/>
  <c r="EM183" i="5" s="1"/>
  <c r="EM182" i="5" s="1"/>
  <c r="EM181" i="5" s="1"/>
  <c r="EM180" i="5" s="1"/>
  <c r="EM179" i="5" s="1"/>
  <c r="EM178" i="5" s="1"/>
  <c r="EM177" i="5" s="1"/>
  <c r="EM176" i="5" s="1"/>
  <c r="EM175" i="5" s="1"/>
  <c r="EM174" i="5" s="1"/>
  <c r="EM173" i="5" s="1"/>
  <c r="EM172" i="5" s="1"/>
  <c r="EM171" i="5" s="1"/>
  <c r="EM170" i="5" s="1"/>
  <c r="EM169" i="5" s="1"/>
  <c r="EM168" i="5" s="1"/>
  <c r="EM167" i="5" s="1"/>
  <c r="EM166" i="5" s="1"/>
  <c r="EM165" i="5" s="1"/>
  <c r="EM164" i="5" s="1"/>
  <c r="EM163" i="5" s="1"/>
  <c r="EM162" i="5" s="1"/>
  <c r="EM161" i="5" s="1"/>
  <c r="EM160" i="5" s="1"/>
  <c r="EM159" i="5" s="1"/>
  <c r="EM158" i="5" s="1"/>
  <c r="EM157" i="5" s="1"/>
  <c r="EM156" i="5" s="1"/>
  <c r="EM155" i="5" s="1"/>
  <c r="EM154" i="5" s="1"/>
  <c r="EM153" i="5" s="1"/>
  <c r="EM152" i="5" s="1"/>
  <c r="EM151" i="5" s="1"/>
  <c r="EM150" i="5" s="1"/>
  <c r="EM149" i="5" s="1"/>
  <c r="EM148" i="5" s="1"/>
  <c r="EM147" i="5" s="1"/>
  <c r="EM146" i="5" s="1"/>
  <c r="EM145" i="5" s="1"/>
  <c r="EM144" i="5" s="1"/>
  <c r="EM143" i="5" s="1"/>
  <c r="EM142" i="5" s="1"/>
  <c r="EM141" i="5" s="1"/>
  <c r="EM140" i="5" s="1"/>
  <c r="EM139" i="5" s="1"/>
  <c r="EM138" i="5" s="1"/>
  <c r="EM137" i="5" s="1"/>
  <c r="EM136" i="5" s="1"/>
  <c r="EM135" i="5" s="1"/>
  <c r="EM134" i="5" s="1"/>
  <c r="EM133" i="5" s="1"/>
  <c r="EM132" i="5" s="1"/>
  <c r="EM131" i="5" s="1"/>
  <c r="EM130" i="5" s="1"/>
  <c r="EM129" i="5" s="1"/>
  <c r="EM128" i="5" s="1"/>
  <c r="EM127" i="5" s="1"/>
  <c r="EM126" i="5" s="1"/>
  <c r="EM125" i="5" s="1"/>
  <c r="EM124" i="5" s="1"/>
  <c r="EM123" i="5" s="1"/>
  <c r="EM122" i="5" s="1"/>
  <c r="EM121" i="5" s="1"/>
  <c r="EM120" i="5" s="1"/>
  <c r="EM119" i="5" s="1"/>
  <c r="EM118" i="5" s="1"/>
  <c r="EM117" i="5" s="1"/>
  <c r="EM116" i="5" s="1"/>
  <c r="EM115" i="5" s="1"/>
  <c r="EM114" i="5" s="1"/>
  <c r="EM113" i="5" s="1"/>
  <c r="EM112" i="5" s="1"/>
  <c r="EN213" i="5"/>
  <c r="EN212" i="5" s="1"/>
  <c r="EN211" i="5" s="1"/>
  <c r="EN210" i="5" s="1"/>
  <c r="EN209" i="5" s="1"/>
  <c r="EN208" i="5" s="1"/>
  <c r="EN207" i="5" s="1"/>
  <c r="EN206" i="5" s="1"/>
  <c r="EN205" i="5" s="1"/>
  <c r="EN204" i="5" s="1"/>
  <c r="EN203" i="5" s="1"/>
  <c r="EN202" i="5" s="1"/>
  <c r="EN201" i="5" s="1"/>
  <c r="EN200" i="5" s="1"/>
  <c r="EN199" i="5" s="1"/>
  <c r="EN198" i="5" s="1"/>
  <c r="EN197" i="5" s="1"/>
  <c r="EN196" i="5" s="1"/>
  <c r="EN195" i="5" s="1"/>
  <c r="EN194" i="5" s="1"/>
  <c r="EN193" i="5" s="1"/>
  <c r="EN192" i="5" s="1"/>
  <c r="EN191" i="5" s="1"/>
  <c r="EN190" i="5" s="1"/>
  <c r="EN189" i="5" s="1"/>
  <c r="EN188" i="5" s="1"/>
  <c r="EN187" i="5" s="1"/>
  <c r="EN186" i="5" s="1"/>
  <c r="EN185" i="5" s="1"/>
  <c r="EN184" i="5" s="1"/>
  <c r="EN183" i="5" s="1"/>
  <c r="EN182" i="5" s="1"/>
  <c r="EN181" i="5" s="1"/>
  <c r="EN180" i="5" s="1"/>
  <c r="EN179" i="5" s="1"/>
  <c r="EN178" i="5" s="1"/>
  <c r="EN177" i="5" s="1"/>
  <c r="EN176" i="5" s="1"/>
  <c r="EN175" i="5" s="1"/>
  <c r="EN174" i="5" s="1"/>
  <c r="EN173" i="5" s="1"/>
  <c r="EN172" i="5" s="1"/>
  <c r="EN171" i="5" s="1"/>
  <c r="EN170" i="5" s="1"/>
  <c r="EN169" i="5" s="1"/>
  <c r="EN168" i="5" s="1"/>
  <c r="EN167" i="5" s="1"/>
  <c r="EN166" i="5" s="1"/>
  <c r="EN165" i="5" s="1"/>
  <c r="EN164" i="5" s="1"/>
  <c r="EN163" i="5" s="1"/>
  <c r="EN162" i="5" s="1"/>
  <c r="EN161" i="5" s="1"/>
  <c r="EN160" i="5" s="1"/>
  <c r="EN159" i="5" s="1"/>
  <c r="EN158" i="5" s="1"/>
  <c r="EN157" i="5" s="1"/>
  <c r="EN156" i="5" s="1"/>
  <c r="EN155" i="5" s="1"/>
  <c r="EN154" i="5" s="1"/>
  <c r="EN153" i="5" s="1"/>
  <c r="EN152" i="5" s="1"/>
  <c r="EN151" i="5" s="1"/>
  <c r="EN150" i="5" s="1"/>
  <c r="EN149" i="5" s="1"/>
  <c r="EN148" i="5" s="1"/>
  <c r="EN147" i="5" s="1"/>
  <c r="EN146" i="5" s="1"/>
  <c r="EN145" i="5" s="1"/>
  <c r="EN144" i="5" s="1"/>
  <c r="EN143" i="5" s="1"/>
  <c r="EN142" i="5" s="1"/>
  <c r="EN141" i="5" s="1"/>
  <c r="EN140" i="5" s="1"/>
  <c r="EN139" i="5" s="1"/>
  <c r="EN138" i="5" s="1"/>
  <c r="EN137" i="5" s="1"/>
  <c r="EN136" i="5" s="1"/>
  <c r="EN135" i="5" s="1"/>
  <c r="EN134" i="5" s="1"/>
  <c r="EN133" i="5" s="1"/>
  <c r="EN132" i="5" s="1"/>
  <c r="EN131" i="5" s="1"/>
  <c r="EN130" i="5" s="1"/>
  <c r="EN129" i="5" s="1"/>
  <c r="EN128" i="5" s="1"/>
  <c r="EN127" i="5" s="1"/>
  <c r="EN126" i="5" s="1"/>
  <c r="EN125" i="5" s="1"/>
  <c r="EN124" i="5" s="1"/>
  <c r="EN123" i="5" s="1"/>
  <c r="EN122" i="5" s="1"/>
  <c r="EN121" i="5" s="1"/>
  <c r="EN120" i="5" s="1"/>
  <c r="EN119" i="5" s="1"/>
  <c r="EN118" i="5" s="1"/>
  <c r="EN117" i="5" s="1"/>
  <c r="EN116" i="5" s="1"/>
  <c r="EN115" i="5" s="1"/>
  <c r="EN114" i="5" s="1"/>
  <c r="EN113" i="5" s="1"/>
  <c r="EN112" i="5" s="1"/>
  <c r="EO213" i="5"/>
  <c r="EO212" i="5" s="1"/>
  <c r="EO211" i="5" s="1"/>
  <c r="EO210" i="5" s="1"/>
  <c r="EO209" i="5" s="1"/>
  <c r="EO208" i="5" s="1"/>
  <c r="EO207" i="5" s="1"/>
  <c r="EO206" i="5" s="1"/>
  <c r="EO205" i="5" s="1"/>
  <c r="EO204" i="5" s="1"/>
  <c r="EO203" i="5" s="1"/>
  <c r="EO202" i="5" s="1"/>
  <c r="EO201" i="5" s="1"/>
  <c r="EO200" i="5" s="1"/>
  <c r="EO199" i="5" s="1"/>
  <c r="EO198" i="5" s="1"/>
  <c r="EO197" i="5" s="1"/>
  <c r="EO196" i="5" s="1"/>
  <c r="EO195" i="5" s="1"/>
  <c r="EO194" i="5" s="1"/>
  <c r="EO193" i="5" s="1"/>
  <c r="EO192" i="5" s="1"/>
  <c r="EO191" i="5" s="1"/>
  <c r="EO190" i="5" s="1"/>
  <c r="EO189" i="5" s="1"/>
  <c r="EO188" i="5" s="1"/>
  <c r="EO187" i="5" s="1"/>
  <c r="EO186" i="5" s="1"/>
  <c r="EO185" i="5" s="1"/>
  <c r="EO184" i="5" s="1"/>
  <c r="EO183" i="5" s="1"/>
  <c r="EO182" i="5" s="1"/>
  <c r="EO181" i="5" s="1"/>
  <c r="EO180" i="5" s="1"/>
  <c r="EO179" i="5" s="1"/>
  <c r="EO178" i="5" s="1"/>
  <c r="EO177" i="5" s="1"/>
  <c r="EO176" i="5" s="1"/>
  <c r="EO175" i="5" s="1"/>
  <c r="EO174" i="5" s="1"/>
  <c r="EO173" i="5" s="1"/>
  <c r="EO172" i="5" s="1"/>
  <c r="EO171" i="5" s="1"/>
  <c r="EO170" i="5" s="1"/>
  <c r="EO169" i="5" s="1"/>
  <c r="EO168" i="5" s="1"/>
  <c r="EO167" i="5" s="1"/>
  <c r="EO166" i="5" s="1"/>
  <c r="EO165" i="5" s="1"/>
  <c r="EO164" i="5" s="1"/>
  <c r="EO163" i="5" s="1"/>
  <c r="EO162" i="5" s="1"/>
  <c r="EO161" i="5" s="1"/>
  <c r="EO160" i="5" s="1"/>
  <c r="EO159" i="5" s="1"/>
  <c r="EO158" i="5" s="1"/>
  <c r="EO157" i="5" s="1"/>
  <c r="EO156" i="5" s="1"/>
  <c r="EO155" i="5" s="1"/>
  <c r="EO154" i="5" s="1"/>
  <c r="EO153" i="5" s="1"/>
  <c r="EO152" i="5" s="1"/>
  <c r="EO151" i="5" s="1"/>
  <c r="EO150" i="5" s="1"/>
  <c r="EO149" i="5" s="1"/>
  <c r="EO148" i="5" s="1"/>
  <c r="EO147" i="5" s="1"/>
  <c r="EO146" i="5" s="1"/>
  <c r="EO145" i="5" s="1"/>
  <c r="EO144" i="5" s="1"/>
  <c r="EO143" i="5" s="1"/>
  <c r="EO142" i="5" s="1"/>
  <c r="EO141" i="5" s="1"/>
  <c r="EO140" i="5" s="1"/>
  <c r="EO139" i="5" s="1"/>
  <c r="EO138" i="5" s="1"/>
  <c r="EO137" i="5" s="1"/>
  <c r="EO136" i="5" s="1"/>
  <c r="EO135" i="5" s="1"/>
  <c r="EO134" i="5" s="1"/>
  <c r="EO133" i="5" s="1"/>
  <c r="EO132" i="5" s="1"/>
  <c r="EO131" i="5" s="1"/>
  <c r="EO130" i="5" s="1"/>
  <c r="EO129" i="5" s="1"/>
  <c r="EO128" i="5" s="1"/>
  <c r="EO127" i="5" s="1"/>
  <c r="EO126" i="5" s="1"/>
  <c r="EO125" i="5" s="1"/>
  <c r="EO124" i="5" s="1"/>
  <c r="EO123" i="5" s="1"/>
  <c r="EO122" i="5" s="1"/>
  <c r="EO121" i="5" s="1"/>
  <c r="EO120" i="5" s="1"/>
  <c r="EO119" i="5" s="1"/>
  <c r="EO118" i="5" s="1"/>
  <c r="EO117" i="5" s="1"/>
  <c r="EO116" i="5" s="1"/>
  <c r="EO115" i="5" s="1"/>
  <c r="EO114" i="5" s="1"/>
  <c r="EO113" i="5" s="1"/>
  <c r="EO112" i="5" s="1"/>
  <c r="EP213" i="5"/>
  <c r="EP212" i="5" s="1"/>
  <c r="EP211" i="5" s="1"/>
  <c r="EP210" i="5" s="1"/>
  <c r="EP209" i="5" s="1"/>
  <c r="EP208" i="5" s="1"/>
  <c r="EP207" i="5" s="1"/>
  <c r="EP206" i="5" s="1"/>
  <c r="EP205" i="5" s="1"/>
  <c r="EP204" i="5" s="1"/>
  <c r="EP203" i="5" s="1"/>
  <c r="EP202" i="5" s="1"/>
  <c r="EP201" i="5" s="1"/>
  <c r="EP200" i="5" s="1"/>
  <c r="EP199" i="5" s="1"/>
  <c r="EP198" i="5" s="1"/>
  <c r="EP197" i="5" s="1"/>
  <c r="EP196" i="5" s="1"/>
  <c r="EP195" i="5" s="1"/>
  <c r="EP194" i="5" s="1"/>
  <c r="EP193" i="5" s="1"/>
  <c r="EP192" i="5" s="1"/>
  <c r="EP191" i="5" s="1"/>
  <c r="EP190" i="5" s="1"/>
  <c r="EP189" i="5" s="1"/>
  <c r="EP188" i="5" s="1"/>
  <c r="EP187" i="5" s="1"/>
  <c r="EP186" i="5" s="1"/>
  <c r="EP185" i="5" s="1"/>
  <c r="EP184" i="5" s="1"/>
  <c r="EP183" i="5" s="1"/>
  <c r="EP182" i="5" s="1"/>
  <c r="EP181" i="5" s="1"/>
  <c r="EP180" i="5" s="1"/>
  <c r="EP179" i="5" s="1"/>
  <c r="EP178" i="5" s="1"/>
  <c r="EP177" i="5" s="1"/>
  <c r="EP176" i="5" s="1"/>
  <c r="EP175" i="5" s="1"/>
  <c r="EP174" i="5" s="1"/>
  <c r="EP173" i="5" s="1"/>
  <c r="EP172" i="5" s="1"/>
  <c r="EP171" i="5" s="1"/>
  <c r="EP170" i="5" s="1"/>
  <c r="EP169" i="5" s="1"/>
  <c r="EP168" i="5" s="1"/>
  <c r="EP167" i="5" s="1"/>
  <c r="EP166" i="5" s="1"/>
  <c r="EP165" i="5" s="1"/>
  <c r="EP164" i="5" s="1"/>
  <c r="EP163" i="5" s="1"/>
  <c r="EP162" i="5" s="1"/>
  <c r="EP161" i="5" s="1"/>
  <c r="EP160" i="5" s="1"/>
  <c r="EP159" i="5" s="1"/>
  <c r="EP158" i="5" s="1"/>
  <c r="EP157" i="5" s="1"/>
  <c r="EP156" i="5" s="1"/>
  <c r="EP155" i="5" s="1"/>
  <c r="EP154" i="5" s="1"/>
  <c r="EP153" i="5" s="1"/>
  <c r="EP152" i="5" s="1"/>
  <c r="EP151" i="5" s="1"/>
  <c r="EP150" i="5" s="1"/>
  <c r="EP149" i="5" s="1"/>
  <c r="EP148" i="5" s="1"/>
  <c r="EP147" i="5" s="1"/>
  <c r="EP146" i="5" s="1"/>
  <c r="EP145" i="5" s="1"/>
  <c r="EP144" i="5" s="1"/>
  <c r="EP143" i="5" s="1"/>
  <c r="EP142" i="5" s="1"/>
  <c r="EP141" i="5" s="1"/>
  <c r="EP140" i="5" s="1"/>
  <c r="EP139" i="5" s="1"/>
  <c r="EP138" i="5" s="1"/>
  <c r="EP137" i="5" s="1"/>
  <c r="EP136" i="5" s="1"/>
  <c r="EP135" i="5" s="1"/>
  <c r="EP134" i="5" s="1"/>
  <c r="EP133" i="5" s="1"/>
  <c r="EP132" i="5" s="1"/>
  <c r="EP131" i="5" s="1"/>
  <c r="EP130" i="5" s="1"/>
  <c r="EP129" i="5" s="1"/>
  <c r="EP128" i="5" s="1"/>
  <c r="EP127" i="5" s="1"/>
  <c r="EP126" i="5" s="1"/>
  <c r="EP125" i="5" s="1"/>
  <c r="EP124" i="5" s="1"/>
  <c r="EP123" i="5" s="1"/>
  <c r="EP122" i="5" s="1"/>
  <c r="EP121" i="5" s="1"/>
  <c r="EP120" i="5" s="1"/>
  <c r="EP119" i="5" s="1"/>
  <c r="EP118" i="5" s="1"/>
  <c r="EP117" i="5" s="1"/>
  <c r="EP116" i="5" s="1"/>
  <c r="EP115" i="5" s="1"/>
  <c r="EP114" i="5" s="1"/>
  <c r="EP113" i="5" s="1"/>
  <c r="EP112" i="5" s="1"/>
  <c r="EQ213" i="5"/>
  <c r="EQ212" i="5" s="1"/>
  <c r="EQ211" i="5" s="1"/>
  <c r="EQ210" i="5" s="1"/>
  <c r="EQ209" i="5" s="1"/>
  <c r="EQ208" i="5" s="1"/>
  <c r="EQ207" i="5" s="1"/>
  <c r="EQ206" i="5" s="1"/>
  <c r="EQ205" i="5" s="1"/>
  <c r="EQ204" i="5" s="1"/>
  <c r="EQ203" i="5" s="1"/>
  <c r="EQ202" i="5" s="1"/>
  <c r="EQ201" i="5" s="1"/>
  <c r="EQ200" i="5" s="1"/>
  <c r="EQ199" i="5" s="1"/>
  <c r="EQ198" i="5" s="1"/>
  <c r="EQ197" i="5" s="1"/>
  <c r="EQ196" i="5" s="1"/>
  <c r="EQ195" i="5" s="1"/>
  <c r="EQ194" i="5" s="1"/>
  <c r="EQ193" i="5" s="1"/>
  <c r="EQ192" i="5" s="1"/>
  <c r="EQ191" i="5" s="1"/>
  <c r="EQ190" i="5" s="1"/>
  <c r="EQ189" i="5" s="1"/>
  <c r="EQ188" i="5" s="1"/>
  <c r="EQ187" i="5" s="1"/>
  <c r="EQ186" i="5" s="1"/>
  <c r="EQ185" i="5" s="1"/>
  <c r="EQ184" i="5" s="1"/>
  <c r="EQ183" i="5" s="1"/>
  <c r="EQ182" i="5" s="1"/>
  <c r="EQ181" i="5" s="1"/>
  <c r="EQ180" i="5" s="1"/>
  <c r="EQ179" i="5" s="1"/>
  <c r="EQ178" i="5" s="1"/>
  <c r="EQ177" i="5" s="1"/>
  <c r="EQ176" i="5" s="1"/>
  <c r="EQ175" i="5" s="1"/>
  <c r="EQ174" i="5" s="1"/>
  <c r="EQ173" i="5" s="1"/>
  <c r="EQ172" i="5" s="1"/>
  <c r="EQ171" i="5" s="1"/>
  <c r="EQ170" i="5" s="1"/>
  <c r="EQ169" i="5" s="1"/>
  <c r="EQ168" i="5" s="1"/>
  <c r="EQ167" i="5" s="1"/>
  <c r="EQ166" i="5" s="1"/>
  <c r="EQ165" i="5" s="1"/>
  <c r="EQ164" i="5" s="1"/>
  <c r="EQ163" i="5" s="1"/>
  <c r="EQ162" i="5" s="1"/>
  <c r="EQ161" i="5" s="1"/>
  <c r="EQ160" i="5" s="1"/>
  <c r="EQ159" i="5" s="1"/>
  <c r="EQ158" i="5" s="1"/>
  <c r="EQ157" i="5" s="1"/>
  <c r="EQ156" i="5" s="1"/>
  <c r="EQ155" i="5" s="1"/>
  <c r="EQ154" i="5" s="1"/>
  <c r="EQ153" i="5" s="1"/>
  <c r="EQ152" i="5" s="1"/>
  <c r="EQ151" i="5" s="1"/>
  <c r="EQ150" i="5" s="1"/>
  <c r="EQ149" i="5" s="1"/>
  <c r="EQ148" i="5" s="1"/>
  <c r="EQ147" i="5" s="1"/>
  <c r="EQ146" i="5" s="1"/>
  <c r="EQ145" i="5" s="1"/>
  <c r="EQ144" i="5" s="1"/>
  <c r="EQ143" i="5" s="1"/>
  <c r="EQ142" i="5" s="1"/>
  <c r="EQ141" i="5" s="1"/>
  <c r="EQ140" i="5" s="1"/>
  <c r="EQ139" i="5" s="1"/>
  <c r="EQ138" i="5" s="1"/>
  <c r="EQ137" i="5" s="1"/>
  <c r="EQ136" i="5" s="1"/>
  <c r="EQ135" i="5" s="1"/>
  <c r="EQ134" i="5" s="1"/>
  <c r="EQ133" i="5" s="1"/>
  <c r="EQ132" i="5" s="1"/>
  <c r="EQ131" i="5" s="1"/>
  <c r="EQ130" i="5" s="1"/>
  <c r="EQ129" i="5" s="1"/>
  <c r="EQ128" i="5" s="1"/>
  <c r="EQ127" i="5" s="1"/>
  <c r="EQ126" i="5" s="1"/>
  <c r="EQ125" i="5" s="1"/>
  <c r="EQ124" i="5" s="1"/>
  <c r="EQ123" i="5" s="1"/>
  <c r="EQ122" i="5" s="1"/>
  <c r="EQ121" i="5" s="1"/>
  <c r="EQ120" i="5" s="1"/>
  <c r="EQ119" i="5" s="1"/>
  <c r="EQ118" i="5" s="1"/>
  <c r="EQ117" i="5" s="1"/>
  <c r="EQ116" i="5" s="1"/>
  <c r="EQ115" i="5" s="1"/>
  <c r="EQ114" i="5" s="1"/>
  <c r="EQ113" i="5" s="1"/>
  <c r="EQ112" i="5" s="1"/>
  <c r="ER213" i="5"/>
  <c r="ER212" i="5" s="1"/>
  <c r="ER211" i="5" s="1"/>
  <c r="ER210" i="5" s="1"/>
  <c r="ER209" i="5" s="1"/>
  <c r="ER208" i="5" s="1"/>
  <c r="ER207" i="5" s="1"/>
  <c r="ER206" i="5" s="1"/>
  <c r="ER205" i="5" s="1"/>
  <c r="ER204" i="5" s="1"/>
  <c r="ER203" i="5" s="1"/>
  <c r="ER202" i="5" s="1"/>
  <c r="ER201" i="5" s="1"/>
  <c r="ER200" i="5" s="1"/>
  <c r="ER199" i="5" s="1"/>
  <c r="ER198" i="5" s="1"/>
  <c r="ER197" i="5" s="1"/>
  <c r="ER196" i="5" s="1"/>
  <c r="ER195" i="5" s="1"/>
  <c r="ER194" i="5" s="1"/>
  <c r="ER193" i="5" s="1"/>
  <c r="ER192" i="5" s="1"/>
  <c r="ER191" i="5" s="1"/>
  <c r="ER190" i="5" s="1"/>
  <c r="ER189" i="5" s="1"/>
  <c r="ER188" i="5" s="1"/>
  <c r="ER187" i="5" s="1"/>
  <c r="ER186" i="5" s="1"/>
  <c r="ER185" i="5" s="1"/>
  <c r="ER184" i="5" s="1"/>
  <c r="ER183" i="5" s="1"/>
  <c r="ER182" i="5" s="1"/>
  <c r="ER181" i="5" s="1"/>
  <c r="ER180" i="5" s="1"/>
  <c r="ER179" i="5" s="1"/>
  <c r="ER178" i="5" s="1"/>
  <c r="ER177" i="5" s="1"/>
  <c r="ER176" i="5" s="1"/>
  <c r="ER175" i="5" s="1"/>
  <c r="ER174" i="5" s="1"/>
  <c r="ER173" i="5" s="1"/>
  <c r="ER172" i="5" s="1"/>
  <c r="ER171" i="5" s="1"/>
  <c r="ER170" i="5" s="1"/>
  <c r="ER169" i="5" s="1"/>
  <c r="ER168" i="5" s="1"/>
  <c r="ER167" i="5" s="1"/>
  <c r="ER166" i="5" s="1"/>
  <c r="ER165" i="5" s="1"/>
  <c r="ER164" i="5" s="1"/>
  <c r="ER163" i="5" s="1"/>
  <c r="ER162" i="5" s="1"/>
  <c r="ER161" i="5" s="1"/>
  <c r="ER160" i="5" s="1"/>
  <c r="ER159" i="5" s="1"/>
  <c r="ER158" i="5" s="1"/>
  <c r="ER157" i="5" s="1"/>
  <c r="ER156" i="5" s="1"/>
  <c r="ER155" i="5" s="1"/>
  <c r="ER154" i="5" s="1"/>
  <c r="ER153" i="5" s="1"/>
  <c r="ER152" i="5" s="1"/>
  <c r="ER151" i="5" s="1"/>
  <c r="ER150" i="5" s="1"/>
  <c r="ER149" i="5" s="1"/>
  <c r="ER148" i="5" s="1"/>
  <c r="ER147" i="5" s="1"/>
  <c r="ER146" i="5" s="1"/>
  <c r="ER145" i="5" s="1"/>
  <c r="ER144" i="5" s="1"/>
  <c r="ER143" i="5" s="1"/>
  <c r="ER142" i="5" s="1"/>
  <c r="ER141" i="5" s="1"/>
  <c r="ER140" i="5" s="1"/>
  <c r="ER139" i="5" s="1"/>
  <c r="ER138" i="5" s="1"/>
  <c r="ER137" i="5" s="1"/>
  <c r="ER136" i="5" s="1"/>
  <c r="ER135" i="5" s="1"/>
  <c r="ER134" i="5" s="1"/>
  <c r="ER133" i="5" s="1"/>
  <c r="ER132" i="5" s="1"/>
  <c r="ER131" i="5" s="1"/>
  <c r="ER130" i="5" s="1"/>
  <c r="ER129" i="5" s="1"/>
  <c r="ER128" i="5" s="1"/>
  <c r="ER127" i="5" s="1"/>
  <c r="ER126" i="5" s="1"/>
  <c r="ER125" i="5" s="1"/>
  <c r="ER124" i="5" s="1"/>
  <c r="ER123" i="5" s="1"/>
  <c r="ER122" i="5" s="1"/>
  <c r="ER121" i="5" s="1"/>
  <c r="ER120" i="5" s="1"/>
  <c r="ER119" i="5" s="1"/>
  <c r="ER118" i="5" s="1"/>
  <c r="ER117" i="5" s="1"/>
  <c r="ER116" i="5" s="1"/>
  <c r="ER115" i="5" s="1"/>
  <c r="ER114" i="5" s="1"/>
  <c r="ER113" i="5" s="1"/>
  <c r="ER112" i="5" s="1"/>
  <c r="ES213" i="5"/>
  <c r="ES212" i="5" s="1"/>
  <c r="ES211" i="5" s="1"/>
  <c r="ES210" i="5" s="1"/>
  <c r="ES209" i="5" s="1"/>
  <c r="ES208" i="5" s="1"/>
  <c r="ES207" i="5" s="1"/>
  <c r="ES206" i="5" s="1"/>
  <c r="ES205" i="5" s="1"/>
  <c r="ES204" i="5" s="1"/>
  <c r="ES203" i="5" s="1"/>
  <c r="ES202" i="5" s="1"/>
  <c r="ES201" i="5" s="1"/>
  <c r="ES200" i="5" s="1"/>
  <c r="ES199" i="5" s="1"/>
  <c r="ES198" i="5" s="1"/>
  <c r="ES197" i="5" s="1"/>
  <c r="ES196" i="5" s="1"/>
  <c r="ES195" i="5" s="1"/>
  <c r="ES194" i="5" s="1"/>
  <c r="ES193" i="5" s="1"/>
  <c r="ES192" i="5" s="1"/>
  <c r="ES191" i="5" s="1"/>
  <c r="ES190" i="5" s="1"/>
  <c r="ES189" i="5" s="1"/>
  <c r="ES188" i="5" s="1"/>
  <c r="ES187" i="5" s="1"/>
  <c r="ES186" i="5" s="1"/>
  <c r="ES185" i="5" s="1"/>
  <c r="ES184" i="5" s="1"/>
  <c r="ES183" i="5" s="1"/>
  <c r="ES182" i="5" s="1"/>
  <c r="ES181" i="5" s="1"/>
  <c r="ES180" i="5" s="1"/>
  <c r="ES179" i="5" s="1"/>
  <c r="ES178" i="5" s="1"/>
  <c r="ES177" i="5" s="1"/>
  <c r="ES176" i="5" s="1"/>
  <c r="ES175" i="5" s="1"/>
  <c r="ES174" i="5" s="1"/>
  <c r="ES173" i="5" s="1"/>
  <c r="ES172" i="5" s="1"/>
  <c r="ES171" i="5" s="1"/>
  <c r="ES170" i="5" s="1"/>
  <c r="ES169" i="5" s="1"/>
  <c r="ES168" i="5" s="1"/>
  <c r="ES167" i="5" s="1"/>
  <c r="ES166" i="5" s="1"/>
  <c r="ES165" i="5" s="1"/>
  <c r="ES164" i="5" s="1"/>
  <c r="ES163" i="5" s="1"/>
  <c r="ES162" i="5" s="1"/>
  <c r="ES161" i="5" s="1"/>
  <c r="ES160" i="5" s="1"/>
  <c r="ES159" i="5" s="1"/>
  <c r="ES158" i="5" s="1"/>
  <c r="ES157" i="5" s="1"/>
  <c r="ES156" i="5" s="1"/>
  <c r="ES155" i="5" s="1"/>
  <c r="ES154" i="5" s="1"/>
  <c r="ES153" i="5" s="1"/>
  <c r="ES152" i="5" s="1"/>
  <c r="ES151" i="5" s="1"/>
  <c r="ES150" i="5" s="1"/>
  <c r="ES149" i="5" s="1"/>
  <c r="ES148" i="5" s="1"/>
  <c r="ES147" i="5" s="1"/>
  <c r="ES146" i="5" s="1"/>
  <c r="ES145" i="5" s="1"/>
  <c r="ES144" i="5" s="1"/>
  <c r="ES143" i="5" s="1"/>
  <c r="ES142" i="5" s="1"/>
  <c r="ES141" i="5" s="1"/>
  <c r="ES140" i="5" s="1"/>
  <c r="ES139" i="5" s="1"/>
  <c r="ES138" i="5" s="1"/>
  <c r="ES137" i="5" s="1"/>
  <c r="ES136" i="5" s="1"/>
  <c r="ES135" i="5" s="1"/>
  <c r="ES134" i="5" s="1"/>
  <c r="ES133" i="5" s="1"/>
  <c r="ES132" i="5" s="1"/>
  <c r="ES131" i="5" s="1"/>
  <c r="ES130" i="5" s="1"/>
  <c r="ES129" i="5" s="1"/>
  <c r="ES128" i="5" s="1"/>
  <c r="ES127" i="5" s="1"/>
  <c r="ES126" i="5" s="1"/>
  <c r="ES125" i="5" s="1"/>
  <c r="ES124" i="5" s="1"/>
  <c r="ES123" i="5" s="1"/>
  <c r="ES122" i="5" s="1"/>
  <c r="ES121" i="5" s="1"/>
  <c r="ES120" i="5" s="1"/>
  <c r="ES119" i="5" s="1"/>
  <c r="ES118" i="5" s="1"/>
  <c r="ES117" i="5" s="1"/>
  <c r="ES116" i="5" s="1"/>
  <c r="ES115" i="5" s="1"/>
  <c r="ES114" i="5" s="1"/>
  <c r="ES113" i="5" s="1"/>
  <c r="ES112" i="5" s="1"/>
  <c r="ET213" i="5"/>
  <c r="ET212" i="5" s="1"/>
  <c r="ET211" i="5" s="1"/>
  <c r="ET210" i="5" s="1"/>
  <c r="ET209" i="5" s="1"/>
  <c r="ET208" i="5" s="1"/>
  <c r="ET207" i="5" s="1"/>
  <c r="ET206" i="5" s="1"/>
  <c r="ET205" i="5" s="1"/>
  <c r="ET204" i="5" s="1"/>
  <c r="ET203" i="5" s="1"/>
  <c r="ET202" i="5" s="1"/>
  <c r="ET201" i="5" s="1"/>
  <c r="ET200" i="5" s="1"/>
  <c r="ET199" i="5" s="1"/>
  <c r="ET198" i="5" s="1"/>
  <c r="ET197" i="5" s="1"/>
  <c r="ET196" i="5" s="1"/>
  <c r="ET195" i="5" s="1"/>
  <c r="ET194" i="5" s="1"/>
  <c r="ET193" i="5" s="1"/>
  <c r="ET192" i="5" s="1"/>
  <c r="ET191" i="5" s="1"/>
  <c r="ET190" i="5" s="1"/>
  <c r="ET189" i="5" s="1"/>
  <c r="ET188" i="5" s="1"/>
  <c r="ET187" i="5" s="1"/>
  <c r="ET186" i="5" s="1"/>
  <c r="ET185" i="5" s="1"/>
  <c r="ET184" i="5" s="1"/>
  <c r="ET183" i="5" s="1"/>
  <c r="ET182" i="5" s="1"/>
  <c r="ET181" i="5" s="1"/>
  <c r="ET180" i="5" s="1"/>
  <c r="ET179" i="5" s="1"/>
  <c r="ET178" i="5" s="1"/>
  <c r="ET177" i="5" s="1"/>
  <c r="ET176" i="5" s="1"/>
  <c r="ET175" i="5" s="1"/>
  <c r="ET174" i="5" s="1"/>
  <c r="ET173" i="5" s="1"/>
  <c r="ET172" i="5" s="1"/>
  <c r="ET171" i="5" s="1"/>
  <c r="ET170" i="5" s="1"/>
  <c r="ET169" i="5" s="1"/>
  <c r="ET168" i="5" s="1"/>
  <c r="ET167" i="5" s="1"/>
  <c r="ET166" i="5" s="1"/>
  <c r="ET165" i="5" s="1"/>
  <c r="ET164" i="5" s="1"/>
  <c r="ET163" i="5" s="1"/>
  <c r="ET162" i="5" s="1"/>
  <c r="ET161" i="5" s="1"/>
  <c r="ET160" i="5" s="1"/>
  <c r="ET159" i="5" s="1"/>
  <c r="ET158" i="5" s="1"/>
  <c r="ET157" i="5" s="1"/>
  <c r="ET156" i="5" s="1"/>
  <c r="ET155" i="5" s="1"/>
  <c r="ET154" i="5" s="1"/>
  <c r="ET153" i="5" s="1"/>
  <c r="ET152" i="5" s="1"/>
  <c r="ET151" i="5" s="1"/>
  <c r="ET150" i="5" s="1"/>
  <c r="ET149" i="5" s="1"/>
  <c r="ET148" i="5" s="1"/>
  <c r="ET147" i="5" s="1"/>
  <c r="ET146" i="5" s="1"/>
  <c r="ET145" i="5" s="1"/>
  <c r="ET144" i="5" s="1"/>
  <c r="ET143" i="5" s="1"/>
  <c r="ET142" i="5" s="1"/>
  <c r="ET141" i="5" s="1"/>
  <c r="ET140" i="5" s="1"/>
  <c r="ET139" i="5" s="1"/>
  <c r="ET138" i="5" s="1"/>
  <c r="ET137" i="5" s="1"/>
  <c r="ET136" i="5" s="1"/>
  <c r="ET135" i="5" s="1"/>
  <c r="ET134" i="5" s="1"/>
  <c r="ET133" i="5" s="1"/>
  <c r="ET132" i="5" s="1"/>
  <c r="ET131" i="5" s="1"/>
  <c r="ET130" i="5" s="1"/>
  <c r="ET129" i="5" s="1"/>
  <c r="ET128" i="5" s="1"/>
  <c r="ET127" i="5" s="1"/>
  <c r="ET126" i="5" s="1"/>
  <c r="ET125" i="5" s="1"/>
  <c r="ET124" i="5" s="1"/>
  <c r="ET123" i="5" s="1"/>
  <c r="ET122" i="5" s="1"/>
  <c r="ET121" i="5" s="1"/>
  <c r="ET120" i="5" s="1"/>
  <c r="ET119" i="5" s="1"/>
  <c r="ET118" i="5" s="1"/>
  <c r="ET117" i="5" s="1"/>
  <c r="ET116" i="5" s="1"/>
  <c r="ET115" i="5" s="1"/>
  <c r="ET114" i="5" s="1"/>
  <c r="ET113" i="5" s="1"/>
  <c r="ET112" i="5" s="1"/>
  <c r="EU213" i="5"/>
  <c r="EU212" i="5" s="1"/>
  <c r="EU211" i="5" s="1"/>
  <c r="EU210" i="5" s="1"/>
  <c r="EU209" i="5" s="1"/>
  <c r="EU208" i="5" s="1"/>
  <c r="EU207" i="5" s="1"/>
  <c r="EU206" i="5" s="1"/>
  <c r="EU205" i="5" s="1"/>
  <c r="EU204" i="5" s="1"/>
  <c r="EU203" i="5" s="1"/>
  <c r="EU202" i="5" s="1"/>
  <c r="EU201" i="5" s="1"/>
  <c r="EU200" i="5" s="1"/>
  <c r="EU199" i="5" s="1"/>
  <c r="EU198" i="5" s="1"/>
  <c r="EU197" i="5" s="1"/>
  <c r="EU196" i="5" s="1"/>
  <c r="EU195" i="5" s="1"/>
  <c r="EU194" i="5" s="1"/>
  <c r="EU193" i="5" s="1"/>
  <c r="EU192" i="5" s="1"/>
  <c r="EU191" i="5" s="1"/>
  <c r="EU190" i="5" s="1"/>
  <c r="EU189" i="5" s="1"/>
  <c r="EU188" i="5" s="1"/>
  <c r="EU187" i="5" s="1"/>
  <c r="EU186" i="5" s="1"/>
  <c r="EU185" i="5" s="1"/>
  <c r="EU184" i="5" s="1"/>
  <c r="EU183" i="5" s="1"/>
  <c r="EU182" i="5" s="1"/>
  <c r="EU181" i="5" s="1"/>
  <c r="EU180" i="5" s="1"/>
  <c r="EU179" i="5" s="1"/>
  <c r="EU178" i="5" s="1"/>
  <c r="EU177" i="5" s="1"/>
  <c r="EU176" i="5" s="1"/>
  <c r="EU175" i="5" s="1"/>
  <c r="EU174" i="5" s="1"/>
  <c r="EU173" i="5" s="1"/>
  <c r="EU172" i="5" s="1"/>
  <c r="EU171" i="5" s="1"/>
  <c r="EU170" i="5" s="1"/>
  <c r="EU169" i="5" s="1"/>
  <c r="EU168" i="5" s="1"/>
  <c r="EU167" i="5" s="1"/>
  <c r="EU166" i="5" s="1"/>
  <c r="EU165" i="5" s="1"/>
  <c r="EU164" i="5" s="1"/>
  <c r="EU163" i="5" s="1"/>
  <c r="EU162" i="5" s="1"/>
  <c r="EU161" i="5" s="1"/>
  <c r="EU160" i="5" s="1"/>
  <c r="EU159" i="5" s="1"/>
  <c r="EU158" i="5" s="1"/>
  <c r="EU157" i="5" s="1"/>
  <c r="EU156" i="5" s="1"/>
  <c r="EU155" i="5" s="1"/>
  <c r="EU154" i="5" s="1"/>
  <c r="EU153" i="5" s="1"/>
  <c r="EU152" i="5" s="1"/>
  <c r="EU151" i="5" s="1"/>
  <c r="EU150" i="5" s="1"/>
  <c r="EU149" i="5" s="1"/>
  <c r="EU148" i="5" s="1"/>
  <c r="EU147" i="5" s="1"/>
  <c r="EU146" i="5" s="1"/>
  <c r="EU145" i="5" s="1"/>
  <c r="EU144" i="5" s="1"/>
  <c r="EU143" i="5" s="1"/>
  <c r="EU142" i="5" s="1"/>
  <c r="EU141" i="5" s="1"/>
  <c r="EU140" i="5" s="1"/>
  <c r="EU139" i="5" s="1"/>
  <c r="EU138" i="5" s="1"/>
  <c r="EU137" i="5" s="1"/>
  <c r="EU136" i="5" s="1"/>
  <c r="EU135" i="5" s="1"/>
  <c r="EU134" i="5" s="1"/>
  <c r="EU133" i="5" s="1"/>
  <c r="EU132" i="5" s="1"/>
  <c r="EU131" i="5" s="1"/>
  <c r="EU130" i="5" s="1"/>
  <c r="EU129" i="5" s="1"/>
  <c r="EU128" i="5" s="1"/>
  <c r="EU127" i="5" s="1"/>
  <c r="EU126" i="5" s="1"/>
  <c r="EU125" i="5" s="1"/>
  <c r="EU124" i="5" s="1"/>
  <c r="EU123" i="5" s="1"/>
  <c r="EU122" i="5" s="1"/>
  <c r="EU121" i="5" s="1"/>
  <c r="EU120" i="5" s="1"/>
  <c r="EU119" i="5" s="1"/>
  <c r="EU118" i="5" s="1"/>
  <c r="EU117" i="5" s="1"/>
  <c r="EU116" i="5" s="1"/>
  <c r="EU115" i="5" s="1"/>
  <c r="EU114" i="5" s="1"/>
  <c r="EU113" i="5" s="1"/>
  <c r="EU112" i="5" s="1"/>
  <c r="EV213" i="5"/>
  <c r="EV212" i="5" s="1"/>
  <c r="EV211" i="5" s="1"/>
  <c r="EV210" i="5" s="1"/>
  <c r="EV209" i="5" s="1"/>
  <c r="EV208" i="5" s="1"/>
  <c r="EV207" i="5" s="1"/>
  <c r="EV206" i="5" s="1"/>
  <c r="EV205" i="5" s="1"/>
  <c r="EV204" i="5" s="1"/>
  <c r="EV203" i="5" s="1"/>
  <c r="EV202" i="5" s="1"/>
  <c r="EV201" i="5" s="1"/>
  <c r="EV200" i="5" s="1"/>
  <c r="EV199" i="5" s="1"/>
  <c r="EV198" i="5" s="1"/>
  <c r="EV197" i="5" s="1"/>
  <c r="EV196" i="5" s="1"/>
  <c r="EV195" i="5" s="1"/>
  <c r="EV194" i="5" s="1"/>
  <c r="EV193" i="5" s="1"/>
  <c r="EV192" i="5" s="1"/>
  <c r="EV191" i="5" s="1"/>
  <c r="EV190" i="5" s="1"/>
  <c r="EV189" i="5" s="1"/>
  <c r="EV188" i="5" s="1"/>
  <c r="EV187" i="5" s="1"/>
  <c r="EV186" i="5" s="1"/>
  <c r="EV185" i="5" s="1"/>
  <c r="EV184" i="5" s="1"/>
  <c r="EV183" i="5" s="1"/>
  <c r="EV182" i="5" s="1"/>
  <c r="EV181" i="5" s="1"/>
  <c r="EV180" i="5" s="1"/>
  <c r="EV179" i="5" s="1"/>
  <c r="EV178" i="5" s="1"/>
  <c r="EV177" i="5" s="1"/>
  <c r="EV176" i="5" s="1"/>
  <c r="EV175" i="5" s="1"/>
  <c r="EV174" i="5" s="1"/>
  <c r="EV173" i="5" s="1"/>
  <c r="EV172" i="5" s="1"/>
  <c r="EV171" i="5" s="1"/>
  <c r="EV170" i="5" s="1"/>
  <c r="EV169" i="5" s="1"/>
  <c r="EV168" i="5" s="1"/>
  <c r="EV167" i="5" s="1"/>
  <c r="EV166" i="5" s="1"/>
  <c r="EV165" i="5" s="1"/>
  <c r="EV164" i="5" s="1"/>
  <c r="EV163" i="5" s="1"/>
  <c r="EV162" i="5" s="1"/>
  <c r="EV161" i="5" s="1"/>
  <c r="EV160" i="5" s="1"/>
  <c r="EV159" i="5" s="1"/>
  <c r="EV158" i="5" s="1"/>
  <c r="EV157" i="5" s="1"/>
  <c r="EV156" i="5" s="1"/>
  <c r="EV155" i="5" s="1"/>
  <c r="EV154" i="5" s="1"/>
  <c r="EV153" i="5" s="1"/>
  <c r="EV152" i="5" s="1"/>
  <c r="EV151" i="5" s="1"/>
  <c r="EV150" i="5" s="1"/>
  <c r="EV149" i="5" s="1"/>
  <c r="EV148" i="5" s="1"/>
  <c r="EV147" i="5" s="1"/>
  <c r="EV146" i="5" s="1"/>
  <c r="EV145" i="5" s="1"/>
  <c r="EV144" i="5" s="1"/>
  <c r="EV143" i="5" s="1"/>
  <c r="EV142" i="5" s="1"/>
  <c r="EV141" i="5" s="1"/>
  <c r="EV140" i="5" s="1"/>
  <c r="EV139" i="5" s="1"/>
  <c r="EV138" i="5" s="1"/>
  <c r="EV137" i="5" s="1"/>
  <c r="EV136" i="5" s="1"/>
  <c r="EV135" i="5" s="1"/>
  <c r="EV134" i="5" s="1"/>
  <c r="EV133" i="5" s="1"/>
  <c r="EV132" i="5" s="1"/>
  <c r="EV131" i="5" s="1"/>
  <c r="EV130" i="5" s="1"/>
  <c r="EV129" i="5" s="1"/>
  <c r="EV128" i="5" s="1"/>
  <c r="EV127" i="5" s="1"/>
  <c r="EV126" i="5" s="1"/>
  <c r="EV125" i="5" s="1"/>
  <c r="EV124" i="5" s="1"/>
  <c r="EV123" i="5" s="1"/>
  <c r="EV122" i="5" s="1"/>
  <c r="EV121" i="5" s="1"/>
  <c r="EV120" i="5" s="1"/>
  <c r="EV119" i="5" s="1"/>
  <c r="EV118" i="5" s="1"/>
  <c r="EV117" i="5" s="1"/>
  <c r="EV116" i="5" s="1"/>
  <c r="EV115" i="5" s="1"/>
  <c r="EV114" i="5" s="1"/>
  <c r="EV113" i="5" s="1"/>
  <c r="EV112" i="5" s="1"/>
  <c r="EW213" i="5"/>
  <c r="EW212" i="5" s="1"/>
  <c r="EW211" i="5" s="1"/>
  <c r="EW210" i="5" s="1"/>
  <c r="EW209" i="5" s="1"/>
  <c r="EW208" i="5" s="1"/>
  <c r="EW207" i="5" s="1"/>
  <c r="EW206" i="5" s="1"/>
  <c r="EW205" i="5" s="1"/>
  <c r="EW204" i="5" s="1"/>
  <c r="EW203" i="5" s="1"/>
  <c r="EW202" i="5" s="1"/>
  <c r="EW201" i="5" s="1"/>
  <c r="EW200" i="5" s="1"/>
  <c r="EW199" i="5" s="1"/>
  <c r="EW198" i="5" s="1"/>
  <c r="EW197" i="5" s="1"/>
  <c r="EW196" i="5" s="1"/>
  <c r="EW195" i="5" s="1"/>
  <c r="EW194" i="5" s="1"/>
  <c r="EW193" i="5" s="1"/>
  <c r="EW192" i="5" s="1"/>
  <c r="EW191" i="5" s="1"/>
  <c r="EW190" i="5" s="1"/>
  <c r="EW189" i="5" s="1"/>
  <c r="EW188" i="5" s="1"/>
  <c r="EW187" i="5" s="1"/>
  <c r="EW186" i="5" s="1"/>
  <c r="EW185" i="5" s="1"/>
  <c r="EW184" i="5" s="1"/>
  <c r="EW183" i="5" s="1"/>
  <c r="EW182" i="5" s="1"/>
  <c r="EW181" i="5" s="1"/>
  <c r="EW180" i="5" s="1"/>
  <c r="EW179" i="5" s="1"/>
  <c r="EW178" i="5" s="1"/>
  <c r="EW177" i="5" s="1"/>
  <c r="EW176" i="5" s="1"/>
  <c r="EW175" i="5" s="1"/>
  <c r="EW174" i="5" s="1"/>
  <c r="EW173" i="5" s="1"/>
  <c r="EW172" i="5" s="1"/>
  <c r="EW171" i="5" s="1"/>
  <c r="EW170" i="5" s="1"/>
  <c r="EW169" i="5" s="1"/>
  <c r="EW168" i="5" s="1"/>
  <c r="EW167" i="5" s="1"/>
  <c r="EW166" i="5" s="1"/>
  <c r="EW165" i="5" s="1"/>
  <c r="EW164" i="5" s="1"/>
  <c r="EW163" i="5" s="1"/>
  <c r="EW162" i="5" s="1"/>
  <c r="EW161" i="5" s="1"/>
  <c r="EW160" i="5" s="1"/>
  <c r="EW159" i="5" s="1"/>
  <c r="EW158" i="5" s="1"/>
  <c r="EW157" i="5" s="1"/>
  <c r="EW156" i="5" s="1"/>
  <c r="EW155" i="5" s="1"/>
  <c r="EW154" i="5" s="1"/>
  <c r="EW153" i="5" s="1"/>
  <c r="EW152" i="5" s="1"/>
  <c r="EW151" i="5" s="1"/>
  <c r="EW150" i="5" s="1"/>
  <c r="EW149" i="5" s="1"/>
  <c r="EW148" i="5" s="1"/>
  <c r="EW147" i="5" s="1"/>
  <c r="EW146" i="5" s="1"/>
  <c r="EW145" i="5" s="1"/>
  <c r="EW144" i="5" s="1"/>
  <c r="EW143" i="5" s="1"/>
  <c r="EW142" i="5" s="1"/>
  <c r="EW141" i="5" s="1"/>
  <c r="EW140" i="5" s="1"/>
  <c r="EW139" i="5" s="1"/>
  <c r="EW138" i="5" s="1"/>
  <c r="EW137" i="5" s="1"/>
  <c r="EW136" i="5" s="1"/>
  <c r="EW135" i="5" s="1"/>
  <c r="EW134" i="5" s="1"/>
  <c r="EW133" i="5" s="1"/>
  <c r="EW132" i="5" s="1"/>
  <c r="EW131" i="5" s="1"/>
  <c r="EW130" i="5" s="1"/>
  <c r="EW129" i="5" s="1"/>
  <c r="EW128" i="5" s="1"/>
  <c r="EW127" i="5" s="1"/>
  <c r="EW126" i="5" s="1"/>
  <c r="EW125" i="5" s="1"/>
  <c r="EW124" i="5" s="1"/>
  <c r="EW123" i="5" s="1"/>
  <c r="EW122" i="5" s="1"/>
  <c r="EW121" i="5" s="1"/>
  <c r="EW120" i="5" s="1"/>
  <c r="EW119" i="5" s="1"/>
  <c r="EW118" i="5" s="1"/>
  <c r="EW117" i="5" s="1"/>
  <c r="EW116" i="5" s="1"/>
  <c r="EW115" i="5" s="1"/>
  <c r="EW114" i="5" s="1"/>
  <c r="EW113" i="5" s="1"/>
  <c r="EW112" i="5" s="1"/>
  <c r="EX213" i="5"/>
  <c r="EX212" i="5" s="1"/>
  <c r="EX211" i="5" s="1"/>
  <c r="EX210" i="5" s="1"/>
  <c r="EX209" i="5" s="1"/>
  <c r="EX208" i="5" s="1"/>
  <c r="EX207" i="5" s="1"/>
  <c r="EX206" i="5" s="1"/>
  <c r="EX205" i="5" s="1"/>
  <c r="EX204" i="5" s="1"/>
  <c r="EX203" i="5" s="1"/>
  <c r="EX202" i="5" s="1"/>
  <c r="EX201" i="5" s="1"/>
  <c r="EX200" i="5" s="1"/>
  <c r="EX199" i="5" s="1"/>
  <c r="EX198" i="5" s="1"/>
  <c r="EX197" i="5" s="1"/>
  <c r="EX196" i="5" s="1"/>
  <c r="EX195" i="5" s="1"/>
  <c r="EX194" i="5" s="1"/>
  <c r="EX193" i="5" s="1"/>
  <c r="EX192" i="5" s="1"/>
  <c r="EX191" i="5" s="1"/>
  <c r="EX190" i="5" s="1"/>
  <c r="EX189" i="5" s="1"/>
  <c r="EX188" i="5" s="1"/>
  <c r="EX187" i="5" s="1"/>
  <c r="EX186" i="5" s="1"/>
  <c r="EX185" i="5" s="1"/>
  <c r="EX184" i="5" s="1"/>
  <c r="EX183" i="5" s="1"/>
  <c r="EX182" i="5" s="1"/>
  <c r="EX181" i="5" s="1"/>
  <c r="EX180" i="5" s="1"/>
  <c r="EX179" i="5" s="1"/>
  <c r="EX178" i="5" s="1"/>
  <c r="EX177" i="5" s="1"/>
  <c r="EX176" i="5" s="1"/>
  <c r="EX175" i="5" s="1"/>
  <c r="EX174" i="5" s="1"/>
  <c r="EX173" i="5" s="1"/>
  <c r="EX172" i="5" s="1"/>
  <c r="EX171" i="5" s="1"/>
  <c r="EX170" i="5" s="1"/>
  <c r="EX169" i="5" s="1"/>
  <c r="EX168" i="5" s="1"/>
  <c r="EX167" i="5" s="1"/>
  <c r="EX166" i="5" s="1"/>
  <c r="EX165" i="5" s="1"/>
  <c r="EX164" i="5" s="1"/>
  <c r="EX163" i="5" s="1"/>
  <c r="EX162" i="5" s="1"/>
  <c r="EX161" i="5" s="1"/>
  <c r="EX160" i="5" s="1"/>
  <c r="EX159" i="5" s="1"/>
  <c r="EX158" i="5" s="1"/>
  <c r="EX157" i="5" s="1"/>
  <c r="EX156" i="5" s="1"/>
  <c r="EX155" i="5" s="1"/>
  <c r="EX154" i="5" s="1"/>
  <c r="EX153" i="5" s="1"/>
  <c r="EX152" i="5" s="1"/>
  <c r="EX151" i="5" s="1"/>
  <c r="EX150" i="5" s="1"/>
  <c r="EX149" i="5" s="1"/>
  <c r="EX148" i="5" s="1"/>
  <c r="EX147" i="5" s="1"/>
  <c r="EX146" i="5" s="1"/>
  <c r="EX145" i="5" s="1"/>
  <c r="EX144" i="5" s="1"/>
  <c r="EX143" i="5" s="1"/>
  <c r="EX142" i="5" s="1"/>
  <c r="EX141" i="5" s="1"/>
  <c r="EX140" i="5" s="1"/>
  <c r="EX139" i="5" s="1"/>
  <c r="EX138" i="5" s="1"/>
  <c r="EX137" i="5" s="1"/>
  <c r="EX136" i="5" s="1"/>
  <c r="EX135" i="5" s="1"/>
  <c r="EX134" i="5" s="1"/>
  <c r="EX133" i="5" s="1"/>
  <c r="EX132" i="5" s="1"/>
  <c r="EX131" i="5" s="1"/>
  <c r="EX130" i="5" s="1"/>
  <c r="EX129" i="5" s="1"/>
  <c r="EX128" i="5" s="1"/>
  <c r="EX127" i="5" s="1"/>
  <c r="EX126" i="5" s="1"/>
  <c r="EX125" i="5" s="1"/>
  <c r="EX124" i="5" s="1"/>
  <c r="EX123" i="5" s="1"/>
  <c r="EX122" i="5" s="1"/>
  <c r="EX121" i="5" s="1"/>
  <c r="EX120" i="5" s="1"/>
  <c r="EX119" i="5" s="1"/>
  <c r="EX118" i="5" s="1"/>
  <c r="EX117" i="5" s="1"/>
  <c r="EX116" i="5" s="1"/>
  <c r="EX115" i="5" s="1"/>
  <c r="EX114" i="5" s="1"/>
  <c r="EX113" i="5" s="1"/>
  <c r="EX112" i="5" s="1"/>
  <c r="EY213" i="5"/>
  <c r="EY212" i="5" s="1"/>
  <c r="EY211" i="5" s="1"/>
  <c r="EY210" i="5" s="1"/>
  <c r="EY209" i="5" s="1"/>
  <c r="EY208" i="5" s="1"/>
  <c r="EY207" i="5" s="1"/>
  <c r="EY206" i="5" s="1"/>
  <c r="EY205" i="5" s="1"/>
  <c r="EY204" i="5" s="1"/>
  <c r="EY203" i="5" s="1"/>
  <c r="EY202" i="5" s="1"/>
  <c r="EY201" i="5" s="1"/>
  <c r="EY200" i="5" s="1"/>
  <c r="EY199" i="5" s="1"/>
  <c r="EY198" i="5" s="1"/>
  <c r="EY197" i="5" s="1"/>
  <c r="EY196" i="5" s="1"/>
  <c r="EY195" i="5" s="1"/>
  <c r="EY194" i="5" s="1"/>
  <c r="EY193" i="5" s="1"/>
  <c r="EY192" i="5" s="1"/>
  <c r="EY191" i="5" s="1"/>
  <c r="EY190" i="5" s="1"/>
  <c r="EY189" i="5" s="1"/>
  <c r="EY188" i="5" s="1"/>
  <c r="EY187" i="5" s="1"/>
  <c r="EY186" i="5" s="1"/>
  <c r="EY185" i="5" s="1"/>
  <c r="EY184" i="5" s="1"/>
  <c r="EY183" i="5" s="1"/>
  <c r="EY182" i="5" s="1"/>
  <c r="EY181" i="5" s="1"/>
  <c r="EY180" i="5" s="1"/>
  <c r="EY179" i="5" s="1"/>
  <c r="EY178" i="5" s="1"/>
  <c r="EY177" i="5" s="1"/>
  <c r="EY176" i="5" s="1"/>
  <c r="EY175" i="5" s="1"/>
  <c r="EY174" i="5" s="1"/>
  <c r="EY173" i="5" s="1"/>
  <c r="EY172" i="5" s="1"/>
  <c r="EY171" i="5" s="1"/>
  <c r="EY170" i="5" s="1"/>
  <c r="EY169" i="5" s="1"/>
  <c r="EY168" i="5" s="1"/>
  <c r="EY167" i="5" s="1"/>
  <c r="EY166" i="5" s="1"/>
  <c r="EY165" i="5" s="1"/>
  <c r="EY164" i="5" s="1"/>
  <c r="EY163" i="5" s="1"/>
  <c r="EY162" i="5" s="1"/>
  <c r="EY161" i="5" s="1"/>
  <c r="EY160" i="5" s="1"/>
  <c r="EY159" i="5" s="1"/>
  <c r="EY158" i="5" s="1"/>
  <c r="EY157" i="5" s="1"/>
  <c r="EY156" i="5" s="1"/>
  <c r="EY155" i="5" s="1"/>
  <c r="EY154" i="5" s="1"/>
  <c r="EY153" i="5" s="1"/>
  <c r="EY152" i="5" s="1"/>
  <c r="EY151" i="5" s="1"/>
  <c r="EY150" i="5" s="1"/>
  <c r="EY149" i="5" s="1"/>
  <c r="EY148" i="5" s="1"/>
  <c r="EY147" i="5" s="1"/>
  <c r="EY146" i="5" s="1"/>
  <c r="EY145" i="5" s="1"/>
  <c r="EY144" i="5" s="1"/>
  <c r="EY143" i="5" s="1"/>
  <c r="EY142" i="5" s="1"/>
  <c r="EY141" i="5" s="1"/>
  <c r="EY140" i="5" s="1"/>
  <c r="EY139" i="5" s="1"/>
  <c r="EY138" i="5" s="1"/>
  <c r="EY137" i="5" s="1"/>
  <c r="EY136" i="5" s="1"/>
  <c r="EY135" i="5" s="1"/>
  <c r="EY134" i="5" s="1"/>
  <c r="EY133" i="5" s="1"/>
  <c r="EY132" i="5" s="1"/>
  <c r="EY131" i="5" s="1"/>
  <c r="EY130" i="5" s="1"/>
  <c r="EY129" i="5" s="1"/>
  <c r="EY128" i="5" s="1"/>
  <c r="EY127" i="5" s="1"/>
  <c r="EY126" i="5" s="1"/>
  <c r="EY125" i="5" s="1"/>
  <c r="EY124" i="5" s="1"/>
  <c r="EY123" i="5" s="1"/>
  <c r="EY122" i="5" s="1"/>
  <c r="EY121" i="5" s="1"/>
  <c r="EY120" i="5" s="1"/>
  <c r="EY119" i="5" s="1"/>
  <c r="EY118" i="5" s="1"/>
  <c r="EY117" i="5" s="1"/>
  <c r="EY116" i="5" s="1"/>
  <c r="EY115" i="5" s="1"/>
  <c r="EY114" i="5" s="1"/>
  <c r="EY113" i="5" s="1"/>
  <c r="EY112" i="5" s="1"/>
  <c r="EZ213" i="5"/>
  <c r="EZ212" i="5" s="1"/>
  <c r="EZ211" i="5" s="1"/>
  <c r="EZ210" i="5" s="1"/>
  <c r="EZ209" i="5" s="1"/>
  <c r="EZ208" i="5" s="1"/>
  <c r="EZ207" i="5" s="1"/>
  <c r="EZ206" i="5" s="1"/>
  <c r="EZ205" i="5" s="1"/>
  <c r="EZ204" i="5" s="1"/>
  <c r="EZ203" i="5" s="1"/>
  <c r="EZ202" i="5" s="1"/>
  <c r="EZ201" i="5" s="1"/>
  <c r="EZ200" i="5" s="1"/>
  <c r="EZ199" i="5" s="1"/>
  <c r="EZ198" i="5" s="1"/>
  <c r="EZ197" i="5" s="1"/>
  <c r="EZ196" i="5" s="1"/>
  <c r="EZ195" i="5" s="1"/>
  <c r="EZ194" i="5" s="1"/>
  <c r="EZ193" i="5" s="1"/>
  <c r="EZ192" i="5" s="1"/>
  <c r="EZ191" i="5" s="1"/>
  <c r="EZ190" i="5" s="1"/>
  <c r="EZ189" i="5" s="1"/>
  <c r="EZ188" i="5" s="1"/>
  <c r="EZ187" i="5" s="1"/>
  <c r="EZ186" i="5" s="1"/>
  <c r="EZ185" i="5" s="1"/>
  <c r="EZ184" i="5" s="1"/>
  <c r="EZ183" i="5" s="1"/>
  <c r="EZ182" i="5" s="1"/>
  <c r="EZ181" i="5" s="1"/>
  <c r="EZ180" i="5" s="1"/>
  <c r="EZ179" i="5" s="1"/>
  <c r="EZ178" i="5" s="1"/>
  <c r="EZ177" i="5" s="1"/>
  <c r="EZ176" i="5" s="1"/>
  <c r="EZ175" i="5" s="1"/>
  <c r="EZ174" i="5" s="1"/>
  <c r="EZ173" i="5" s="1"/>
  <c r="EZ172" i="5" s="1"/>
  <c r="EZ171" i="5" s="1"/>
  <c r="EZ170" i="5" s="1"/>
  <c r="EZ169" i="5" s="1"/>
  <c r="EZ168" i="5" s="1"/>
  <c r="EZ167" i="5" s="1"/>
  <c r="EZ166" i="5" s="1"/>
  <c r="EZ165" i="5" s="1"/>
  <c r="EZ164" i="5" s="1"/>
  <c r="EZ163" i="5" s="1"/>
  <c r="EZ162" i="5" s="1"/>
  <c r="EZ161" i="5" s="1"/>
  <c r="EZ160" i="5" s="1"/>
  <c r="EZ159" i="5" s="1"/>
  <c r="EZ158" i="5" s="1"/>
  <c r="EZ157" i="5" s="1"/>
  <c r="EZ156" i="5" s="1"/>
  <c r="EZ155" i="5" s="1"/>
  <c r="EZ154" i="5" s="1"/>
  <c r="EZ153" i="5" s="1"/>
  <c r="EZ152" i="5" s="1"/>
  <c r="EZ151" i="5" s="1"/>
  <c r="EZ150" i="5" s="1"/>
  <c r="EZ149" i="5" s="1"/>
  <c r="EZ148" i="5" s="1"/>
  <c r="EZ147" i="5" s="1"/>
  <c r="EZ146" i="5" s="1"/>
  <c r="EZ145" i="5" s="1"/>
  <c r="EZ144" i="5" s="1"/>
  <c r="EZ143" i="5" s="1"/>
  <c r="EZ142" i="5" s="1"/>
  <c r="EZ141" i="5" s="1"/>
  <c r="EZ140" i="5" s="1"/>
  <c r="EZ139" i="5" s="1"/>
  <c r="EZ138" i="5" s="1"/>
  <c r="EZ137" i="5" s="1"/>
  <c r="EZ136" i="5" s="1"/>
  <c r="EZ135" i="5" s="1"/>
  <c r="EZ134" i="5" s="1"/>
  <c r="EZ133" i="5" s="1"/>
  <c r="EZ132" i="5" s="1"/>
  <c r="EZ131" i="5" s="1"/>
  <c r="EZ130" i="5" s="1"/>
  <c r="EZ129" i="5" s="1"/>
  <c r="EZ128" i="5" s="1"/>
  <c r="EZ127" i="5" s="1"/>
  <c r="EZ126" i="5" s="1"/>
  <c r="EZ125" i="5" s="1"/>
  <c r="EZ124" i="5" s="1"/>
  <c r="EZ123" i="5" s="1"/>
  <c r="EZ122" i="5" s="1"/>
  <c r="EZ121" i="5" s="1"/>
  <c r="EZ120" i="5" s="1"/>
  <c r="EZ119" i="5" s="1"/>
  <c r="EZ118" i="5" s="1"/>
  <c r="EZ117" i="5" s="1"/>
  <c r="EZ116" i="5" s="1"/>
  <c r="EZ115" i="5" s="1"/>
  <c r="EZ114" i="5" s="1"/>
  <c r="EZ113" i="5" s="1"/>
  <c r="EZ112" i="5" s="1"/>
  <c r="FA213" i="5"/>
  <c r="FA212" i="5" s="1"/>
  <c r="FA211" i="5" s="1"/>
  <c r="FA210" i="5" s="1"/>
  <c r="FA209" i="5" s="1"/>
  <c r="FA208" i="5" s="1"/>
  <c r="FA207" i="5" s="1"/>
  <c r="FA206" i="5" s="1"/>
  <c r="FA205" i="5" s="1"/>
  <c r="FA204" i="5" s="1"/>
  <c r="FA203" i="5" s="1"/>
  <c r="FA202" i="5" s="1"/>
  <c r="FA201" i="5" s="1"/>
  <c r="FA200" i="5" s="1"/>
  <c r="FA199" i="5" s="1"/>
  <c r="FA198" i="5" s="1"/>
  <c r="FA197" i="5" s="1"/>
  <c r="FA196" i="5" s="1"/>
  <c r="FA195" i="5" s="1"/>
  <c r="FA194" i="5" s="1"/>
  <c r="FA193" i="5" s="1"/>
  <c r="FA192" i="5" s="1"/>
  <c r="FA191" i="5" s="1"/>
  <c r="FA190" i="5" s="1"/>
  <c r="FA189" i="5" s="1"/>
  <c r="FA188" i="5" s="1"/>
  <c r="FA187" i="5" s="1"/>
  <c r="FA186" i="5" s="1"/>
  <c r="FA185" i="5" s="1"/>
  <c r="FA184" i="5" s="1"/>
  <c r="FA183" i="5" s="1"/>
  <c r="FA182" i="5" s="1"/>
  <c r="FA181" i="5" s="1"/>
  <c r="FA180" i="5" s="1"/>
  <c r="FA179" i="5" s="1"/>
  <c r="FA178" i="5" s="1"/>
  <c r="FA177" i="5" s="1"/>
  <c r="FA176" i="5" s="1"/>
  <c r="FA175" i="5" s="1"/>
  <c r="FA174" i="5" s="1"/>
  <c r="FA173" i="5" s="1"/>
  <c r="FA172" i="5" s="1"/>
  <c r="FA171" i="5" s="1"/>
  <c r="FA170" i="5" s="1"/>
  <c r="FA169" i="5" s="1"/>
  <c r="FA168" i="5" s="1"/>
  <c r="FA167" i="5" s="1"/>
  <c r="FA166" i="5" s="1"/>
  <c r="FA165" i="5" s="1"/>
  <c r="FA164" i="5" s="1"/>
  <c r="FA163" i="5" s="1"/>
  <c r="FA162" i="5" s="1"/>
  <c r="FA161" i="5" s="1"/>
  <c r="FA160" i="5" s="1"/>
  <c r="FA159" i="5" s="1"/>
  <c r="FA158" i="5" s="1"/>
  <c r="FA157" i="5" s="1"/>
  <c r="FA156" i="5" s="1"/>
  <c r="FA155" i="5" s="1"/>
  <c r="FA154" i="5" s="1"/>
  <c r="FA153" i="5" s="1"/>
  <c r="FA152" i="5" s="1"/>
  <c r="FA151" i="5" s="1"/>
  <c r="FA150" i="5" s="1"/>
  <c r="FA149" i="5" s="1"/>
  <c r="FA148" i="5" s="1"/>
  <c r="FA147" i="5" s="1"/>
  <c r="FA146" i="5" s="1"/>
  <c r="FA145" i="5" s="1"/>
  <c r="FA144" i="5" s="1"/>
  <c r="FA143" i="5" s="1"/>
  <c r="FA142" i="5" s="1"/>
  <c r="FA141" i="5" s="1"/>
  <c r="FA140" i="5" s="1"/>
  <c r="FA139" i="5" s="1"/>
  <c r="FA138" i="5" s="1"/>
  <c r="FA137" i="5" s="1"/>
  <c r="FA136" i="5" s="1"/>
  <c r="FA135" i="5" s="1"/>
  <c r="FA134" i="5" s="1"/>
  <c r="FA133" i="5" s="1"/>
  <c r="FA132" i="5" s="1"/>
  <c r="FA131" i="5" s="1"/>
  <c r="FA130" i="5" s="1"/>
  <c r="FA129" i="5" s="1"/>
  <c r="FA128" i="5" s="1"/>
  <c r="FA127" i="5" s="1"/>
  <c r="FA126" i="5" s="1"/>
  <c r="FA125" i="5" s="1"/>
  <c r="FA124" i="5" s="1"/>
  <c r="FA123" i="5" s="1"/>
  <c r="FA122" i="5" s="1"/>
  <c r="FA121" i="5" s="1"/>
  <c r="FA120" i="5" s="1"/>
  <c r="FA119" i="5" s="1"/>
  <c r="FA118" i="5" s="1"/>
  <c r="FA117" i="5" s="1"/>
  <c r="FA116" i="5" s="1"/>
  <c r="FA115" i="5" s="1"/>
  <c r="FA114" i="5" s="1"/>
  <c r="FA113" i="5" s="1"/>
  <c r="FA112" i="5" s="1"/>
  <c r="FB213" i="5"/>
  <c r="FB212" i="5" s="1"/>
  <c r="FB211" i="5" s="1"/>
  <c r="FB210" i="5" s="1"/>
  <c r="FB209" i="5" s="1"/>
  <c r="FB208" i="5" s="1"/>
  <c r="FB207" i="5" s="1"/>
  <c r="FB206" i="5" s="1"/>
  <c r="FB205" i="5" s="1"/>
  <c r="FB204" i="5" s="1"/>
  <c r="FB203" i="5" s="1"/>
  <c r="FB202" i="5" s="1"/>
  <c r="FB201" i="5" s="1"/>
  <c r="FB200" i="5" s="1"/>
  <c r="FB199" i="5" s="1"/>
  <c r="FB198" i="5" s="1"/>
  <c r="FB197" i="5" s="1"/>
  <c r="FB196" i="5" s="1"/>
  <c r="FB195" i="5" s="1"/>
  <c r="FB194" i="5" s="1"/>
  <c r="FB193" i="5" s="1"/>
  <c r="FB192" i="5" s="1"/>
  <c r="FB191" i="5" s="1"/>
  <c r="FB190" i="5" s="1"/>
  <c r="FB189" i="5" s="1"/>
  <c r="FB188" i="5" s="1"/>
  <c r="FB187" i="5" s="1"/>
  <c r="FB186" i="5" s="1"/>
  <c r="FB185" i="5" s="1"/>
  <c r="FB184" i="5" s="1"/>
  <c r="FB183" i="5" s="1"/>
  <c r="FB182" i="5" s="1"/>
  <c r="FB181" i="5" s="1"/>
  <c r="FB180" i="5" s="1"/>
  <c r="FB179" i="5" s="1"/>
  <c r="FB178" i="5" s="1"/>
  <c r="FB177" i="5" s="1"/>
  <c r="FB176" i="5" s="1"/>
  <c r="FB175" i="5" s="1"/>
  <c r="FB174" i="5" s="1"/>
  <c r="FB173" i="5" s="1"/>
  <c r="FB172" i="5" s="1"/>
  <c r="FB171" i="5" s="1"/>
  <c r="FB170" i="5" s="1"/>
  <c r="FB169" i="5" s="1"/>
  <c r="FB168" i="5" s="1"/>
  <c r="FB167" i="5" s="1"/>
  <c r="FB166" i="5" s="1"/>
  <c r="FB165" i="5" s="1"/>
  <c r="FB164" i="5" s="1"/>
  <c r="FB163" i="5" s="1"/>
  <c r="FB162" i="5" s="1"/>
  <c r="FB161" i="5" s="1"/>
  <c r="FB160" i="5" s="1"/>
  <c r="FB159" i="5" s="1"/>
  <c r="FB158" i="5" s="1"/>
  <c r="FB157" i="5" s="1"/>
  <c r="FB156" i="5" s="1"/>
  <c r="FB155" i="5" s="1"/>
  <c r="FB154" i="5" s="1"/>
  <c r="FB153" i="5" s="1"/>
  <c r="FB152" i="5" s="1"/>
  <c r="FB151" i="5" s="1"/>
  <c r="FB150" i="5" s="1"/>
  <c r="FB149" i="5" s="1"/>
  <c r="FB148" i="5" s="1"/>
  <c r="FB147" i="5" s="1"/>
  <c r="FB146" i="5" s="1"/>
  <c r="FB145" i="5" s="1"/>
  <c r="FB144" i="5" s="1"/>
  <c r="FB143" i="5" s="1"/>
  <c r="FB142" i="5" s="1"/>
  <c r="FB141" i="5" s="1"/>
  <c r="FB140" i="5" s="1"/>
  <c r="FB139" i="5" s="1"/>
  <c r="FB138" i="5" s="1"/>
  <c r="FB137" i="5" s="1"/>
  <c r="FB136" i="5" s="1"/>
  <c r="FB135" i="5" s="1"/>
  <c r="FB134" i="5" s="1"/>
  <c r="FB133" i="5" s="1"/>
  <c r="FB132" i="5" s="1"/>
  <c r="FB131" i="5" s="1"/>
  <c r="FB130" i="5" s="1"/>
  <c r="FB129" i="5" s="1"/>
  <c r="FB128" i="5" s="1"/>
  <c r="FB127" i="5" s="1"/>
  <c r="FB126" i="5" s="1"/>
  <c r="FB125" i="5" s="1"/>
  <c r="FB124" i="5" s="1"/>
  <c r="FB123" i="5" s="1"/>
  <c r="FB122" i="5" s="1"/>
  <c r="FB121" i="5" s="1"/>
  <c r="FB120" i="5" s="1"/>
  <c r="FB119" i="5" s="1"/>
  <c r="FB118" i="5" s="1"/>
  <c r="FB117" i="5" s="1"/>
  <c r="FB116" i="5" s="1"/>
  <c r="FB115" i="5" s="1"/>
  <c r="FB114" i="5" s="1"/>
  <c r="FB113" i="5" s="1"/>
  <c r="FB112" i="5" s="1"/>
  <c r="FC213" i="5"/>
  <c r="FC212" i="5" s="1"/>
  <c r="FC211" i="5" s="1"/>
  <c r="FC210" i="5" s="1"/>
  <c r="FC209" i="5" s="1"/>
  <c r="FC208" i="5" s="1"/>
  <c r="FC207" i="5" s="1"/>
  <c r="FC206" i="5" s="1"/>
  <c r="FC205" i="5" s="1"/>
  <c r="FC204" i="5" s="1"/>
  <c r="FC203" i="5" s="1"/>
  <c r="FC202" i="5" s="1"/>
  <c r="FC201" i="5" s="1"/>
  <c r="FC200" i="5" s="1"/>
  <c r="FC199" i="5" s="1"/>
  <c r="FC198" i="5" s="1"/>
  <c r="FC197" i="5" s="1"/>
  <c r="FC196" i="5" s="1"/>
  <c r="FC195" i="5" s="1"/>
  <c r="FC194" i="5" s="1"/>
  <c r="FC193" i="5" s="1"/>
  <c r="FC192" i="5" s="1"/>
  <c r="FC191" i="5" s="1"/>
  <c r="FC190" i="5" s="1"/>
  <c r="FC189" i="5" s="1"/>
  <c r="FC188" i="5" s="1"/>
  <c r="FC187" i="5" s="1"/>
  <c r="FC186" i="5" s="1"/>
  <c r="FC185" i="5" s="1"/>
  <c r="FC184" i="5" s="1"/>
  <c r="FC183" i="5" s="1"/>
  <c r="FC182" i="5" s="1"/>
  <c r="FC181" i="5" s="1"/>
  <c r="FC180" i="5" s="1"/>
  <c r="FC179" i="5" s="1"/>
  <c r="FC178" i="5" s="1"/>
  <c r="FC177" i="5" s="1"/>
  <c r="FC176" i="5" s="1"/>
  <c r="FC175" i="5" s="1"/>
  <c r="FC174" i="5" s="1"/>
  <c r="FC173" i="5" s="1"/>
  <c r="FC172" i="5" s="1"/>
  <c r="FC171" i="5" s="1"/>
  <c r="FC170" i="5" s="1"/>
  <c r="FC169" i="5" s="1"/>
  <c r="FC168" i="5" s="1"/>
  <c r="FC167" i="5" s="1"/>
  <c r="FC166" i="5" s="1"/>
  <c r="FC165" i="5" s="1"/>
  <c r="FC164" i="5" s="1"/>
  <c r="FC163" i="5" s="1"/>
  <c r="FC162" i="5" s="1"/>
  <c r="FC161" i="5" s="1"/>
  <c r="FC160" i="5" s="1"/>
  <c r="FC159" i="5" s="1"/>
  <c r="FC158" i="5" s="1"/>
  <c r="FC157" i="5" s="1"/>
  <c r="FC156" i="5" s="1"/>
  <c r="FC155" i="5" s="1"/>
  <c r="FC154" i="5" s="1"/>
  <c r="FC153" i="5" s="1"/>
  <c r="FC152" i="5" s="1"/>
  <c r="FC151" i="5" s="1"/>
  <c r="FC150" i="5" s="1"/>
  <c r="FC149" i="5" s="1"/>
  <c r="FC148" i="5" s="1"/>
  <c r="FC147" i="5" s="1"/>
  <c r="FC146" i="5" s="1"/>
  <c r="FC145" i="5" s="1"/>
  <c r="FC144" i="5" s="1"/>
  <c r="FC143" i="5" s="1"/>
  <c r="FC142" i="5" s="1"/>
  <c r="FC141" i="5" s="1"/>
  <c r="FC140" i="5" s="1"/>
  <c r="FC139" i="5" s="1"/>
  <c r="FC138" i="5" s="1"/>
  <c r="FC137" i="5" s="1"/>
  <c r="FC136" i="5" s="1"/>
  <c r="FC135" i="5" s="1"/>
  <c r="FC134" i="5" s="1"/>
  <c r="FC133" i="5" s="1"/>
  <c r="FC132" i="5" s="1"/>
  <c r="FC131" i="5" s="1"/>
  <c r="FC130" i="5" s="1"/>
  <c r="FC129" i="5" s="1"/>
  <c r="FC128" i="5" s="1"/>
  <c r="FC127" i="5" s="1"/>
  <c r="FC126" i="5" s="1"/>
  <c r="FC125" i="5" s="1"/>
  <c r="FC124" i="5" s="1"/>
  <c r="FC123" i="5" s="1"/>
  <c r="FC122" i="5" s="1"/>
  <c r="FC121" i="5" s="1"/>
  <c r="FC120" i="5" s="1"/>
  <c r="FC119" i="5" s="1"/>
  <c r="FC118" i="5" s="1"/>
  <c r="FC117" i="5" s="1"/>
  <c r="FC116" i="5" s="1"/>
  <c r="FC115" i="5" s="1"/>
  <c r="FC114" i="5" s="1"/>
  <c r="FC113" i="5" s="1"/>
  <c r="FC112" i="5" s="1"/>
  <c r="FD213" i="5"/>
  <c r="FD212" i="5" s="1"/>
  <c r="FD211" i="5" s="1"/>
  <c r="FD210" i="5" s="1"/>
  <c r="FD209" i="5" s="1"/>
  <c r="FD208" i="5" s="1"/>
  <c r="FD207" i="5" s="1"/>
  <c r="FD206" i="5" s="1"/>
  <c r="FD205" i="5" s="1"/>
  <c r="FD204" i="5" s="1"/>
  <c r="FD203" i="5" s="1"/>
  <c r="FD202" i="5" s="1"/>
  <c r="FD201" i="5" s="1"/>
  <c r="FD200" i="5" s="1"/>
  <c r="FD199" i="5" s="1"/>
  <c r="FD198" i="5" s="1"/>
  <c r="FD197" i="5" s="1"/>
  <c r="FD196" i="5" s="1"/>
  <c r="FD195" i="5" s="1"/>
  <c r="FD194" i="5" s="1"/>
  <c r="FD193" i="5" s="1"/>
  <c r="FD192" i="5" s="1"/>
  <c r="FD191" i="5" s="1"/>
  <c r="FD190" i="5" s="1"/>
  <c r="FD189" i="5" s="1"/>
  <c r="FD188" i="5" s="1"/>
  <c r="FD187" i="5" s="1"/>
  <c r="FD186" i="5" s="1"/>
  <c r="FD185" i="5" s="1"/>
  <c r="FD184" i="5" s="1"/>
  <c r="FD183" i="5" s="1"/>
  <c r="FD182" i="5" s="1"/>
  <c r="FD181" i="5" s="1"/>
  <c r="FD180" i="5" s="1"/>
  <c r="FD179" i="5" s="1"/>
  <c r="FD178" i="5" s="1"/>
  <c r="FD177" i="5" s="1"/>
  <c r="FD176" i="5" s="1"/>
  <c r="FD175" i="5" s="1"/>
  <c r="FD174" i="5" s="1"/>
  <c r="FD173" i="5" s="1"/>
  <c r="FD172" i="5" s="1"/>
  <c r="FD171" i="5" s="1"/>
  <c r="FD170" i="5" s="1"/>
  <c r="FD169" i="5" s="1"/>
  <c r="FD168" i="5" s="1"/>
  <c r="FD167" i="5" s="1"/>
  <c r="FD166" i="5" s="1"/>
  <c r="FD165" i="5" s="1"/>
  <c r="FD164" i="5" s="1"/>
  <c r="FD163" i="5" s="1"/>
  <c r="FD162" i="5" s="1"/>
  <c r="FD161" i="5" s="1"/>
  <c r="FD160" i="5" s="1"/>
  <c r="FD159" i="5" s="1"/>
  <c r="FD158" i="5" s="1"/>
  <c r="FD157" i="5" s="1"/>
  <c r="FD156" i="5" s="1"/>
  <c r="FD155" i="5" s="1"/>
  <c r="FD154" i="5" s="1"/>
  <c r="FD153" i="5" s="1"/>
  <c r="FD152" i="5" s="1"/>
  <c r="FD151" i="5" s="1"/>
  <c r="FD150" i="5" s="1"/>
  <c r="FD149" i="5" s="1"/>
  <c r="FD148" i="5" s="1"/>
  <c r="FD147" i="5" s="1"/>
  <c r="FD146" i="5" s="1"/>
  <c r="FD145" i="5" s="1"/>
  <c r="FD144" i="5" s="1"/>
  <c r="FD143" i="5" s="1"/>
  <c r="FD142" i="5" s="1"/>
  <c r="FD141" i="5" s="1"/>
  <c r="FD140" i="5" s="1"/>
  <c r="FD139" i="5" s="1"/>
  <c r="FD138" i="5" s="1"/>
  <c r="FD137" i="5" s="1"/>
  <c r="FD136" i="5" s="1"/>
  <c r="FD135" i="5" s="1"/>
  <c r="FD134" i="5" s="1"/>
  <c r="FD133" i="5" s="1"/>
  <c r="FD132" i="5" s="1"/>
  <c r="FD131" i="5" s="1"/>
  <c r="FD130" i="5" s="1"/>
  <c r="FD129" i="5" s="1"/>
  <c r="FD128" i="5" s="1"/>
  <c r="FD127" i="5" s="1"/>
  <c r="FD126" i="5" s="1"/>
  <c r="FD125" i="5" s="1"/>
  <c r="FD124" i="5" s="1"/>
  <c r="FD123" i="5" s="1"/>
  <c r="FD122" i="5" s="1"/>
  <c r="FD121" i="5" s="1"/>
  <c r="FD120" i="5" s="1"/>
  <c r="FD119" i="5" s="1"/>
  <c r="FD118" i="5" s="1"/>
  <c r="FD117" i="5" s="1"/>
  <c r="FD116" i="5" s="1"/>
  <c r="FD115" i="5" s="1"/>
  <c r="FD114" i="5" s="1"/>
  <c r="FD113" i="5" s="1"/>
  <c r="FD112" i="5" s="1"/>
  <c r="FE213" i="5"/>
  <c r="FE212" i="5" s="1"/>
  <c r="FE211" i="5" s="1"/>
  <c r="FE210" i="5" s="1"/>
  <c r="FE209" i="5" s="1"/>
  <c r="FE208" i="5" s="1"/>
  <c r="FE207" i="5" s="1"/>
  <c r="FE206" i="5" s="1"/>
  <c r="FE205" i="5" s="1"/>
  <c r="FE204" i="5" s="1"/>
  <c r="FE203" i="5" s="1"/>
  <c r="FE202" i="5" s="1"/>
  <c r="FE201" i="5" s="1"/>
  <c r="FE200" i="5" s="1"/>
  <c r="FE199" i="5" s="1"/>
  <c r="FE198" i="5" s="1"/>
  <c r="FE197" i="5" s="1"/>
  <c r="FE196" i="5" s="1"/>
  <c r="FE195" i="5" s="1"/>
  <c r="FE194" i="5" s="1"/>
  <c r="FE193" i="5" s="1"/>
  <c r="FE192" i="5" s="1"/>
  <c r="FE191" i="5" s="1"/>
  <c r="FE190" i="5" s="1"/>
  <c r="FE189" i="5" s="1"/>
  <c r="FE188" i="5" s="1"/>
  <c r="FE187" i="5" s="1"/>
  <c r="FE186" i="5" s="1"/>
  <c r="FE185" i="5" s="1"/>
  <c r="FE184" i="5" s="1"/>
  <c r="FE183" i="5" s="1"/>
  <c r="FE182" i="5" s="1"/>
  <c r="FE181" i="5" s="1"/>
  <c r="FE180" i="5" s="1"/>
  <c r="FE179" i="5" s="1"/>
  <c r="FE178" i="5" s="1"/>
  <c r="FE177" i="5" s="1"/>
  <c r="FE176" i="5" s="1"/>
  <c r="FE175" i="5" s="1"/>
  <c r="FE174" i="5" s="1"/>
  <c r="FE173" i="5" s="1"/>
  <c r="FE172" i="5" s="1"/>
  <c r="FE171" i="5" s="1"/>
  <c r="FE170" i="5" s="1"/>
  <c r="FE169" i="5" s="1"/>
  <c r="FE168" i="5" s="1"/>
  <c r="FE167" i="5" s="1"/>
  <c r="FE166" i="5" s="1"/>
  <c r="FE165" i="5" s="1"/>
  <c r="FE164" i="5" s="1"/>
  <c r="FE163" i="5" s="1"/>
  <c r="FE162" i="5" s="1"/>
  <c r="FE161" i="5" s="1"/>
  <c r="FE160" i="5" s="1"/>
  <c r="FE159" i="5" s="1"/>
  <c r="FE158" i="5" s="1"/>
  <c r="FE157" i="5" s="1"/>
  <c r="FE156" i="5" s="1"/>
  <c r="FE155" i="5" s="1"/>
  <c r="FE154" i="5" s="1"/>
  <c r="FE153" i="5" s="1"/>
  <c r="FE152" i="5" s="1"/>
  <c r="FE151" i="5" s="1"/>
  <c r="FE150" i="5" s="1"/>
  <c r="FE149" i="5" s="1"/>
  <c r="FE148" i="5" s="1"/>
  <c r="FE147" i="5" s="1"/>
  <c r="FE146" i="5" s="1"/>
  <c r="FE145" i="5" s="1"/>
  <c r="FE144" i="5" s="1"/>
  <c r="FE143" i="5" s="1"/>
  <c r="FE142" i="5" s="1"/>
  <c r="FE141" i="5" s="1"/>
  <c r="FE140" i="5" s="1"/>
  <c r="FE139" i="5" s="1"/>
  <c r="FE138" i="5" s="1"/>
  <c r="FE137" i="5" s="1"/>
  <c r="FE136" i="5" s="1"/>
  <c r="FE135" i="5" s="1"/>
  <c r="FE134" i="5" s="1"/>
  <c r="FE133" i="5" s="1"/>
  <c r="FE132" i="5" s="1"/>
  <c r="FE131" i="5" s="1"/>
  <c r="FE130" i="5" s="1"/>
  <c r="FE129" i="5" s="1"/>
  <c r="FE128" i="5" s="1"/>
  <c r="FE127" i="5" s="1"/>
  <c r="FE126" i="5" s="1"/>
  <c r="FE125" i="5" s="1"/>
  <c r="FE124" i="5" s="1"/>
  <c r="FE123" i="5" s="1"/>
  <c r="FE122" i="5" s="1"/>
  <c r="FE121" i="5" s="1"/>
  <c r="FE120" i="5" s="1"/>
  <c r="FE119" i="5" s="1"/>
  <c r="FE118" i="5" s="1"/>
  <c r="FE117" i="5" s="1"/>
  <c r="FE116" i="5" s="1"/>
  <c r="FE115" i="5" s="1"/>
  <c r="FE114" i="5" s="1"/>
  <c r="FE113" i="5" s="1"/>
  <c r="FE112" i="5" s="1"/>
  <c r="FF213" i="5"/>
  <c r="FF212" i="5" s="1"/>
  <c r="FF211" i="5" s="1"/>
  <c r="FF210" i="5" s="1"/>
  <c r="FF209" i="5" s="1"/>
  <c r="FF208" i="5" s="1"/>
  <c r="FF207" i="5" s="1"/>
  <c r="FF206" i="5" s="1"/>
  <c r="FF205" i="5" s="1"/>
  <c r="FF204" i="5" s="1"/>
  <c r="FF203" i="5" s="1"/>
  <c r="FF202" i="5" s="1"/>
  <c r="FF201" i="5" s="1"/>
  <c r="FF200" i="5" s="1"/>
  <c r="FF199" i="5" s="1"/>
  <c r="FF198" i="5" s="1"/>
  <c r="FF197" i="5" s="1"/>
  <c r="FF196" i="5" s="1"/>
  <c r="FF195" i="5" s="1"/>
  <c r="FF194" i="5" s="1"/>
  <c r="FF193" i="5" s="1"/>
  <c r="FF192" i="5" s="1"/>
  <c r="FF191" i="5" s="1"/>
  <c r="FF190" i="5" s="1"/>
  <c r="FF189" i="5" s="1"/>
  <c r="FF188" i="5" s="1"/>
  <c r="FF187" i="5" s="1"/>
  <c r="FF186" i="5" s="1"/>
  <c r="FF185" i="5" s="1"/>
  <c r="FF184" i="5" s="1"/>
  <c r="FF183" i="5" s="1"/>
  <c r="FF182" i="5" s="1"/>
  <c r="FF181" i="5" s="1"/>
  <c r="FF180" i="5" s="1"/>
  <c r="FF179" i="5" s="1"/>
  <c r="FF178" i="5" s="1"/>
  <c r="FF177" i="5" s="1"/>
  <c r="FF176" i="5" s="1"/>
  <c r="FF175" i="5" s="1"/>
  <c r="FF174" i="5" s="1"/>
  <c r="FF173" i="5" s="1"/>
  <c r="FF172" i="5" s="1"/>
  <c r="FF171" i="5" s="1"/>
  <c r="FF170" i="5" s="1"/>
  <c r="FF169" i="5" s="1"/>
  <c r="FF168" i="5" s="1"/>
  <c r="FF167" i="5" s="1"/>
  <c r="FF166" i="5" s="1"/>
  <c r="FF165" i="5" s="1"/>
  <c r="FF164" i="5" s="1"/>
  <c r="FF163" i="5" s="1"/>
  <c r="FF162" i="5" s="1"/>
  <c r="FF161" i="5" s="1"/>
  <c r="FF160" i="5" s="1"/>
  <c r="FF159" i="5" s="1"/>
  <c r="FF158" i="5" s="1"/>
  <c r="FF157" i="5" s="1"/>
  <c r="FF156" i="5" s="1"/>
  <c r="FF155" i="5" s="1"/>
  <c r="FF154" i="5" s="1"/>
  <c r="FF153" i="5" s="1"/>
  <c r="FF152" i="5" s="1"/>
  <c r="FF151" i="5" s="1"/>
  <c r="FF150" i="5" s="1"/>
  <c r="FF149" i="5" s="1"/>
  <c r="FF148" i="5" s="1"/>
  <c r="FF147" i="5" s="1"/>
  <c r="FF146" i="5" s="1"/>
  <c r="FF145" i="5" s="1"/>
  <c r="FF144" i="5" s="1"/>
  <c r="FF143" i="5" s="1"/>
  <c r="FF142" i="5" s="1"/>
  <c r="FF141" i="5" s="1"/>
  <c r="FF140" i="5" s="1"/>
  <c r="FF139" i="5" s="1"/>
  <c r="FF138" i="5" s="1"/>
  <c r="FF137" i="5" s="1"/>
  <c r="FF136" i="5" s="1"/>
  <c r="FF135" i="5" s="1"/>
  <c r="FF134" i="5" s="1"/>
  <c r="FF133" i="5" s="1"/>
  <c r="FF132" i="5" s="1"/>
  <c r="FF131" i="5" s="1"/>
  <c r="FF130" i="5" s="1"/>
  <c r="FF129" i="5" s="1"/>
  <c r="FF128" i="5" s="1"/>
  <c r="FF127" i="5" s="1"/>
  <c r="FF126" i="5" s="1"/>
  <c r="FF125" i="5" s="1"/>
  <c r="FF124" i="5" s="1"/>
  <c r="FF123" i="5" s="1"/>
  <c r="FF122" i="5" s="1"/>
  <c r="FF121" i="5" s="1"/>
  <c r="FF120" i="5" s="1"/>
  <c r="FF119" i="5" s="1"/>
  <c r="FF118" i="5" s="1"/>
  <c r="FF117" i="5" s="1"/>
  <c r="FF116" i="5" s="1"/>
  <c r="FF115" i="5" s="1"/>
  <c r="FF114" i="5" s="1"/>
  <c r="FF113" i="5" s="1"/>
  <c r="FF112" i="5" s="1"/>
  <c r="FG213" i="5"/>
  <c r="FG212" i="5" s="1"/>
  <c r="FG211" i="5" s="1"/>
  <c r="FG210" i="5" s="1"/>
  <c r="FG209" i="5" s="1"/>
  <c r="FG208" i="5" s="1"/>
  <c r="FG207" i="5" s="1"/>
  <c r="FG206" i="5" s="1"/>
  <c r="FG205" i="5" s="1"/>
  <c r="FG204" i="5" s="1"/>
  <c r="FG203" i="5" s="1"/>
  <c r="FG202" i="5" s="1"/>
  <c r="FG201" i="5" s="1"/>
  <c r="FG200" i="5" s="1"/>
  <c r="FG199" i="5" s="1"/>
  <c r="FG198" i="5" s="1"/>
  <c r="FG197" i="5" s="1"/>
  <c r="FG196" i="5" s="1"/>
  <c r="FG195" i="5" s="1"/>
  <c r="FG194" i="5" s="1"/>
  <c r="FG193" i="5" s="1"/>
  <c r="FG192" i="5" s="1"/>
  <c r="FG191" i="5" s="1"/>
  <c r="FG190" i="5" s="1"/>
  <c r="FG189" i="5" s="1"/>
  <c r="FG188" i="5" s="1"/>
  <c r="FG187" i="5" s="1"/>
  <c r="FG186" i="5" s="1"/>
  <c r="FG185" i="5" s="1"/>
  <c r="FG184" i="5" s="1"/>
  <c r="FG183" i="5" s="1"/>
  <c r="FG182" i="5" s="1"/>
  <c r="FG181" i="5" s="1"/>
  <c r="FG180" i="5" s="1"/>
  <c r="FG179" i="5" s="1"/>
  <c r="FG178" i="5" s="1"/>
  <c r="FG177" i="5" s="1"/>
  <c r="FG176" i="5" s="1"/>
  <c r="FG175" i="5" s="1"/>
  <c r="FG174" i="5" s="1"/>
  <c r="FG173" i="5" s="1"/>
  <c r="FG172" i="5" s="1"/>
  <c r="FG171" i="5" s="1"/>
  <c r="FG170" i="5" s="1"/>
  <c r="FG169" i="5" s="1"/>
  <c r="FG168" i="5" s="1"/>
  <c r="FG167" i="5" s="1"/>
  <c r="FG166" i="5" s="1"/>
  <c r="FG165" i="5" s="1"/>
  <c r="FG164" i="5" s="1"/>
  <c r="FG163" i="5" s="1"/>
  <c r="FG162" i="5" s="1"/>
  <c r="FG161" i="5" s="1"/>
  <c r="FG160" i="5" s="1"/>
  <c r="FG159" i="5" s="1"/>
  <c r="FG158" i="5" s="1"/>
  <c r="FG157" i="5" s="1"/>
  <c r="FG156" i="5" s="1"/>
  <c r="FG155" i="5" s="1"/>
  <c r="FG154" i="5" s="1"/>
  <c r="FG153" i="5" s="1"/>
  <c r="FG152" i="5" s="1"/>
  <c r="FG151" i="5" s="1"/>
  <c r="FG150" i="5" s="1"/>
  <c r="FG149" i="5" s="1"/>
  <c r="FG148" i="5" s="1"/>
  <c r="FG147" i="5" s="1"/>
  <c r="FG146" i="5" s="1"/>
  <c r="FG145" i="5" s="1"/>
  <c r="FG144" i="5" s="1"/>
  <c r="FG143" i="5" s="1"/>
  <c r="FG142" i="5" s="1"/>
  <c r="FG141" i="5" s="1"/>
  <c r="FG140" i="5" s="1"/>
  <c r="FG139" i="5" s="1"/>
  <c r="FG138" i="5" s="1"/>
  <c r="FG137" i="5" s="1"/>
  <c r="FG136" i="5" s="1"/>
  <c r="FG135" i="5" s="1"/>
  <c r="FG134" i="5" s="1"/>
  <c r="FG133" i="5" s="1"/>
  <c r="FG132" i="5" s="1"/>
  <c r="FG131" i="5" s="1"/>
  <c r="FG130" i="5" s="1"/>
  <c r="FG129" i="5" s="1"/>
  <c r="FG128" i="5" s="1"/>
  <c r="FG127" i="5" s="1"/>
  <c r="FG126" i="5" s="1"/>
  <c r="FG125" i="5" s="1"/>
  <c r="FG124" i="5" s="1"/>
  <c r="FG123" i="5" s="1"/>
  <c r="FG122" i="5" s="1"/>
  <c r="FG121" i="5" s="1"/>
  <c r="FG120" i="5" s="1"/>
  <c r="FG119" i="5" s="1"/>
  <c r="FG118" i="5" s="1"/>
  <c r="FG117" i="5" s="1"/>
  <c r="FG116" i="5" s="1"/>
  <c r="FG115" i="5" s="1"/>
  <c r="FG114" i="5" s="1"/>
  <c r="FG113" i="5" s="1"/>
  <c r="FG112" i="5" s="1"/>
  <c r="FH213" i="5"/>
  <c r="FH212" i="5" s="1"/>
  <c r="FH211" i="5" s="1"/>
  <c r="FH210" i="5" s="1"/>
  <c r="FH209" i="5" s="1"/>
  <c r="FH208" i="5" s="1"/>
  <c r="FH207" i="5" s="1"/>
  <c r="FH206" i="5" s="1"/>
  <c r="FH205" i="5" s="1"/>
  <c r="FH204" i="5" s="1"/>
  <c r="FH203" i="5" s="1"/>
  <c r="FH202" i="5" s="1"/>
  <c r="FH201" i="5" s="1"/>
  <c r="FH200" i="5" s="1"/>
  <c r="FH199" i="5" s="1"/>
  <c r="FH198" i="5" s="1"/>
  <c r="FH197" i="5" s="1"/>
  <c r="FH196" i="5" s="1"/>
  <c r="FH195" i="5" s="1"/>
  <c r="FH194" i="5" s="1"/>
  <c r="FH193" i="5" s="1"/>
  <c r="FH192" i="5" s="1"/>
  <c r="FH191" i="5" s="1"/>
  <c r="FH190" i="5" s="1"/>
  <c r="FH189" i="5" s="1"/>
  <c r="FH188" i="5" s="1"/>
  <c r="FH187" i="5" s="1"/>
  <c r="FH186" i="5" s="1"/>
  <c r="FH185" i="5" s="1"/>
  <c r="FH184" i="5" s="1"/>
  <c r="FH183" i="5" s="1"/>
  <c r="FH182" i="5" s="1"/>
  <c r="FH181" i="5" s="1"/>
  <c r="FH180" i="5" s="1"/>
  <c r="FH179" i="5" s="1"/>
  <c r="FH178" i="5" s="1"/>
  <c r="FH177" i="5" s="1"/>
  <c r="FH176" i="5" s="1"/>
  <c r="FH175" i="5" s="1"/>
  <c r="FH174" i="5" s="1"/>
  <c r="FH173" i="5" s="1"/>
  <c r="FH172" i="5" s="1"/>
  <c r="FH171" i="5" s="1"/>
  <c r="FH170" i="5" s="1"/>
  <c r="FH169" i="5" s="1"/>
  <c r="FH168" i="5" s="1"/>
  <c r="FH167" i="5" s="1"/>
  <c r="FH166" i="5" s="1"/>
  <c r="FH165" i="5" s="1"/>
  <c r="FH164" i="5" s="1"/>
  <c r="FH163" i="5" s="1"/>
  <c r="FH162" i="5" s="1"/>
  <c r="FH161" i="5" s="1"/>
  <c r="FH160" i="5" s="1"/>
  <c r="FH159" i="5" s="1"/>
  <c r="FH158" i="5" s="1"/>
  <c r="FH157" i="5" s="1"/>
  <c r="FH156" i="5" s="1"/>
  <c r="FH155" i="5" s="1"/>
  <c r="FH154" i="5" s="1"/>
  <c r="FH153" i="5" s="1"/>
  <c r="FH152" i="5" s="1"/>
  <c r="FH151" i="5" s="1"/>
  <c r="FH150" i="5" s="1"/>
  <c r="FH149" i="5" s="1"/>
  <c r="FH148" i="5" s="1"/>
  <c r="FH147" i="5" s="1"/>
  <c r="FH146" i="5" s="1"/>
  <c r="FH145" i="5" s="1"/>
  <c r="FH144" i="5" s="1"/>
  <c r="FH143" i="5" s="1"/>
  <c r="FH142" i="5" s="1"/>
  <c r="FH141" i="5" s="1"/>
  <c r="FH140" i="5" s="1"/>
  <c r="FH139" i="5" s="1"/>
  <c r="FH138" i="5" s="1"/>
  <c r="FH137" i="5" s="1"/>
  <c r="FH136" i="5" s="1"/>
  <c r="FH135" i="5" s="1"/>
  <c r="FH134" i="5" s="1"/>
  <c r="FH133" i="5" s="1"/>
  <c r="FH132" i="5" s="1"/>
  <c r="FH131" i="5" s="1"/>
  <c r="FH130" i="5" s="1"/>
  <c r="FH129" i="5" s="1"/>
  <c r="FH128" i="5" s="1"/>
  <c r="FH127" i="5" s="1"/>
  <c r="FH126" i="5" s="1"/>
  <c r="FH125" i="5" s="1"/>
  <c r="FH124" i="5" s="1"/>
  <c r="FH123" i="5" s="1"/>
  <c r="FH122" i="5" s="1"/>
  <c r="FH121" i="5" s="1"/>
  <c r="FH120" i="5" s="1"/>
  <c r="FH119" i="5" s="1"/>
  <c r="FH118" i="5" s="1"/>
  <c r="FH117" i="5" s="1"/>
  <c r="FH116" i="5" s="1"/>
  <c r="FH115" i="5" s="1"/>
  <c r="FH114" i="5" s="1"/>
  <c r="FH113" i="5" s="1"/>
  <c r="FH112" i="5" s="1"/>
  <c r="FI213" i="5"/>
  <c r="FI212" i="5" s="1"/>
  <c r="FI211" i="5" s="1"/>
  <c r="FI210" i="5" s="1"/>
  <c r="FI209" i="5" s="1"/>
  <c r="FI208" i="5" s="1"/>
  <c r="FI207" i="5" s="1"/>
  <c r="FI206" i="5" s="1"/>
  <c r="FI205" i="5" s="1"/>
  <c r="FI204" i="5" s="1"/>
  <c r="FI203" i="5" s="1"/>
  <c r="FI202" i="5" s="1"/>
  <c r="FI201" i="5" s="1"/>
  <c r="FI200" i="5" s="1"/>
  <c r="FI199" i="5" s="1"/>
  <c r="FI198" i="5" s="1"/>
  <c r="FI197" i="5" s="1"/>
  <c r="FI196" i="5" s="1"/>
  <c r="FI195" i="5" s="1"/>
  <c r="FI194" i="5" s="1"/>
  <c r="FI193" i="5" s="1"/>
  <c r="FI192" i="5" s="1"/>
  <c r="FI191" i="5" s="1"/>
  <c r="FI190" i="5" s="1"/>
  <c r="FI189" i="5" s="1"/>
  <c r="FI188" i="5" s="1"/>
  <c r="FI187" i="5" s="1"/>
  <c r="FI186" i="5" s="1"/>
  <c r="FI185" i="5" s="1"/>
  <c r="FI184" i="5" s="1"/>
  <c r="FI183" i="5" s="1"/>
  <c r="FI182" i="5" s="1"/>
  <c r="FI181" i="5" s="1"/>
  <c r="FI180" i="5" s="1"/>
  <c r="FI179" i="5" s="1"/>
  <c r="FI178" i="5" s="1"/>
  <c r="FI177" i="5" s="1"/>
  <c r="FI176" i="5" s="1"/>
  <c r="FI175" i="5" s="1"/>
  <c r="FI174" i="5" s="1"/>
  <c r="FI173" i="5" s="1"/>
  <c r="FI172" i="5" s="1"/>
  <c r="FI171" i="5" s="1"/>
  <c r="FI170" i="5" s="1"/>
  <c r="FI169" i="5" s="1"/>
  <c r="FI168" i="5" s="1"/>
  <c r="FI167" i="5" s="1"/>
  <c r="FI166" i="5" s="1"/>
  <c r="FI165" i="5" s="1"/>
  <c r="FI164" i="5" s="1"/>
  <c r="FI163" i="5" s="1"/>
  <c r="FI162" i="5" s="1"/>
  <c r="FI161" i="5" s="1"/>
  <c r="FI160" i="5" s="1"/>
  <c r="FI159" i="5" s="1"/>
  <c r="FI158" i="5" s="1"/>
  <c r="FI157" i="5" s="1"/>
  <c r="FI156" i="5" s="1"/>
  <c r="FI155" i="5" s="1"/>
  <c r="FI154" i="5" s="1"/>
  <c r="FI153" i="5" s="1"/>
  <c r="FI152" i="5" s="1"/>
  <c r="FI151" i="5" s="1"/>
  <c r="FI150" i="5" s="1"/>
  <c r="FI149" i="5" s="1"/>
  <c r="FI148" i="5" s="1"/>
  <c r="FI147" i="5" s="1"/>
  <c r="FI146" i="5" s="1"/>
  <c r="FI145" i="5" s="1"/>
  <c r="FI144" i="5" s="1"/>
  <c r="FI143" i="5" s="1"/>
  <c r="FI142" i="5" s="1"/>
  <c r="FI141" i="5" s="1"/>
  <c r="FI140" i="5" s="1"/>
  <c r="FI139" i="5" s="1"/>
  <c r="FI138" i="5" s="1"/>
  <c r="FI137" i="5" s="1"/>
  <c r="FI136" i="5" s="1"/>
  <c r="FI135" i="5" s="1"/>
  <c r="FI134" i="5" s="1"/>
  <c r="FI133" i="5" s="1"/>
  <c r="FI132" i="5" s="1"/>
  <c r="FI131" i="5" s="1"/>
  <c r="FI130" i="5" s="1"/>
  <c r="FI129" i="5" s="1"/>
  <c r="FI128" i="5" s="1"/>
  <c r="FI127" i="5" s="1"/>
  <c r="FI126" i="5" s="1"/>
  <c r="FI125" i="5" s="1"/>
  <c r="FI124" i="5" s="1"/>
  <c r="FI123" i="5" s="1"/>
  <c r="FI122" i="5" s="1"/>
  <c r="FI121" i="5" s="1"/>
  <c r="FI120" i="5" s="1"/>
  <c r="FI119" i="5" s="1"/>
  <c r="FI118" i="5" s="1"/>
  <c r="FI117" i="5" s="1"/>
  <c r="FI116" i="5" s="1"/>
  <c r="FI115" i="5" s="1"/>
  <c r="FI114" i="5" s="1"/>
  <c r="FI113" i="5" s="1"/>
  <c r="FI112" i="5" s="1"/>
  <c r="FJ213" i="5"/>
  <c r="FJ212" i="5" s="1"/>
  <c r="FJ211" i="5" s="1"/>
  <c r="FJ210" i="5" s="1"/>
  <c r="FJ209" i="5" s="1"/>
  <c r="FJ208" i="5" s="1"/>
  <c r="FJ207" i="5" s="1"/>
  <c r="FJ206" i="5" s="1"/>
  <c r="FJ205" i="5" s="1"/>
  <c r="FJ204" i="5" s="1"/>
  <c r="FJ203" i="5" s="1"/>
  <c r="FJ202" i="5" s="1"/>
  <c r="FJ201" i="5" s="1"/>
  <c r="FJ200" i="5" s="1"/>
  <c r="FJ199" i="5" s="1"/>
  <c r="FJ198" i="5" s="1"/>
  <c r="FJ197" i="5" s="1"/>
  <c r="FJ196" i="5" s="1"/>
  <c r="FJ195" i="5" s="1"/>
  <c r="FJ194" i="5" s="1"/>
  <c r="FJ193" i="5" s="1"/>
  <c r="FJ192" i="5" s="1"/>
  <c r="FJ191" i="5" s="1"/>
  <c r="FJ190" i="5" s="1"/>
  <c r="FJ189" i="5" s="1"/>
  <c r="FJ188" i="5" s="1"/>
  <c r="FJ187" i="5" s="1"/>
  <c r="FJ186" i="5" s="1"/>
  <c r="FJ185" i="5" s="1"/>
  <c r="FJ184" i="5" s="1"/>
  <c r="FJ183" i="5" s="1"/>
  <c r="FJ182" i="5" s="1"/>
  <c r="FJ181" i="5" s="1"/>
  <c r="FJ180" i="5" s="1"/>
  <c r="FJ179" i="5" s="1"/>
  <c r="FJ178" i="5" s="1"/>
  <c r="FJ177" i="5" s="1"/>
  <c r="FJ176" i="5" s="1"/>
  <c r="FJ175" i="5" s="1"/>
  <c r="FJ174" i="5" s="1"/>
  <c r="FJ173" i="5" s="1"/>
  <c r="FJ172" i="5" s="1"/>
  <c r="FJ171" i="5" s="1"/>
  <c r="FJ170" i="5" s="1"/>
  <c r="FJ169" i="5" s="1"/>
  <c r="FJ168" i="5" s="1"/>
  <c r="FJ167" i="5" s="1"/>
  <c r="FJ166" i="5" s="1"/>
  <c r="FJ165" i="5" s="1"/>
  <c r="FJ164" i="5" s="1"/>
  <c r="FJ163" i="5" s="1"/>
  <c r="FJ162" i="5" s="1"/>
  <c r="FJ161" i="5" s="1"/>
  <c r="FJ160" i="5" s="1"/>
  <c r="FJ159" i="5" s="1"/>
  <c r="FJ158" i="5" s="1"/>
  <c r="FJ157" i="5" s="1"/>
  <c r="FJ156" i="5" s="1"/>
  <c r="FJ155" i="5" s="1"/>
  <c r="FJ154" i="5" s="1"/>
  <c r="FJ153" i="5" s="1"/>
  <c r="FJ152" i="5" s="1"/>
  <c r="FJ151" i="5" s="1"/>
  <c r="FJ150" i="5" s="1"/>
  <c r="FJ149" i="5" s="1"/>
  <c r="FJ148" i="5" s="1"/>
  <c r="FJ147" i="5" s="1"/>
  <c r="FJ146" i="5" s="1"/>
  <c r="FJ145" i="5" s="1"/>
  <c r="FJ144" i="5" s="1"/>
  <c r="FJ143" i="5" s="1"/>
  <c r="FJ142" i="5" s="1"/>
  <c r="FJ141" i="5" s="1"/>
  <c r="FJ140" i="5" s="1"/>
  <c r="FJ139" i="5" s="1"/>
  <c r="FJ138" i="5" s="1"/>
  <c r="FJ137" i="5" s="1"/>
  <c r="FJ136" i="5" s="1"/>
  <c r="FJ135" i="5" s="1"/>
  <c r="FJ134" i="5" s="1"/>
  <c r="FJ133" i="5" s="1"/>
  <c r="FJ132" i="5" s="1"/>
  <c r="FJ131" i="5" s="1"/>
  <c r="FJ130" i="5" s="1"/>
  <c r="FJ129" i="5" s="1"/>
  <c r="FJ128" i="5" s="1"/>
  <c r="FJ127" i="5" s="1"/>
  <c r="FJ126" i="5" s="1"/>
  <c r="FJ125" i="5" s="1"/>
  <c r="FJ124" i="5" s="1"/>
  <c r="FJ123" i="5" s="1"/>
  <c r="FJ122" i="5" s="1"/>
  <c r="FJ121" i="5" s="1"/>
  <c r="FJ120" i="5" s="1"/>
  <c r="FJ119" i="5" s="1"/>
  <c r="FJ118" i="5" s="1"/>
  <c r="FJ117" i="5" s="1"/>
  <c r="FJ116" i="5" s="1"/>
  <c r="FJ115" i="5" s="1"/>
  <c r="FJ114" i="5" s="1"/>
  <c r="FJ113" i="5" s="1"/>
  <c r="FJ112" i="5" s="1"/>
  <c r="FK213" i="5"/>
  <c r="FK212" i="5" s="1"/>
  <c r="FK211" i="5" s="1"/>
  <c r="FK210" i="5" s="1"/>
  <c r="FK209" i="5" s="1"/>
  <c r="FK208" i="5" s="1"/>
  <c r="FK207" i="5" s="1"/>
  <c r="FK206" i="5" s="1"/>
  <c r="FK205" i="5" s="1"/>
  <c r="FK204" i="5" s="1"/>
  <c r="FK203" i="5" s="1"/>
  <c r="FK202" i="5" s="1"/>
  <c r="FK201" i="5" s="1"/>
  <c r="FK200" i="5" s="1"/>
  <c r="FK199" i="5" s="1"/>
  <c r="FK198" i="5" s="1"/>
  <c r="FK197" i="5" s="1"/>
  <c r="FK196" i="5" s="1"/>
  <c r="FK195" i="5" s="1"/>
  <c r="FK194" i="5" s="1"/>
  <c r="FK193" i="5" s="1"/>
  <c r="FK192" i="5" s="1"/>
  <c r="FK191" i="5" s="1"/>
  <c r="FK190" i="5" s="1"/>
  <c r="FK189" i="5" s="1"/>
  <c r="FK188" i="5" s="1"/>
  <c r="FK187" i="5" s="1"/>
  <c r="FK186" i="5" s="1"/>
  <c r="FK185" i="5" s="1"/>
  <c r="FK184" i="5" s="1"/>
  <c r="FK183" i="5" s="1"/>
  <c r="FK182" i="5" s="1"/>
  <c r="FK181" i="5" s="1"/>
  <c r="FK180" i="5" s="1"/>
  <c r="FK179" i="5" s="1"/>
  <c r="FK178" i="5" s="1"/>
  <c r="FK177" i="5" s="1"/>
  <c r="FK176" i="5" s="1"/>
  <c r="FK175" i="5" s="1"/>
  <c r="FK174" i="5" s="1"/>
  <c r="FK173" i="5" s="1"/>
  <c r="FK172" i="5" s="1"/>
  <c r="FK171" i="5" s="1"/>
  <c r="FK170" i="5" s="1"/>
  <c r="FK169" i="5" s="1"/>
  <c r="FK168" i="5" s="1"/>
  <c r="FK167" i="5" s="1"/>
  <c r="FK166" i="5" s="1"/>
  <c r="FK165" i="5" s="1"/>
  <c r="FK164" i="5" s="1"/>
  <c r="FK163" i="5" s="1"/>
  <c r="FK162" i="5" s="1"/>
  <c r="FK161" i="5" s="1"/>
  <c r="FK160" i="5" s="1"/>
  <c r="FK159" i="5" s="1"/>
  <c r="FK158" i="5" s="1"/>
  <c r="FK157" i="5" s="1"/>
  <c r="FK156" i="5" s="1"/>
  <c r="FK155" i="5" s="1"/>
  <c r="FK154" i="5" s="1"/>
  <c r="FK153" i="5" s="1"/>
  <c r="FK152" i="5" s="1"/>
  <c r="FK151" i="5" s="1"/>
  <c r="FK150" i="5" s="1"/>
  <c r="FK149" i="5" s="1"/>
  <c r="FK148" i="5" s="1"/>
  <c r="FK147" i="5" s="1"/>
  <c r="FK146" i="5" s="1"/>
  <c r="FK145" i="5" s="1"/>
  <c r="FK144" i="5" s="1"/>
  <c r="FK143" i="5" s="1"/>
  <c r="FK142" i="5" s="1"/>
  <c r="FK141" i="5" s="1"/>
  <c r="FK140" i="5" s="1"/>
  <c r="FK139" i="5" s="1"/>
  <c r="FK138" i="5" s="1"/>
  <c r="FK137" i="5" s="1"/>
  <c r="FK136" i="5" s="1"/>
  <c r="FK135" i="5" s="1"/>
  <c r="FK134" i="5" s="1"/>
  <c r="FK133" i="5" s="1"/>
  <c r="FK132" i="5" s="1"/>
  <c r="FK131" i="5" s="1"/>
  <c r="FK130" i="5" s="1"/>
  <c r="FK129" i="5" s="1"/>
  <c r="FK128" i="5" s="1"/>
  <c r="FK127" i="5" s="1"/>
  <c r="FK126" i="5" s="1"/>
  <c r="FK125" i="5" s="1"/>
  <c r="FK124" i="5" s="1"/>
  <c r="FK123" i="5" s="1"/>
  <c r="FK122" i="5" s="1"/>
  <c r="FK121" i="5" s="1"/>
  <c r="FK120" i="5" s="1"/>
  <c r="FK119" i="5" s="1"/>
  <c r="FK118" i="5" s="1"/>
  <c r="FK117" i="5" s="1"/>
  <c r="FK116" i="5" s="1"/>
  <c r="FK115" i="5" s="1"/>
  <c r="FK114" i="5" s="1"/>
  <c r="FK113" i="5" s="1"/>
  <c r="FK112" i="5" s="1"/>
  <c r="FL213" i="5"/>
  <c r="FL212" i="5" s="1"/>
  <c r="FL211" i="5" s="1"/>
  <c r="FL210" i="5" s="1"/>
  <c r="FL209" i="5" s="1"/>
  <c r="FL208" i="5" s="1"/>
  <c r="FL207" i="5" s="1"/>
  <c r="FL206" i="5" s="1"/>
  <c r="FL205" i="5" s="1"/>
  <c r="FL204" i="5" s="1"/>
  <c r="FL203" i="5" s="1"/>
  <c r="FL202" i="5" s="1"/>
  <c r="FL201" i="5" s="1"/>
  <c r="FL200" i="5" s="1"/>
  <c r="FL199" i="5" s="1"/>
  <c r="FL198" i="5" s="1"/>
  <c r="FL197" i="5" s="1"/>
  <c r="FL196" i="5" s="1"/>
  <c r="FL195" i="5" s="1"/>
  <c r="FL194" i="5" s="1"/>
  <c r="FL193" i="5" s="1"/>
  <c r="FL192" i="5" s="1"/>
  <c r="FL191" i="5" s="1"/>
  <c r="FL190" i="5" s="1"/>
  <c r="FL189" i="5" s="1"/>
  <c r="FL188" i="5" s="1"/>
  <c r="FL187" i="5" s="1"/>
  <c r="FL186" i="5" s="1"/>
  <c r="FL185" i="5" s="1"/>
  <c r="FL184" i="5" s="1"/>
  <c r="FL183" i="5" s="1"/>
  <c r="FL182" i="5" s="1"/>
  <c r="FL181" i="5" s="1"/>
  <c r="FL180" i="5" s="1"/>
  <c r="FL179" i="5" s="1"/>
  <c r="FL178" i="5" s="1"/>
  <c r="FL177" i="5" s="1"/>
  <c r="FL176" i="5" s="1"/>
  <c r="FL175" i="5" s="1"/>
  <c r="FL174" i="5" s="1"/>
  <c r="FL173" i="5" s="1"/>
  <c r="FL172" i="5" s="1"/>
  <c r="FL171" i="5" s="1"/>
  <c r="FL170" i="5" s="1"/>
  <c r="FL169" i="5" s="1"/>
  <c r="FL168" i="5" s="1"/>
  <c r="FL167" i="5" s="1"/>
  <c r="FL166" i="5" s="1"/>
  <c r="FL165" i="5" s="1"/>
  <c r="FL164" i="5" s="1"/>
  <c r="FL163" i="5" s="1"/>
  <c r="FL162" i="5" s="1"/>
  <c r="FL161" i="5" s="1"/>
  <c r="FL160" i="5" s="1"/>
  <c r="FL159" i="5" s="1"/>
  <c r="FL158" i="5" s="1"/>
  <c r="FL157" i="5" s="1"/>
  <c r="FL156" i="5" s="1"/>
  <c r="FL155" i="5" s="1"/>
  <c r="FL154" i="5" s="1"/>
  <c r="FL153" i="5" s="1"/>
  <c r="FL152" i="5" s="1"/>
  <c r="FL151" i="5" s="1"/>
  <c r="FL150" i="5" s="1"/>
  <c r="FL149" i="5" s="1"/>
  <c r="FL148" i="5" s="1"/>
  <c r="FL147" i="5" s="1"/>
  <c r="FL146" i="5" s="1"/>
  <c r="FL145" i="5" s="1"/>
  <c r="FL144" i="5" s="1"/>
  <c r="FL143" i="5" s="1"/>
  <c r="FL142" i="5" s="1"/>
  <c r="FL141" i="5" s="1"/>
  <c r="FL140" i="5" s="1"/>
  <c r="FL139" i="5" s="1"/>
  <c r="FL138" i="5" s="1"/>
  <c r="FL137" i="5" s="1"/>
  <c r="FL136" i="5" s="1"/>
  <c r="FL135" i="5" s="1"/>
  <c r="FL134" i="5" s="1"/>
  <c r="FL133" i="5" s="1"/>
  <c r="FL132" i="5" s="1"/>
  <c r="FL131" i="5" s="1"/>
  <c r="FL130" i="5" s="1"/>
  <c r="FL129" i="5" s="1"/>
  <c r="FL128" i="5" s="1"/>
  <c r="FL127" i="5" s="1"/>
  <c r="FL126" i="5" s="1"/>
  <c r="FL125" i="5" s="1"/>
  <c r="FL124" i="5" s="1"/>
  <c r="FL123" i="5" s="1"/>
  <c r="FL122" i="5" s="1"/>
  <c r="FL121" i="5" s="1"/>
  <c r="FL120" i="5" s="1"/>
  <c r="FL119" i="5" s="1"/>
  <c r="FL118" i="5" s="1"/>
  <c r="FL117" i="5" s="1"/>
  <c r="FL116" i="5" s="1"/>
  <c r="FL115" i="5" s="1"/>
  <c r="FL114" i="5" s="1"/>
  <c r="FL113" i="5" s="1"/>
  <c r="FL112" i="5" s="1"/>
  <c r="FM213" i="5"/>
  <c r="FM212" i="5" s="1"/>
  <c r="FM211" i="5" s="1"/>
  <c r="FM210" i="5" s="1"/>
  <c r="FM209" i="5" s="1"/>
  <c r="FM208" i="5" s="1"/>
  <c r="FM207" i="5" s="1"/>
  <c r="FM206" i="5" s="1"/>
  <c r="FM205" i="5" s="1"/>
  <c r="FM204" i="5" s="1"/>
  <c r="FM203" i="5" s="1"/>
  <c r="FM202" i="5" s="1"/>
  <c r="FM201" i="5" s="1"/>
  <c r="FM200" i="5" s="1"/>
  <c r="FM199" i="5" s="1"/>
  <c r="FM198" i="5" s="1"/>
  <c r="FM197" i="5" s="1"/>
  <c r="FM196" i="5" s="1"/>
  <c r="FM195" i="5" s="1"/>
  <c r="FM194" i="5" s="1"/>
  <c r="FM193" i="5" s="1"/>
  <c r="FM192" i="5" s="1"/>
  <c r="FM191" i="5" s="1"/>
  <c r="FM190" i="5" s="1"/>
  <c r="FM189" i="5" s="1"/>
  <c r="FM188" i="5" s="1"/>
  <c r="FM187" i="5" s="1"/>
  <c r="FM186" i="5" s="1"/>
  <c r="FM185" i="5" s="1"/>
  <c r="FM184" i="5" s="1"/>
  <c r="FM183" i="5" s="1"/>
  <c r="FM182" i="5" s="1"/>
  <c r="FM181" i="5" s="1"/>
  <c r="FM180" i="5" s="1"/>
  <c r="FM179" i="5" s="1"/>
  <c r="FM178" i="5" s="1"/>
  <c r="FM177" i="5" s="1"/>
  <c r="FM176" i="5" s="1"/>
  <c r="FM175" i="5" s="1"/>
  <c r="FM174" i="5" s="1"/>
  <c r="FM173" i="5" s="1"/>
  <c r="FM172" i="5" s="1"/>
  <c r="FM171" i="5" s="1"/>
  <c r="FM170" i="5" s="1"/>
  <c r="FM169" i="5" s="1"/>
  <c r="FM168" i="5" s="1"/>
  <c r="FM167" i="5" s="1"/>
  <c r="FM166" i="5" s="1"/>
  <c r="FM165" i="5" s="1"/>
  <c r="FM164" i="5" s="1"/>
  <c r="FM163" i="5" s="1"/>
  <c r="FM162" i="5" s="1"/>
  <c r="FM161" i="5" s="1"/>
  <c r="FM160" i="5" s="1"/>
  <c r="FM159" i="5" s="1"/>
  <c r="FM158" i="5" s="1"/>
  <c r="FM157" i="5" s="1"/>
  <c r="FM156" i="5" s="1"/>
  <c r="FM155" i="5" s="1"/>
  <c r="FM154" i="5" s="1"/>
  <c r="FM153" i="5" s="1"/>
  <c r="FM152" i="5" s="1"/>
  <c r="FM151" i="5" s="1"/>
  <c r="FM150" i="5" s="1"/>
  <c r="FM149" i="5" s="1"/>
  <c r="FM148" i="5" s="1"/>
  <c r="FM147" i="5" s="1"/>
  <c r="FM146" i="5" s="1"/>
  <c r="FM145" i="5" s="1"/>
  <c r="FM144" i="5" s="1"/>
  <c r="FM143" i="5" s="1"/>
  <c r="FM142" i="5" s="1"/>
  <c r="FM141" i="5" s="1"/>
  <c r="FM140" i="5" s="1"/>
  <c r="FM139" i="5" s="1"/>
  <c r="FM138" i="5" s="1"/>
  <c r="FM137" i="5" s="1"/>
  <c r="FM136" i="5" s="1"/>
  <c r="FM135" i="5" s="1"/>
  <c r="FM134" i="5" s="1"/>
  <c r="FM133" i="5" s="1"/>
  <c r="FM132" i="5" s="1"/>
  <c r="FM131" i="5" s="1"/>
  <c r="FM130" i="5" s="1"/>
  <c r="FM129" i="5" s="1"/>
  <c r="FM128" i="5" s="1"/>
  <c r="FM127" i="5" s="1"/>
  <c r="FM126" i="5" s="1"/>
  <c r="FM125" i="5" s="1"/>
  <c r="FM124" i="5" s="1"/>
  <c r="FM123" i="5" s="1"/>
  <c r="FM122" i="5" s="1"/>
  <c r="FM121" i="5" s="1"/>
  <c r="FM120" i="5" s="1"/>
  <c r="FM119" i="5" s="1"/>
  <c r="FM118" i="5" s="1"/>
  <c r="FM117" i="5" s="1"/>
  <c r="FM116" i="5" s="1"/>
  <c r="FM115" i="5" s="1"/>
  <c r="FM114" i="5" s="1"/>
  <c r="FM113" i="5" s="1"/>
  <c r="FM112" i="5" s="1"/>
  <c r="FN213" i="5"/>
  <c r="FN212" i="5" s="1"/>
  <c r="FN211" i="5" s="1"/>
  <c r="FN210" i="5" s="1"/>
  <c r="FN209" i="5" s="1"/>
  <c r="FN208" i="5" s="1"/>
  <c r="FN207" i="5" s="1"/>
  <c r="FN206" i="5" s="1"/>
  <c r="FN205" i="5" s="1"/>
  <c r="FN204" i="5" s="1"/>
  <c r="FN203" i="5" s="1"/>
  <c r="FN202" i="5" s="1"/>
  <c r="FN201" i="5" s="1"/>
  <c r="FN200" i="5" s="1"/>
  <c r="FN199" i="5" s="1"/>
  <c r="FN198" i="5" s="1"/>
  <c r="FN197" i="5" s="1"/>
  <c r="FN196" i="5" s="1"/>
  <c r="FN195" i="5" s="1"/>
  <c r="FN194" i="5" s="1"/>
  <c r="FN193" i="5" s="1"/>
  <c r="FN192" i="5" s="1"/>
  <c r="FN191" i="5" s="1"/>
  <c r="FN190" i="5" s="1"/>
  <c r="FN189" i="5" s="1"/>
  <c r="FN188" i="5" s="1"/>
  <c r="FN187" i="5" s="1"/>
  <c r="FN186" i="5" s="1"/>
  <c r="FN185" i="5" s="1"/>
  <c r="FN184" i="5" s="1"/>
  <c r="FN183" i="5" s="1"/>
  <c r="FN182" i="5" s="1"/>
  <c r="FN181" i="5" s="1"/>
  <c r="FN180" i="5" s="1"/>
  <c r="FN179" i="5" s="1"/>
  <c r="FN178" i="5" s="1"/>
  <c r="FN177" i="5" s="1"/>
  <c r="FN176" i="5" s="1"/>
  <c r="FN175" i="5" s="1"/>
  <c r="FN174" i="5" s="1"/>
  <c r="FN173" i="5" s="1"/>
  <c r="FN172" i="5" s="1"/>
  <c r="FN171" i="5" s="1"/>
  <c r="FN170" i="5" s="1"/>
  <c r="FN169" i="5" s="1"/>
  <c r="FN168" i="5" s="1"/>
  <c r="FN167" i="5" s="1"/>
  <c r="FN166" i="5" s="1"/>
  <c r="FN165" i="5" s="1"/>
  <c r="FN164" i="5" s="1"/>
  <c r="FN163" i="5" s="1"/>
  <c r="FN162" i="5" s="1"/>
  <c r="FN161" i="5" s="1"/>
  <c r="FN160" i="5" s="1"/>
  <c r="FN159" i="5" s="1"/>
  <c r="FN158" i="5" s="1"/>
  <c r="FN157" i="5" s="1"/>
  <c r="FN156" i="5" s="1"/>
  <c r="FN155" i="5" s="1"/>
  <c r="FN154" i="5" s="1"/>
  <c r="FN153" i="5" s="1"/>
  <c r="FN152" i="5" s="1"/>
  <c r="FN151" i="5" s="1"/>
  <c r="FN150" i="5" s="1"/>
  <c r="FN149" i="5" s="1"/>
  <c r="FN148" i="5" s="1"/>
  <c r="FN147" i="5" s="1"/>
  <c r="FN146" i="5" s="1"/>
  <c r="FN145" i="5" s="1"/>
  <c r="FN144" i="5" s="1"/>
  <c r="FN143" i="5" s="1"/>
  <c r="FN142" i="5" s="1"/>
  <c r="FN141" i="5" s="1"/>
  <c r="FN140" i="5" s="1"/>
  <c r="FN139" i="5" s="1"/>
  <c r="FN138" i="5" s="1"/>
  <c r="FN137" i="5" s="1"/>
  <c r="FN136" i="5" s="1"/>
  <c r="FN135" i="5" s="1"/>
  <c r="FN134" i="5" s="1"/>
  <c r="FN133" i="5" s="1"/>
  <c r="FN132" i="5" s="1"/>
  <c r="FN131" i="5" s="1"/>
  <c r="FN130" i="5" s="1"/>
  <c r="FN129" i="5" s="1"/>
  <c r="FN128" i="5" s="1"/>
  <c r="FN127" i="5" s="1"/>
  <c r="FN126" i="5" s="1"/>
  <c r="FN125" i="5" s="1"/>
  <c r="FN124" i="5" s="1"/>
  <c r="FN123" i="5" s="1"/>
  <c r="FN122" i="5" s="1"/>
  <c r="FN121" i="5" s="1"/>
  <c r="FN120" i="5" s="1"/>
  <c r="FN119" i="5" s="1"/>
  <c r="FN118" i="5" s="1"/>
  <c r="FN117" i="5" s="1"/>
  <c r="FN116" i="5" s="1"/>
  <c r="FN115" i="5" s="1"/>
  <c r="FN114" i="5" s="1"/>
  <c r="FN113" i="5" s="1"/>
  <c r="FN112" i="5" s="1"/>
  <c r="FO213" i="5"/>
  <c r="FO212" i="5" s="1"/>
  <c r="FO211" i="5" s="1"/>
  <c r="FO210" i="5" s="1"/>
  <c r="FO209" i="5" s="1"/>
  <c r="FO208" i="5" s="1"/>
  <c r="FO207" i="5" s="1"/>
  <c r="FO206" i="5" s="1"/>
  <c r="FO205" i="5" s="1"/>
  <c r="FO204" i="5" s="1"/>
  <c r="FO203" i="5" s="1"/>
  <c r="FO202" i="5" s="1"/>
  <c r="FO201" i="5" s="1"/>
  <c r="FO200" i="5" s="1"/>
  <c r="FO199" i="5" s="1"/>
  <c r="FO198" i="5" s="1"/>
  <c r="FO197" i="5" s="1"/>
  <c r="FO196" i="5" s="1"/>
  <c r="FO195" i="5" s="1"/>
  <c r="FO194" i="5" s="1"/>
  <c r="FO193" i="5" s="1"/>
  <c r="FO192" i="5" s="1"/>
  <c r="FO191" i="5" s="1"/>
  <c r="FO190" i="5" s="1"/>
  <c r="FO189" i="5" s="1"/>
  <c r="FO188" i="5" s="1"/>
  <c r="FO187" i="5" s="1"/>
  <c r="FO186" i="5" s="1"/>
  <c r="FO185" i="5" s="1"/>
  <c r="FO184" i="5" s="1"/>
  <c r="FO183" i="5" s="1"/>
  <c r="FO182" i="5" s="1"/>
  <c r="FO181" i="5" s="1"/>
  <c r="FO180" i="5" s="1"/>
  <c r="FO179" i="5" s="1"/>
  <c r="FO178" i="5" s="1"/>
  <c r="FO177" i="5" s="1"/>
  <c r="FO176" i="5" s="1"/>
  <c r="FO175" i="5" s="1"/>
  <c r="FO174" i="5" s="1"/>
  <c r="FO173" i="5" s="1"/>
  <c r="FO172" i="5" s="1"/>
  <c r="FO171" i="5" s="1"/>
  <c r="FO170" i="5" s="1"/>
  <c r="FO169" i="5" s="1"/>
  <c r="FO168" i="5" s="1"/>
  <c r="FO167" i="5" s="1"/>
  <c r="FO166" i="5" s="1"/>
  <c r="FO165" i="5" s="1"/>
  <c r="FO164" i="5" s="1"/>
  <c r="FO163" i="5" s="1"/>
  <c r="FO162" i="5" s="1"/>
  <c r="FO161" i="5" s="1"/>
  <c r="FO160" i="5" s="1"/>
  <c r="FO159" i="5" s="1"/>
  <c r="FO158" i="5" s="1"/>
  <c r="FO157" i="5" s="1"/>
  <c r="FO156" i="5" s="1"/>
  <c r="FO155" i="5" s="1"/>
  <c r="FO154" i="5" s="1"/>
  <c r="FO153" i="5" s="1"/>
  <c r="FO152" i="5" s="1"/>
  <c r="FO151" i="5" s="1"/>
  <c r="FO150" i="5" s="1"/>
  <c r="FO149" i="5" s="1"/>
  <c r="FO148" i="5" s="1"/>
  <c r="FO147" i="5" s="1"/>
  <c r="FO146" i="5" s="1"/>
  <c r="FO145" i="5" s="1"/>
  <c r="FO144" i="5" s="1"/>
  <c r="FO143" i="5" s="1"/>
  <c r="FO142" i="5" s="1"/>
  <c r="FO141" i="5" s="1"/>
  <c r="FO140" i="5" s="1"/>
  <c r="FO139" i="5" s="1"/>
  <c r="FO138" i="5" s="1"/>
  <c r="FO137" i="5" s="1"/>
  <c r="FO136" i="5" s="1"/>
  <c r="FO135" i="5" s="1"/>
  <c r="FO134" i="5" s="1"/>
  <c r="FO133" i="5" s="1"/>
  <c r="FO132" i="5" s="1"/>
  <c r="FO131" i="5" s="1"/>
  <c r="FO130" i="5" s="1"/>
  <c r="FO129" i="5" s="1"/>
  <c r="FO128" i="5" s="1"/>
  <c r="FO127" i="5" s="1"/>
  <c r="FO126" i="5" s="1"/>
  <c r="FO125" i="5" s="1"/>
  <c r="FO124" i="5" s="1"/>
  <c r="FO123" i="5" s="1"/>
  <c r="FO122" i="5" s="1"/>
  <c r="FO121" i="5" s="1"/>
  <c r="FO120" i="5" s="1"/>
  <c r="FO119" i="5" s="1"/>
  <c r="FO118" i="5" s="1"/>
  <c r="FO117" i="5" s="1"/>
  <c r="FO116" i="5" s="1"/>
  <c r="FO115" i="5" s="1"/>
  <c r="FO114" i="5" s="1"/>
  <c r="FO113" i="5" s="1"/>
  <c r="FO112" i="5" s="1"/>
  <c r="FP213" i="5"/>
  <c r="FP212" i="5" s="1"/>
  <c r="FP211" i="5" s="1"/>
  <c r="FP210" i="5" s="1"/>
  <c r="FP209" i="5" s="1"/>
  <c r="FP208" i="5" s="1"/>
  <c r="FP207" i="5" s="1"/>
  <c r="FP206" i="5" s="1"/>
  <c r="FP205" i="5" s="1"/>
  <c r="FP204" i="5" s="1"/>
  <c r="FP203" i="5" s="1"/>
  <c r="FP202" i="5" s="1"/>
  <c r="FP201" i="5" s="1"/>
  <c r="FP200" i="5" s="1"/>
  <c r="FP199" i="5" s="1"/>
  <c r="FP198" i="5" s="1"/>
  <c r="FP197" i="5" s="1"/>
  <c r="FP196" i="5" s="1"/>
  <c r="FP195" i="5" s="1"/>
  <c r="FP194" i="5" s="1"/>
  <c r="FP193" i="5" s="1"/>
  <c r="FP192" i="5" s="1"/>
  <c r="FP191" i="5" s="1"/>
  <c r="FP190" i="5" s="1"/>
  <c r="FP189" i="5" s="1"/>
  <c r="FP188" i="5" s="1"/>
  <c r="FP187" i="5" s="1"/>
  <c r="FP186" i="5" s="1"/>
  <c r="FP185" i="5" s="1"/>
  <c r="FP184" i="5" s="1"/>
  <c r="FP183" i="5" s="1"/>
  <c r="FP182" i="5" s="1"/>
  <c r="FP181" i="5" s="1"/>
  <c r="FP180" i="5" s="1"/>
  <c r="FP179" i="5" s="1"/>
  <c r="FP178" i="5" s="1"/>
  <c r="FP177" i="5" s="1"/>
  <c r="FP176" i="5" s="1"/>
  <c r="FP175" i="5" s="1"/>
  <c r="FP174" i="5" s="1"/>
  <c r="FP173" i="5" s="1"/>
  <c r="FP172" i="5" s="1"/>
  <c r="FP171" i="5" s="1"/>
  <c r="FP170" i="5" s="1"/>
  <c r="FP169" i="5" s="1"/>
  <c r="FP168" i="5" s="1"/>
  <c r="FP167" i="5" s="1"/>
  <c r="FP166" i="5" s="1"/>
  <c r="FP165" i="5" s="1"/>
  <c r="FP164" i="5" s="1"/>
  <c r="FP163" i="5" s="1"/>
  <c r="FP162" i="5" s="1"/>
  <c r="FP161" i="5" s="1"/>
  <c r="FP160" i="5" s="1"/>
  <c r="FP159" i="5" s="1"/>
  <c r="FP158" i="5" s="1"/>
  <c r="FP157" i="5" s="1"/>
  <c r="FP156" i="5" s="1"/>
  <c r="FP155" i="5" s="1"/>
  <c r="FP154" i="5" s="1"/>
  <c r="FP153" i="5" s="1"/>
  <c r="FP152" i="5" s="1"/>
  <c r="FP151" i="5" s="1"/>
  <c r="FP150" i="5" s="1"/>
  <c r="FP149" i="5" s="1"/>
  <c r="FP148" i="5" s="1"/>
  <c r="FP147" i="5" s="1"/>
  <c r="FP146" i="5" s="1"/>
  <c r="FP145" i="5" s="1"/>
  <c r="FP144" i="5" s="1"/>
  <c r="FP143" i="5" s="1"/>
  <c r="FP142" i="5" s="1"/>
  <c r="FP141" i="5" s="1"/>
  <c r="FP140" i="5" s="1"/>
  <c r="FP139" i="5" s="1"/>
  <c r="FP138" i="5" s="1"/>
  <c r="FP137" i="5" s="1"/>
  <c r="FP136" i="5" s="1"/>
  <c r="FP135" i="5" s="1"/>
  <c r="FP134" i="5" s="1"/>
  <c r="FP133" i="5" s="1"/>
  <c r="FP132" i="5" s="1"/>
  <c r="FP131" i="5" s="1"/>
  <c r="FP130" i="5" s="1"/>
  <c r="FP129" i="5" s="1"/>
  <c r="FP128" i="5" s="1"/>
  <c r="FP127" i="5" s="1"/>
  <c r="FP126" i="5" s="1"/>
  <c r="FP125" i="5" s="1"/>
  <c r="FP124" i="5" s="1"/>
  <c r="FP123" i="5" s="1"/>
  <c r="FP122" i="5" s="1"/>
  <c r="FP121" i="5" s="1"/>
  <c r="FP120" i="5" s="1"/>
  <c r="FP119" i="5" s="1"/>
  <c r="FP118" i="5" s="1"/>
  <c r="FP117" i="5" s="1"/>
  <c r="FP116" i="5" s="1"/>
  <c r="FP115" i="5" s="1"/>
  <c r="FP114" i="5" s="1"/>
  <c r="FP113" i="5" s="1"/>
  <c r="FP112" i="5" s="1"/>
  <c r="FQ213" i="5"/>
  <c r="FQ212" i="5" s="1"/>
  <c r="FQ211" i="5" s="1"/>
  <c r="FQ210" i="5" s="1"/>
  <c r="FQ209" i="5" s="1"/>
  <c r="FQ208" i="5" s="1"/>
  <c r="FQ207" i="5" s="1"/>
  <c r="FQ206" i="5" s="1"/>
  <c r="FQ205" i="5" s="1"/>
  <c r="FQ204" i="5" s="1"/>
  <c r="FQ203" i="5" s="1"/>
  <c r="FQ202" i="5" s="1"/>
  <c r="FQ201" i="5" s="1"/>
  <c r="FQ200" i="5" s="1"/>
  <c r="FQ199" i="5" s="1"/>
  <c r="FQ198" i="5" s="1"/>
  <c r="FQ197" i="5" s="1"/>
  <c r="FQ196" i="5" s="1"/>
  <c r="FQ195" i="5" s="1"/>
  <c r="FQ194" i="5" s="1"/>
  <c r="FQ193" i="5" s="1"/>
  <c r="FQ192" i="5" s="1"/>
  <c r="FQ191" i="5" s="1"/>
  <c r="FQ190" i="5" s="1"/>
  <c r="FQ189" i="5" s="1"/>
  <c r="FQ188" i="5" s="1"/>
  <c r="FQ187" i="5" s="1"/>
  <c r="FQ186" i="5" s="1"/>
  <c r="FQ185" i="5" s="1"/>
  <c r="FQ184" i="5" s="1"/>
  <c r="FQ183" i="5" s="1"/>
  <c r="FQ182" i="5" s="1"/>
  <c r="FQ181" i="5" s="1"/>
  <c r="FQ180" i="5" s="1"/>
  <c r="FQ179" i="5" s="1"/>
  <c r="FQ178" i="5" s="1"/>
  <c r="FQ177" i="5" s="1"/>
  <c r="FQ176" i="5" s="1"/>
  <c r="FQ175" i="5" s="1"/>
  <c r="FQ174" i="5" s="1"/>
  <c r="FQ173" i="5" s="1"/>
  <c r="FQ172" i="5" s="1"/>
  <c r="FQ171" i="5" s="1"/>
  <c r="FQ170" i="5" s="1"/>
  <c r="FQ169" i="5" s="1"/>
  <c r="FQ168" i="5" s="1"/>
  <c r="FQ167" i="5" s="1"/>
  <c r="FQ166" i="5" s="1"/>
  <c r="FQ165" i="5" s="1"/>
  <c r="FQ164" i="5" s="1"/>
  <c r="FQ163" i="5" s="1"/>
  <c r="FQ162" i="5" s="1"/>
  <c r="FQ161" i="5" s="1"/>
  <c r="FQ160" i="5" s="1"/>
  <c r="FQ159" i="5" s="1"/>
  <c r="FQ158" i="5" s="1"/>
  <c r="FQ157" i="5" s="1"/>
  <c r="FQ156" i="5" s="1"/>
  <c r="FQ155" i="5" s="1"/>
  <c r="FQ154" i="5" s="1"/>
  <c r="FQ153" i="5" s="1"/>
  <c r="FQ152" i="5" s="1"/>
  <c r="FQ151" i="5" s="1"/>
  <c r="FQ150" i="5" s="1"/>
  <c r="FQ149" i="5" s="1"/>
  <c r="FQ148" i="5" s="1"/>
  <c r="FQ147" i="5" s="1"/>
  <c r="FQ146" i="5" s="1"/>
  <c r="FQ145" i="5" s="1"/>
  <c r="FQ144" i="5" s="1"/>
  <c r="FQ143" i="5" s="1"/>
  <c r="FQ142" i="5" s="1"/>
  <c r="FQ141" i="5" s="1"/>
  <c r="FQ140" i="5" s="1"/>
  <c r="FQ139" i="5" s="1"/>
  <c r="FQ138" i="5" s="1"/>
  <c r="FQ137" i="5" s="1"/>
  <c r="FQ136" i="5" s="1"/>
  <c r="FQ135" i="5" s="1"/>
  <c r="FQ134" i="5" s="1"/>
  <c r="FQ133" i="5" s="1"/>
  <c r="FQ132" i="5" s="1"/>
  <c r="FQ131" i="5" s="1"/>
  <c r="FQ130" i="5" s="1"/>
  <c r="FQ129" i="5" s="1"/>
  <c r="FQ128" i="5" s="1"/>
  <c r="FQ127" i="5" s="1"/>
  <c r="FQ126" i="5" s="1"/>
  <c r="FQ125" i="5" s="1"/>
  <c r="FQ124" i="5" s="1"/>
  <c r="FQ123" i="5" s="1"/>
  <c r="FQ122" i="5" s="1"/>
  <c r="FQ121" i="5" s="1"/>
  <c r="FQ120" i="5" s="1"/>
  <c r="FQ119" i="5" s="1"/>
  <c r="FQ118" i="5" s="1"/>
  <c r="FQ117" i="5" s="1"/>
  <c r="FQ116" i="5" s="1"/>
  <c r="FQ115" i="5" s="1"/>
  <c r="FQ114" i="5" s="1"/>
  <c r="FQ113" i="5" s="1"/>
  <c r="FQ112" i="5" s="1"/>
  <c r="FR213" i="5"/>
  <c r="FR212" i="5" s="1"/>
  <c r="FR211" i="5" s="1"/>
  <c r="FR210" i="5" s="1"/>
  <c r="FR209" i="5" s="1"/>
  <c r="FR208" i="5" s="1"/>
  <c r="FR207" i="5" s="1"/>
  <c r="FR206" i="5" s="1"/>
  <c r="FR205" i="5" s="1"/>
  <c r="FR204" i="5" s="1"/>
  <c r="FR203" i="5" s="1"/>
  <c r="FR202" i="5" s="1"/>
  <c r="FR201" i="5" s="1"/>
  <c r="FR200" i="5" s="1"/>
  <c r="FR199" i="5" s="1"/>
  <c r="FR198" i="5" s="1"/>
  <c r="FR197" i="5" s="1"/>
  <c r="FR196" i="5" s="1"/>
  <c r="FR195" i="5" s="1"/>
  <c r="FR194" i="5" s="1"/>
  <c r="FR193" i="5" s="1"/>
  <c r="FR192" i="5" s="1"/>
  <c r="FR191" i="5" s="1"/>
  <c r="FR190" i="5" s="1"/>
  <c r="FR189" i="5" s="1"/>
  <c r="FR188" i="5" s="1"/>
  <c r="FR187" i="5" s="1"/>
  <c r="FR186" i="5" s="1"/>
  <c r="FR185" i="5" s="1"/>
  <c r="FR184" i="5" s="1"/>
  <c r="FR183" i="5" s="1"/>
  <c r="FR182" i="5" s="1"/>
  <c r="FR181" i="5" s="1"/>
  <c r="FR180" i="5" s="1"/>
  <c r="FR179" i="5" s="1"/>
  <c r="FR178" i="5" s="1"/>
  <c r="FR177" i="5" s="1"/>
  <c r="FR176" i="5" s="1"/>
  <c r="FR175" i="5" s="1"/>
  <c r="FR174" i="5" s="1"/>
  <c r="FR173" i="5" s="1"/>
  <c r="FR172" i="5" s="1"/>
  <c r="FR171" i="5" s="1"/>
  <c r="FR170" i="5" s="1"/>
  <c r="FR169" i="5" s="1"/>
  <c r="FR168" i="5" s="1"/>
  <c r="FR167" i="5" s="1"/>
  <c r="FR166" i="5" s="1"/>
  <c r="FR165" i="5" s="1"/>
  <c r="FR164" i="5" s="1"/>
  <c r="FR163" i="5" s="1"/>
  <c r="FR162" i="5" s="1"/>
  <c r="FR161" i="5" s="1"/>
  <c r="FR160" i="5" s="1"/>
  <c r="FR159" i="5" s="1"/>
  <c r="FR158" i="5" s="1"/>
  <c r="FR157" i="5" s="1"/>
  <c r="FR156" i="5" s="1"/>
  <c r="FR155" i="5" s="1"/>
  <c r="FR154" i="5" s="1"/>
  <c r="FR153" i="5" s="1"/>
  <c r="FR152" i="5" s="1"/>
  <c r="FR151" i="5" s="1"/>
  <c r="FR150" i="5" s="1"/>
  <c r="FR149" i="5" s="1"/>
  <c r="FR148" i="5" s="1"/>
  <c r="FR147" i="5" s="1"/>
  <c r="FR146" i="5" s="1"/>
  <c r="FR145" i="5" s="1"/>
  <c r="FR144" i="5" s="1"/>
  <c r="FR143" i="5" s="1"/>
  <c r="FR142" i="5" s="1"/>
  <c r="FR141" i="5" s="1"/>
  <c r="FR140" i="5" s="1"/>
  <c r="FR139" i="5" s="1"/>
  <c r="FR138" i="5" s="1"/>
  <c r="FR137" i="5" s="1"/>
  <c r="FR136" i="5" s="1"/>
  <c r="FR135" i="5" s="1"/>
  <c r="FR134" i="5" s="1"/>
  <c r="FR133" i="5" s="1"/>
  <c r="FR132" i="5" s="1"/>
  <c r="FR131" i="5" s="1"/>
  <c r="FR130" i="5" s="1"/>
  <c r="FR129" i="5" s="1"/>
  <c r="FR128" i="5" s="1"/>
  <c r="FR127" i="5" s="1"/>
  <c r="FR126" i="5" s="1"/>
  <c r="FR125" i="5" s="1"/>
  <c r="FR124" i="5" s="1"/>
  <c r="FR123" i="5" s="1"/>
  <c r="FR122" i="5" s="1"/>
  <c r="FR121" i="5" s="1"/>
  <c r="FR120" i="5" s="1"/>
  <c r="FR119" i="5" s="1"/>
  <c r="FR118" i="5" s="1"/>
  <c r="FR117" i="5" s="1"/>
  <c r="FR116" i="5" s="1"/>
  <c r="FR115" i="5" s="1"/>
  <c r="FR114" i="5" s="1"/>
  <c r="FR113" i="5" s="1"/>
  <c r="FR112" i="5" s="1"/>
  <c r="FS213" i="5"/>
  <c r="FS212" i="5" s="1"/>
  <c r="FS211" i="5" s="1"/>
  <c r="FS210" i="5" s="1"/>
  <c r="FS209" i="5" s="1"/>
  <c r="FS208" i="5" s="1"/>
  <c r="FS207" i="5" s="1"/>
  <c r="FS206" i="5" s="1"/>
  <c r="FS205" i="5" s="1"/>
  <c r="FS204" i="5" s="1"/>
  <c r="FS203" i="5" s="1"/>
  <c r="FS202" i="5" s="1"/>
  <c r="FS201" i="5" s="1"/>
  <c r="FS200" i="5" s="1"/>
  <c r="FS199" i="5" s="1"/>
  <c r="FS198" i="5" s="1"/>
  <c r="FS197" i="5" s="1"/>
  <c r="FS196" i="5" s="1"/>
  <c r="FS195" i="5" s="1"/>
  <c r="FS194" i="5" s="1"/>
  <c r="FS193" i="5" s="1"/>
  <c r="FS192" i="5" s="1"/>
  <c r="FS191" i="5" s="1"/>
  <c r="FS190" i="5" s="1"/>
  <c r="FS189" i="5" s="1"/>
  <c r="FS188" i="5" s="1"/>
  <c r="FS187" i="5" s="1"/>
  <c r="FS186" i="5" s="1"/>
  <c r="FS185" i="5" s="1"/>
  <c r="FS184" i="5" s="1"/>
  <c r="FS183" i="5" s="1"/>
  <c r="FS182" i="5" s="1"/>
  <c r="FS181" i="5" s="1"/>
  <c r="FS180" i="5" s="1"/>
  <c r="FS179" i="5" s="1"/>
  <c r="FS178" i="5" s="1"/>
  <c r="FS177" i="5" s="1"/>
  <c r="FS176" i="5" s="1"/>
  <c r="FS175" i="5" s="1"/>
  <c r="FS174" i="5" s="1"/>
  <c r="FS173" i="5" s="1"/>
  <c r="FS172" i="5" s="1"/>
  <c r="FS171" i="5" s="1"/>
  <c r="FS170" i="5" s="1"/>
  <c r="FS169" i="5" s="1"/>
  <c r="FS168" i="5" s="1"/>
  <c r="FS167" i="5" s="1"/>
  <c r="FS166" i="5" s="1"/>
  <c r="FS165" i="5" s="1"/>
  <c r="FS164" i="5" s="1"/>
  <c r="FS163" i="5" s="1"/>
  <c r="FS162" i="5" s="1"/>
  <c r="FS161" i="5" s="1"/>
  <c r="FS160" i="5" s="1"/>
  <c r="FS159" i="5" s="1"/>
  <c r="FS158" i="5" s="1"/>
  <c r="FS157" i="5" s="1"/>
  <c r="FS156" i="5" s="1"/>
  <c r="FS155" i="5" s="1"/>
  <c r="FS154" i="5" s="1"/>
  <c r="FS153" i="5" s="1"/>
  <c r="FS152" i="5" s="1"/>
  <c r="FS151" i="5" s="1"/>
  <c r="FS150" i="5" s="1"/>
  <c r="FS149" i="5" s="1"/>
  <c r="FS148" i="5" s="1"/>
  <c r="FS147" i="5" s="1"/>
  <c r="FS146" i="5" s="1"/>
  <c r="FS145" i="5" s="1"/>
  <c r="FS144" i="5" s="1"/>
  <c r="FS143" i="5" s="1"/>
  <c r="FS142" i="5" s="1"/>
  <c r="FS141" i="5" s="1"/>
  <c r="FS140" i="5" s="1"/>
  <c r="FS139" i="5" s="1"/>
  <c r="FS138" i="5" s="1"/>
  <c r="FS137" i="5" s="1"/>
  <c r="FS136" i="5" s="1"/>
  <c r="FS135" i="5" s="1"/>
  <c r="FS134" i="5" s="1"/>
  <c r="FS133" i="5" s="1"/>
  <c r="FS132" i="5" s="1"/>
  <c r="FS131" i="5" s="1"/>
  <c r="FS130" i="5" s="1"/>
  <c r="FS129" i="5" s="1"/>
  <c r="FS128" i="5" s="1"/>
  <c r="FS127" i="5" s="1"/>
  <c r="FS126" i="5" s="1"/>
  <c r="FS125" i="5" s="1"/>
  <c r="FS124" i="5" s="1"/>
  <c r="FS123" i="5" s="1"/>
  <c r="FS122" i="5" s="1"/>
  <c r="FS121" i="5" s="1"/>
  <c r="FS120" i="5" s="1"/>
  <c r="FS119" i="5" s="1"/>
  <c r="FS118" i="5" s="1"/>
  <c r="FS117" i="5" s="1"/>
  <c r="FS116" i="5" s="1"/>
  <c r="FS115" i="5" s="1"/>
  <c r="FS114" i="5" s="1"/>
  <c r="FS113" i="5" s="1"/>
  <c r="FS112" i="5" s="1"/>
  <c r="FT213" i="5"/>
  <c r="FT212" i="5" s="1"/>
  <c r="FT211" i="5" s="1"/>
  <c r="FT210" i="5" s="1"/>
  <c r="FT209" i="5" s="1"/>
  <c r="FT208" i="5" s="1"/>
  <c r="FT207" i="5" s="1"/>
  <c r="FT206" i="5" s="1"/>
  <c r="FT205" i="5" s="1"/>
  <c r="FT204" i="5" s="1"/>
  <c r="FT203" i="5" s="1"/>
  <c r="FT202" i="5" s="1"/>
  <c r="FT201" i="5" s="1"/>
  <c r="FT200" i="5" s="1"/>
  <c r="FT199" i="5" s="1"/>
  <c r="FT198" i="5" s="1"/>
  <c r="FT197" i="5" s="1"/>
  <c r="FT196" i="5" s="1"/>
  <c r="FT195" i="5" s="1"/>
  <c r="FT194" i="5" s="1"/>
  <c r="FT193" i="5" s="1"/>
  <c r="FT192" i="5" s="1"/>
  <c r="FT191" i="5" s="1"/>
  <c r="FT190" i="5" s="1"/>
  <c r="FT189" i="5" s="1"/>
  <c r="FT188" i="5" s="1"/>
  <c r="FT187" i="5" s="1"/>
  <c r="FT186" i="5" s="1"/>
  <c r="FT185" i="5" s="1"/>
  <c r="FT184" i="5" s="1"/>
  <c r="FT183" i="5" s="1"/>
  <c r="FT182" i="5" s="1"/>
  <c r="FT181" i="5" s="1"/>
  <c r="FT180" i="5" s="1"/>
  <c r="FT179" i="5" s="1"/>
  <c r="FT178" i="5" s="1"/>
  <c r="FT177" i="5" s="1"/>
  <c r="FT176" i="5" s="1"/>
  <c r="FT175" i="5" s="1"/>
  <c r="FT174" i="5" s="1"/>
  <c r="FT173" i="5" s="1"/>
  <c r="FT172" i="5" s="1"/>
  <c r="FT171" i="5" s="1"/>
  <c r="FT170" i="5" s="1"/>
  <c r="FT169" i="5" s="1"/>
  <c r="FT168" i="5" s="1"/>
  <c r="FT167" i="5" s="1"/>
  <c r="FT166" i="5" s="1"/>
  <c r="FT165" i="5" s="1"/>
  <c r="FT164" i="5" s="1"/>
  <c r="FT163" i="5" s="1"/>
  <c r="FT162" i="5" s="1"/>
  <c r="FT161" i="5" s="1"/>
  <c r="FT160" i="5" s="1"/>
  <c r="FT159" i="5" s="1"/>
  <c r="FT158" i="5" s="1"/>
  <c r="FT157" i="5" s="1"/>
  <c r="FT156" i="5" s="1"/>
  <c r="FT155" i="5" s="1"/>
  <c r="FT154" i="5" s="1"/>
  <c r="FT153" i="5" s="1"/>
  <c r="FT152" i="5" s="1"/>
  <c r="FT151" i="5" s="1"/>
  <c r="FT150" i="5" s="1"/>
  <c r="FT149" i="5" s="1"/>
  <c r="FT148" i="5" s="1"/>
  <c r="FT147" i="5" s="1"/>
  <c r="FT146" i="5" s="1"/>
  <c r="FT145" i="5" s="1"/>
  <c r="FT144" i="5" s="1"/>
  <c r="FT143" i="5" s="1"/>
  <c r="FT142" i="5" s="1"/>
  <c r="FT141" i="5" s="1"/>
  <c r="FT140" i="5" s="1"/>
  <c r="FT139" i="5" s="1"/>
  <c r="FT138" i="5" s="1"/>
  <c r="FT137" i="5" s="1"/>
  <c r="FT136" i="5" s="1"/>
  <c r="FT135" i="5" s="1"/>
  <c r="FT134" i="5" s="1"/>
  <c r="FT133" i="5" s="1"/>
  <c r="FT132" i="5" s="1"/>
  <c r="FT131" i="5" s="1"/>
  <c r="FT130" i="5" s="1"/>
  <c r="FT129" i="5" s="1"/>
  <c r="FT128" i="5" s="1"/>
  <c r="FT127" i="5" s="1"/>
  <c r="FT126" i="5" s="1"/>
  <c r="FT125" i="5" s="1"/>
  <c r="FT124" i="5" s="1"/>
  <c r="FT123" i="5" s="1"/>
  <c r="FT122" i="5" s="1"/>
  <c r="FT121" i="5" s="1"/>
  <c r="FT120" i="5" s="1"/>
  <c r="FT119" i="5" s="1"/>
  <c r="FT118" i="5" s="1"/>
  <c r="FT117" i="5" s="1"/>
  <c r="FT116" i="5" s="1"/>
  <c r="FT115" i="5" s="1"/>
  <c r="FT114" i="5" s="1"/>
  <c r="FT113" i="5" s="1"/>
  <c r="FT112" i="5" s="1"/>
  <c r="FU213" i="5"/>
  <c r="FU212" i="5" s="1"/>
  <c r="FU211" i="5" s="1"/>
  <c r="FU210" i="5" s="1"/>
  <c r="FU209" i="5" s="1"/>
  <c r="FU208" i="5" s="1"/>
  <c r="FU207" i="5" s="1"/>
  <c r="FU206" i="5" s="1"/>
  <c r="FU205" i="5" s="1"/>
  <c r="FU204" i="5" s="1"/>
  <c r="FU203" i="5" s="1"/>
  <c r="FU202" i="5" s="1"/>
  <c r="FU201" i="5" s="1"/>
  <c r="FU200" i="5" s="1"/>
  <c r="FU199" i="5" s="1"/>
  <c r="FU198" i="5" s="1"/>
  <c r="FU197" i="5" s="1"/>
  <c r="FU196" i="5" s="1"/>
  <c r="FU195" i="5" s="1"/>
  <c r="FU194" i="5" s="1"/>
  <c r="FU193" i="5" s="1"/>
  <c r="FU192" i="5" s="1"/>
  <c r="FU191" i="5" s="1"/>
  <c r="FU190" i="5" s="1"/>
  <c r="FU189" i="5" s="1"/>
  <c r="FU188" i="5" s="1"/>
  <c r="FU187" i="5" s="1"/>
  <c r="FU186" i="5" s="1"/>
  <c r="FU185" i="5" s="1"/>
  <c r="FU184" i="5" s="1"/>
  <c r="FU183" i="5" s="1"/>
  <c r="FU182" i="5" s="1"/>
  <c r="FU181" i="5" s="1"/>
  <c r="FU180" i="5" s="1"/>
  <c r="FU179" i="5" s="1"/>
  <c r="FU178" i="5" s="1"/>
  <c r="FU177" i="5" s="1"/>
  <c r="FU176" i="5" s="1"/>
  <c r="FU175" i="5" s="1"/>
  <c r="FU174" i="5" s="1"/>
  <c r="FU173" i="5" s="1"/>
  <c r="FU172" i="5" s="1"/>
  <c r="FU171" i="5" s="1"/>
  <c r="FU170" i="5" s="1"/>
  <c r="FU169" i="5" s="1"/>
  <c r="FU168" i="5" s="1"/>
  <c r="FU167" i="5" s="1"/>
  <c r="FU166" i="5" s="1"/>
  <c r="FU165" i="5" s="1"/>
  <c r="FU164" i="5" s="1"/>
  <c r="FU163" i="5" s="1"/>
  <c r="FU162" i="5" s="1"/>
  <c r="FU161" i="5" s="1"/>
  <c r="FU160" i="5" s="1"/>
  <c r="FU159" i="5" s="1"/>
  <c r="FU158" i="5" s="1"/>
  <c r="FU157" i="5" s="1"/>
  <c r="FU156" i="5" s="1"/>
  <c r="FU155" i="5" s="1"/>
  <c r="FU154" i="5" s="1"/>
  <c r="FU153" i="5" s="1"/>
  <c r="FU152" i="5" s="1"/>
  <c r="FU151" i="5" s="1"/>
  <c r="FU150" i="5" s="1"/>
  <c r="FU149" i="5" s="1"/>
  <c r="FU148" i="5" s="1"/>
  <c r="FU147" i="5" s="1"/>
  <c r="FU146" i="5" s="1"/>
  <c r="FU145" i="5" s="1"/>
  <c r="FU144" i="5" s="1"/>
  <c r="FU143" i="5" s="1"/>
  <c r="FU142" i="5" s="1"/>
  <c r="FU141" i="5" s="1"/>
  <c r="FU140" i="5" s="1"/>
  <c r="FU139" i="5" s="1"/>
  <c r="FU138" i="5" s="1"/>
  <c r="FU137" i="5" s="1"/>
  <c r="FU136" i="5" s="1"/>
  <c r="FU135" i="5" s="1"/>
  <c r="FU134" i="5" s="1"/>
  <c r="FU133" i="5" s="1"/>
  <c r="FU132" i="5" s="1"/>
  <c r="FU131" i="5" s="1"/>
  <c r="FU130" i="5" s="1"/>
  <c r="FU129" i="5" s="1"/>
  <c r="FU128" i="5" s="1"/>
  <c r="FU127" i="5" s="1"/>
  <c r="FU126" i="5" s="1"/>
  <c r="FU125" i="5" s="1"/>
  <c r="FU124" i="5" s="1"/>
  <c r="FU123" i="5" s="1"/>
  <c r="FU122" i="5" s="1"/>
  <c r="FU121" i="5" s="1"/>
  <c r="FU120" i="5" s="1"/>
  <c r="FU119" i="5" s="1"/>
  <c r="FU118" i="5" s="1"/>
  <c r="FU117" i="5" s="1"/>
  <c r="FU116" i="5" s="1"/>
  <c r="FU115" i="5" s="1"/>
  <c r="FU114" i="5" s="1"/>
  <c r="FU113" i="5" s="1"/>
  <c r="FU112" i="5" s="1"/>
  <c r="FV213" i="5"/>
  <c r="FV212" i="5" s="1"/>
  <c r="FV211" i="5" s="1"/>
  <c r="FV210" i="5" s="1"/>
  <c r="FV209" i="5" s="1"/>
  <c r="FV208" i="5" s="1"/>
  <c r="FV207" i="5" s="1"/>
  <c r="FV206" i="5" s="1"/>
  <c r="FV205" i="5" s="1"/>
  <c r="FV204" i="5" s="1"/>
  <c r="FV203" i="5" s="1"/>
  <c r="FV202" i="5" s="1"/>
  <c r="FV201" i="5" s="1"/>
  <c r="FV200" i="5" s="1"/>
  <c r="FV199" i="5" s="1"/>
  <c r="FV198" i="5" s="1"/>
  <c r="FV197" i="5" s="1"/>
  <c r="FV196" i="5" s="1"/>
  <c r="FV195" i="5" s="1"/>
  <c r="FV194" i="5" s="1"/>
  <c r="FV193" i="5" s="1"/>
  <c r="FV192" i="5" s="1"/>
  <c r="FV191" i="5" s="1"/>
  <c r="FV190" i="5" s="1"/>
  <c r="FV189" i="5" s="1"/>
  <c r="FV188" i="5" s="1"/>
  <c r="FV187" i="5" s="1"/>
  <c r="FV186" i="5" s="1"/>
  <c r="FV185" i="5" s="1"/>
  <c r="FV184" i="5" s="1"/>
  <c r="FV183" i="5" s="1"/>
  <c r="FV182" i="5" s="1"/>
  <c r="FV181" i="5" s="1"/>
  <c r="FV180" i="5" s="1"/>
  <c r="FV179" i="5" s="1"/>
  <c r="FV178" i="5" s="1"/>
  <c r="FV177" i="5" s="1"/>
  <c r="FV176" i="5" s="1"/>
  <c r="FV175" i="5" s="1"/>
  <c r="FV174" i="5" s="1"/>
  <c r="FV173" i="5" s="1"/>
  <c r="FV172" i="5" s="1"/>
  <c r="FV171" i="5" s="1"/>
  <c r="FV170" i="5" s="1"/>
  <c r="FV169" i="5" s="1"/>
  <c r="FV168" i="5" s="1"/>
  <c r="FV167" i="5" s="1"/>
  <c r="FV166" i="5" s="1"/>
  <c r="FV165" i="5" s="1"/>
  <c r="FV164" i="5" s="1"/>
  <c r="FV163" i="5" s="1"/>
  <c r="FV162" i="5" s="1"/>
  <c r="FV161" i="5" s="1"/>
  <c r="FV160" i="5" s="1"/>
  <c r="FV159" i="5" s="1"/>
  <c r="FV158" i="5" s="1"/>
  <c r="FV157" i="5" s="1"/>
  <c r="FV156" i="5" s="1"/>
  <c r="FV155" i="5" s="1"/>
  <c r="FV154" i="5" s="1"/>
  <c r="FV153" i="5" s="1"/>
  <c r="FV152" i="5" s="1"/>
  <c r="FV151" i="5" s="1"/>
  <c r="FV150" i="5" s="1"/>
  <c r="FV149" i="5" s="1"/>
  <c r="FV148" i="5" s="1"/>
  <c r="FV147" i="5" s="1"/>
  <c r="FV146" i="5" s="1"/>
  <c r="FV145" i="5" s="1"/>
  <c r="FV144" i="5" s="1"/>
  <c r="FV143" i="5" s="1"/>
  <c r="FV142" i="5" s="1"/>
  <c r="FV141" i="5" s="1"/>
  <c r="FV140" i="5" s="1"/>
  <c r="FV139" i="5" s="1"/>
  <c r="FV138" i="5" s="1"/>
  <c r="FV137" i="5" s="1"/>
  <c r="FV136" i="5" s="1"/>
  <c r="FV135" i="5" s="1"/>
  <c r="FV134" i="5" s="1"/>
  <c r="FV133" i="5" s="1"/>
  <c r="FV132" i="5" s="1"/>
  <c r="FV131" i="5" s="1"/>
  <c r="FV130" i="5" s="1"/>
  <c r="FV129" i="5" s="1"/>
  <c r="FV128" i="5" s="1"/>
  <c r="FV127" i="5" s="1"/>
  <c r="FV126" i="5" s="1"/>
  <c r="FV125" i="5" s="1"/>
  <c r="FV124" i="5" s="1"/>
  <c r="FV123" i="5" s="1"/>
  <c r="FV122" i="5" s="1"/>
  <c r="FV121" i="5" s="1"/>
  <c r="FV120" i="5" s="1"/>
  <c r="FV119" i="5" s="1"/>
  <c r="FV118" i="5" s="1"/>
  <c r="FV117" i="5" s="1"/>
  <c r="FV116" i="5" s="1"/>
  <c r="FV115" i="5" s="1"/>
  <c r="FV114" i="5" s="1"/>
  <c r="FV113" i="5" s="1"/>
  <c r="FV112" i="5" s="1"/>
  <c r="FW213" i="5"/>
  <c r="FW212" i="5" s="1"/>
  <c r="FW211" i="5" s="1"/>
  <c r="FW210" i="5" s="1"/>
  <c r="FW209" i="5" s="1"/>
  <c r="FW208" i="5" s="1"/>
  <c r="FW207" i="5" s="1"/>
  <c r="FW206" i="5" s="1"/>
  <c r="FW205" i="5" s="1"/>
  <c r="FW204" i="5" s="1"/>
  <c r="FW203" i="5" s="1"/>
  <c r="FW202" i="5" s="1"/>
  <c r="FW201" i="5" s="1"/>
  <c r="FW200" i="5" s="1"/>
  <c r="FW199" i="5" s="1"/>
  <c r="FW198" i="5" s="1"/>
  <c r="FW197" i="5" s="1"/>
  <c r="FW196" i="5" s="1"/>
  <c r="FW195" i="5" s="1"/>
  <c r="FW194" i="5" s="1"/>
  <c r="FW193" i="5" s="1"/>
  <c r="FW192" i="5" s="1"/>
  <c r="FW191" i="5" s="1"/>
  <c r="FW190" i="5" s="1"/>
  <c r="FW189" i="5" s="1"/>
  <c r="FW188" i="5" s="1"/>
  <c r="FW187" i="5" s="1"/>
  <c r="FW186" i="5" s="1"/>
  <c r="FW185" i="5" s="1"/>
  <c r="FW184" i="5" s="1"/>
  <c r="FW183" i="5" s="1"/>
  <c r="FW182" i="5" s="1"/>
  <c r="FW181" i="5" s="1"/>
  <c r="FW180" i="5" s="1"/>
  <c r="FW179" i="5" s="1"/>
  <c r="FW178" i="5" s="1"/>
  <c r="FW177" i="5" s="1"/>
  <c r="FW176" i="5" s="1"/>
  <c r="FW175" i="5" s="1"/>
  <c r="FW174" i="5" s="1"/>
  <c r="FW173" i="5" s="1"/>
  <c r="FW172" i="5" s="1"/>
  <c r="FW171" i="5" s="1"/>
  <c r="FW170" i="5" s="1"/>
  <c r="FW169" i="5" s="1"/>
  <c r="FW168" i="5" s="1"/>
  <c r="FW167" i="5" s="1"/>
  <c r="FW166" i="5" s="1"/>
  <c r="FW165" i="5" s="1"/>
  <c r="FW164" i="5" s="1"/>
  <c r="FW163" i="5" s="1"/>
  <c r="FW162" i="5" s="1"/>
  <c r="FW161" i="5" s="1"/>
  <c r="FW160" i="5" s="1"/>
  <c r="FW159" i="5" s="1"/>
  <c r="FW158" i="5" s="1"/>
  <c r="FW157" i="5" s="1"/>
  <c r="FW156" i="5" s="1"/>
  <c r="FW155" i="5" s="1"/>
  <c r="FW154" i="5" s="1"/>
  <c r="FW153" i="5" s="1"/>
  <c r="FW152" i="5" s="1"/>
  <c r="FW151" i="5" s="1"/>
  <c r="FW150" i="5" s="1"/>
  <c r="FW149" i="5" s="1"/>
  <c r="FW148" i="5" s="1"/>
  <c r="FW147" i="5" s="1"/>
  <c r="FW146" i="5" s="1"/>
  <c r="FW145" i="5" s="1"/>
  <c r="FW144" i="5" s="1"/>
  <c r="FW143" i="5" s="1"/>
  <c r="FW142" i="5" s="1"/>
  <c r="FW141" i="5" s="1"/>
  <c r="FW140" i="5" s="1"/>
  <c r="FW139" i="5" s="1"/>
  <c r="FW138" i="5" s="1"/>
  <c r="FW137" i="5" s="1"/>
  <c r="FW136" i="5" s="1"/>
  <c r="FW135" i="5" s="1"/>
  <c r="FW134" i="5" s="1"/>
  <c r="FW133" i="5" s="1"/>
  <c r="FW132" i="5" s="1"/>
  <c r="FW131" i="5" s="1"/>
  <c r="FW130" i="5" s="1"/>
  <c r="FW129" i="5" s="1"/>
  <c r="FW128" i="5" s="1"/>
  <c r="FW127" i="5" s="1"/>
  <c r="FW126" i="5" s="1"/>
  <c r="FW125" i="5" s="1"/>
  <c r="FW124" i="5" s="1"/>
  <c r="FW123" i="5" s="1"/>
  <c r="FW122" i="5" s="1"/>
  <c r="FW121" i="5" s="1"/>
  <c r="FW120" i="5" s="1"/>
  <c r="FW119" i="5" s="1"/>
  <c r="FW118" i="5" s="1"/>
  <c r="FW117" i="5" s="1"/>
  <c r="FW116" i="5" s="1"/>
  <c r="FW115" i="5" s="1"/>
  <c r="FW114" i="5" s="1"/>
  <c r="FW113" i="5" s="1"/>
  <c r="FW112" i="5" s="1"/>
  <c r="FX213" i="5"/>
  <c r="FX212" i="5" s="1"/>
  <c r="FX211" i="5" s="1"/>
  <c r="FX210" i="5" s="1"/>
  <c r="FX209" i="5" s="1"/>
  <c r="FX208" i="5" s="1"/>
  <c r="FX207" i="5" s="1"/>
  <c r="FX206" i="5" s="1"/>
  <c r="FX205" i="5" s="1"/>
  <c r="FX204" i="5" s="1"/>
  <c r="FX203" i="5" s="1"/>
  <c r="FX202" i="5" s="1"/>
  <c r="FX201" i="5" s="1"/>
  <c r="FX200" i="5" s="1"/>
  <c r="FX199" i="5" s="1"/>
  <c r="FX198" i="5" s="1"/>
  <c r="FX197" i="5" s="1"/>
  <c r="FX196" i="5" s="1"/>
  <c r="FX195" i="5" s="1"/>
  <c r="FX194" i="5" s="1"/>
  <c r="FX193" i="5" s="1"/>
  <c r="FX192" i="5" s="1"/>
  <c r="FX191" i="5" s="1"/>
  <c r="FX190" i="5" s="1"/>
  <c r="FX189" i="5" s="1"/>
  <c r="FX188" i="5" s="1"/>
  <c r="FX187" i="5" s="1"/>
  <c r="FX186" i="5" s="1"/>
  <c r="FX185" i="5" s="1"/>
  <c r="FX184" i="5" s="1"/>
  <c r="FX183" i="5" s="1"/>
  <c r="FX182" i="5" s="1"/>
  <c r="FX181" i="5" s="1"/>
  <c r="FX180" i="5" s="1"/>
  <c r="FX179" i="5" s="1"/>
  <c r="FX178" i="5" s="1"/>
  <c r="FX177" i="5" s="1"/>
  <c r="FX176" i="5" s="1"/>
  <c r="FX175" i="5" s="1"/>
  <c r="FX174" i="5" s="1"/>
  <c r="FX173" i="5" s="1"/>
  <c r="FX172" i="5" s="1"/>
  <c r="FX171" i="5" s="1"/>
  <c r="FX170" i="5" s="1"/>
  <c r="FX169" i="5" s="1"/>
  <c r="FX168" i="5" s="1"/>
  <c r="FX167" i="5" s="1"/>
  <c r="FX166" i="5" s="1"/>
  <c r="FX165" i="5" s="1"/>
  <c r="FX164" i="5" s="1"/>
  <c r="FX163" i="5" s="1"/>
  <c r="FX162" i="5" s="1"/>
  <c r="FX161" i="5" s="1"/>
  <c r="FX160" i="5" s="1"/>
  <c r="FX159" i="5" s="1"/>
  <c r="FX158" i="5" s="1"/>
  <c r="FX157" i="5" s="1"/>
  <c r="FX156" i="5" s="1"/>
  <c r="FX155" i="5" s="1"/>
  <c r="FX154" i="5" s="1"/>
  <c r="FX153" i="5" s="1"/>
  <c r="FX152" i="5" s="1"/>
  <c r="FX151" i="5" s="1"/>
  <c r="FX150" i="5" s="1"/>
  <c r="FX149" i="5" s="1"/>
  <c r="FX148" i="5" s="1"/>
  <c r="FX147" i="5" s="1"/>
  <c r="FX146" i="5" s="1"/>
  <c r="FX145" i="5" s="1"/>
  <c r="FX144" i="5" s="1"/>
  <c r="FX143" i="5" s="1"/>
  <c r="FX142" i="5" s="1"/>
  <c r="FX141" i="5" s="1"/>
  <c r="FX140" i="5" s="1"/>
  <c r="FX139" i="5" s="1"/>
  <c r="FX138" i="5" s="1"/>
  <c r="FX137" i="5" s="1"/>
  <c r="FX136" i="5" s="1"/>
  <c r="FX135" i="5" s="1"/>
  <c r="FX134" i="5" s="1"/>
  <c r="FX133" i="5" s="1"/>
  <c r="FX132" i="5" s="1"/>
  <c r="FX131" i="5" s="1"/>
  <c r="FX130" i="5" s="1"/>
  <c r="FX129" i="5" s="1"/>
  <c r="FX128" i="5" s="1"/>
  <c r="FX127" i="5" s="1"/>
  <c r="FX126" i="5" s="1"/>
  <c r="FX125" i="5" s="1"/>
  <c r="FX124" i="5" s="1"/>
  <c r="FX123" i="5" s="1"/>
  <c r="FX122" i="5" s="1"/>
  <c r="FX121" i="5" s="1"/>
  <c r="FX120" i="5" s="1"/>
  <c r="FX119" i="5" s="1"/>
  <c r="FX118" i="5" s="1"/>
  <c r="FX117" i="5" s="1"/>
  <c r="FX116" i="5" s="1"/>
  <c r="FX115" i="5" s="1"/>
  <c r="FX114" i="5" s="1"/>
  <c r="FX113" i="5" s="1"/>
  <c r="FX112" i="5" s="1"/>
  <c r="FY213" i="5"/>
  <c r="FY212" i="5" s="1"/>
  <c r="FY211" i="5" s="1"/>
  <c r="FY210" i="5" s="1"/>
  <c r="FY209" i="5" s="1"/>
  <c r="FY208" i="5" s="1"/>
  <c r="FY207" i="5" s="1"/>
  <c r="FY206" i="5" s="1"/>
  <c r="FY205" i="5" s="1"/>
  <c r="FY204" i="5" s="1"/>
  <c r="FY203" i="5" s="1"/>
  <c r="FY202" i="5" s="1"/>
  <c r="FY201" i="5" s="1"/>
  <c r="FY200" i="5" s="1"/>
  <c r="FY199" i="5" s="1"/>
  <c r="FY198" i="5" s="1"/>
  <c r="FY197" i="5" s="1"/>
  <c r="FY196" i="5" s="1"/>
  <c r="FY195" i="5" s="1"/>
  <c r="FY194" i="5" s="1"/>
  <c r="FY193" i="5" s="1"/>
  <c r="FY192" i="5" s="1"/>
  <c r="FY191" i="5" s="1"/>
  <c r="FY190" i="5" s="1"/>
  <c r="FY189" i="5" s="1"/>
  <c r="FY188" i="5" s="1"/>
  <c r="FY187" i="5" s="1"/>
  <c r="FY186" i="5" s="1"/>
  <c r="FY185" i="5" s="1"/>
  <c r="FY184" i="5" s="1"/>
  <c r="FY183" i="5" s="1"/>
  <c r="FY182" i="5" s="1"/>
  <c r="FY181" i="5" s="1"/>
  <c r="FY180" i="5" s="1"/>
  <c r="FY179" i="5" s="1"/>
  <c r="FY178" i="5" s="1"/>
  <c r="FY177" i="5" s="1"/>
  <c r="FY176" i="5" s="1"/>
  <c r="FY175" i="5" s="1"/>
  <c r="FY174" i="5" s="1"/>
  <c r="FY173" i="5" s="1"/>
  <c r="FY172" i="5" s="1"/>
  <c r="FY171" i="5" s="1"/>
  <c r="FY170" i="5" s="1"/>
  <c r="FY169" i="5" s="1"/>
  <c r="FY168" i="5" s="1"/>
  <c r="FY167" i="5" s="1"/>
  <c r="FY166" i="5" s="1"/>
  <c r="FY165" i="5" s="1"/>
  <c r="FY164" i="5" s="1"/>
  <c r="FY163" i="5" s="1"/>
  <c r="FY162" i="5" s="1"/>
  <c r="FY161" i="5" s="1"/>
  <c r="FY160" i="5" s="1"/>
  <c r="FY159" i="5" s="1"/>
  <c r="FY158" i="5" s="1"/>
  <c r="FY157" i="5" s="1"/>
  <c r="FY156" i="5" s="1"/>
  <c r="FY155" i="5" s="1"/>
  <c r="FY154" i="5" s="1"/>
  <c r="FY153" i="5" s="1"/>
  <c r="FY152" i="5" s="1"/>
  <c r="FY151" i="5" s="1"/>
  <c r="FY150" i="5" s="1"/>
  <c r="FY149" i="5" s="1"/>
  <c r="FY148" i="5" s="1"/>
  <c r="FY147" i="5" s="1"/>
  <c r="FY146" i="5" s="1"/>
  <c r="FY145" i="5" s="1"/>
  <c r="FY144" i="5" s="1"/>
  <c r="FY143" i="5" s="1"/>
  <c r="FY142" i="5" s="1"/>
  <c r="FY141" i="5" s="1"/>
  <c r="FY140" i="5" s="1"/>
  <c r="FY139" i="5" s="1"/>
  <c r="FY138" i="5" s="1"/>
  <c r="FY137" i="5" s="1"/>
  <c r="FY136" i="5" s="1"/>
  <c r="FY135" i="5" s="1"/>
  <c r="FY134" i="5" s="1"/>
  <c r="FY133" i="5" s="1"/>
  <c r="FY132" i="5" s="1"/>
  <c r="FY131" i="5" s="1"/>
  <c r="FY130" i="5" s="1"/>
  <c r="FY129" i="5" s="1"/>
  <c r="FY128" i="5" s="1"/>
  <c r="FY127" i="5" s="1"/>
  <c r="FY126" i="5" s="1"/>
  <c r="FY125" i="5" s="1"/>
  <c r="FY124" i="5" s="1"/>
  <c r="FY123" i="5" s="1"/>
  <c r="FY122" i="5" s="1"/>
  <c r="FY121" i="5" s="1"/>
  <c r="FY120" i="5" s="1"/>
  <c r="FY119" i="5" s="1"/>
  <c r="FY118" i="5" s="1"/>
  <c r="FY117" i="5" s="1"/>
  <c r="FY116" i="5" s="1"/>
  <c r="FY115" i="5" s="1"/>
  <c r="FY114" i="5" s="1"/>
  <c r="FY113" i="5" s="1"/>
  <c r="FY112" i="5" s="1"/>
  <c r="FZ213" i="5"/>
  <c r="FZ212" i="5" s="1"/>
  <c r="FZ211" i="5" s="1"/>
  <c r="FZ210" i="5" s="1"/>
  <c r="FZ209" i="5" s="1"/>
  <c r="FZ208" i="5" s="1"/>
  <c r="FZ207" i="5" s="1"/>
  <c r="FZ206" i="5" s="1"/>
  <c r="FZ205" i="5" s="1"/>
  <c r="FZ204" i="5" s="1"/>
  <c r="FZ203" i="5" s="1"/>
  <c r="FZ202" i="5" s="1"/>
  <c r="FZ201" i="5" s="1"/>
  <c r="FZ200" i="5" s="1"/>
  <c r="FZ199" i="5" s="1"/>
  <c r="FZ198" i="5" s="1"/>
  <c r="FZ197" i="5" s="1"/>
  <c r="FZ196" i="5" s="1"/>
  <c r="FZ195" i="5" s="1"/>
  <c r="FZ194" i="5" s="1"/>
  <c r="FZ193" i="5" s="1"/>
  <c r="FZ192" i="5" s="1"/>
  <c r="FZ191" i="5" s="1"/>
  <c r="FZ190" i="5" s="1"/>
  <c r="FZ189" i="5" s="1"/>
  <c r="FZ188" i="5" s="1"/>
  <c r="FZ187" i="5" s="1"/>
  <c r="FZ186" i="5" s="1"/>
  <c r="FZ185" i="5" s="1"/>
  <c r="FZ184" i="5" s="1"/>
  <c r="FZ183" i="5" s="1"/>
  <c r="FZ182" i="5" s="1"/>
  <c r="FZ181" i="5" s="1"/>
  <c r="FZ180" i="5" s="1"/>
  <c r="FZ179" i="5" s="1"/>
  <c r="FZ178" i="5" s="1"/>
  <c r="FZ177" i="5" s="1"/>
  <c r="FZ176" i="5" s="1"/>
  <c r="FZ175" i="5" s="1"/>
  <c r="FZ174" i="5" s="1"/>
  <c r="FZ173" i="5" s="1"/>
  <c r="FZ172" i="5" s="1"/>
  <c r="FZ171" i="5" s="1"/>
  <c r="FZ170" i="5" s="1"/>
  <c r="FZ169" i="5" s="1"/>
  <c r="FZ168" i="5" s="1"/>
  <c r="FZ167" i="5" s="1"/>
  <c r="FZ166" i="5" s="1"/>
  <c r="FZ165" i="5" s="1"/>
  <c r="FZ164" i="5" s="1"/>
  <c r="FZ163" i="5" s="1"/>
  <c r="FZ162" i="5" s="1"/>
  <c r="FZ161" i="5" s="1"/>
  <c r="FZ160" i="5" s="1"/>
  <c r="FZ159" i="5" s="1"/>
  <c r="FZ158" i="5" s="1"/>
  <c r="FZ157" i="5" s="1"/>
  <c r="FZ156" i="5" s="1"/>
  <c r="FZ155" i="5" s="1"/>
  <c r="FZ154" i="5" s="1"/>
  <c r="FZ153" i="5" s="1"/>
  <c r="FZ152" i="5" s="1"/>
  <c r="FZ151" i="5" s="1"/>
  <c r="FZ150" i="5" s="1"/>
  <c r="FZ149" i="5" s="1"/>
  <c r="FZ148" i="5" s="1"/>
  <c r="FZ147" i="5" s="1"/>
  <c r="FZ146" i="5" s="1"/>
  <c r="FZ145" i="5" s="1"/>
  <c r="FZ144" i="5" s="1"/>
  <c r="FZ143" i="5" s="1"/>
  <c r="FZ142" i="5" s="1"/>
  <c r="FZ141" i="5" s="1"/>
  <c r="FZ140" i="5" s="1"/>
  <c r="FZ139" i="5" s="1"/>
  <c r="FZ138" i="5" s="1"/>
  <c r="FZ137" i="5" s="1"/>
  <c r="FZ136" i="5" s="1"/>
  <c r="FZ135" i="5" s="1"/>
  <c r="FZ134" i="5" s="1"/>
  <c r="FZ133" i="5" s="1"/>
  <c r="FZ132" i="5" s="1"/>
  <c r="FZ131" i="5" s="1"/>
  <c r="FZ130" i="5" s="1"/>
  <c r="FZ129" i="5" s="1"/>
  <c r="FZ128" i="5" s="1"/>
  <c r="FZ127" i="5" s="1"/>
  <c r="FZ126" i="5" s="1"/>
  <c r="FZ125" i="5" s="1"/>
  <c r="FZ124" i="5" s="1"/>
  <c r="FZ123" i="5" s="1"/>
  <c r="FZ122" i="5" s="1"/>
  <c r="FZ121" i="5" s="1"/>
  <c r="FZ120" i="5" s="1"/>
  <c r="FZ119" i="5" s="1"/>
  <c r="FZ118" i="5" s="1"/>
  <c r="FZ117" i="5" s="1"/>
  <c r="FZ116" i="5" s="1"/>
  <c r="FZ115" i="5" s="1"/>
  <c r="FZ114" i="5" s="1"/>
  <c r="FZ113" i="5" s="1"/>
  <c r="FZ112" i="5" s="1"/>
  <c r="GA213" i="5"/>
  <c r="GA212" i="5" s="1"/>
  <c r="GA211" i="5" s="1"/>
  <c r="GA210" i="5" s="1"/>
  <c r="GA209" i="5" s="1"/>
  <c r="GA208" i="5" s="1"/>
  <c r="GA207" i="5" s="1"/>
  <c r="GA206" i="5" s="1"/>
  <c r="GA205" i="5" s="1"/>
  <c r="GA204" i="5" s="1"/>
  <c r="GA203" i="5" s="1"/>
  <c r="GA202" i="5" s="1"/>
  <c r="GA201" i="5" s="1"/>
  <c r="GA200" i="5" s="1"/>
  <c r="GA199" i="5" s="1"/>
  <c r="GA198" i="5" s="1"/>
  <c r="GA197" i="5" s="1"/>
  <c r="GA196" i="5" s="1"/>
  <c r="GA195" i="5" s="1"/>
  <c r="GA194" i="5" s="1"/>
  <c r="GA193" i="5" s="1"/>
  <c r="GA192" i="5" s="1"/>
  <c r="GA191" i="5" s="1"/>
  <c r="GA190" i="5" s="1"/>
  <c r="GA189" i="5" s="1"/>
  <c r="GA188" i="5" s="1"/>
  <c r="GA187" i="5" s="1"/>
  <c r="GA186" i="5" s="1"/>
  <c r="GA185" i="5" s="1"/>
  <c r="GA184" i="5" s="1"/>
  <c r="GA183" i="5" s="1"/>
  <c r="GA182" i="5" s="1"/>
  <c r="GA181" i="5" s="1"/>
  <c r="GA180" i="5" s="1"/>
  <c r="GA179" i="5" s="1"/>
  <c r="GA178" i="5" s="1"/>
  <c r="GA177" i="5" s="1"/>
  <c r="GA176" i="5" s="1"/>
  <c r="GA175" i="5" s="1"/>
  <c r="GA174" i="5" s="1"/>
  <c r="GA173" i="5" s="1"/>
  <c r="GA172" i="5" s="1"/>
  <c r="GA171" i="5" s="1"/>
  <c r="GA170" i="5" s="1"/>
  <c r="GA169" i="5" s="1"/>
  <c r="GA168" i="5" s="1"/>
  <c r="GA167" i="5" s="1"/>
  <c r="GA166" i="5" s="1"/>
  <c r="GA165" i="5" s="1"/>
  <c r="GA164" i="5" s="1"/>
  <c r="GA163" i="5" s="1"/>
  <c r="GA162" i="5" s="1"/>
  <c r="GA161" i="5" s="1"/>
  <c r="GA160" i="5" s="1"/>
  <c r="GA159" i="5" s="1"/>
  <c r="GA158" i="5" s="1"/>
  <c r="GA157" i="5" s="1"/>
  <c r="GA156" i="5" s="1"/>
  <c r="GA155" i="5" s="1"/>
  <c r="GA154" i="5" s="1"/>
  <c r="GA153" i="5" s="1"/>
  <c r="GA152" i="5" s="1"/>
  <c r="GA151" i="5" s="1"/>
  <c r="GA150" i="5" s="1"/>
  <c r="GA149" i="5" s="1"/>
  <c r="GA148" i="5" s="1"/>
  <c r="GA147" i="5" s="1"/>
  <c r="GA146" i="5" s="1"/>
  <c r="GA145" i="5" s="1"/>
  <c r="GA144" i="5" s="1"/>
  <c r="GA143" i="5" s="1"/>
  <c r="GA142" i="5" s="1"/>
  <c r="GA141" i="5" s="1"/>
  <c r="GA140" i="5" s="1"/>
  <c r="GA139" i="5" s="1"/>
  <c r="GA138" i="5" s="1"/>
  <c r="GA137" i="5" s="1"/>
  <c r="GA136" i="5" s="1"/>
  <c r="GA135" i="5" s="1"/>
  <c r="GA134" i="5" s="1"/>
  <c r="GA133" i="5" s="1"/>
  <c r="GA132" i="5" s="1"/>
  <c r="GA131" i="5" s="1"/>
  <c r="GA130" i="5" s="1"/>
  <c r="GA129" i="5" s="1"/>
  <c r="GA128" i="5" s="1"/>
  <c r="GA127" i="5" s="1"/>
  <c r="GA126" i="5" s="1"/>
  <c r="GA125" i="5" s="1"/>
  <c r="GA124" i="5" s="1"/>
  <c r="GA123" i="5" s="1"/>
  <c r="GA122" i="5" s="1"/>
  <c r="GA121" i="5" s="1"/>
  <c r="GA120" i="5" s="1"/>
  <c r="GA119" i="5" s="1"/>
  <c r="GA118" i="5" s="1"/>
  <c r="GA117" i="5" s="1"/>
  <c r="GA116" i="5" s="1"/>
  <c r="GA115" i="5" s="1"/>
  <c r="GA114" i="5" s="1"/>
  <c r="GA113" i="5" s="1"/>
  <c r="GA112" i="5" s="1"/>
  <c r="GB213" i="5"/>
  <c r="GB212" i="5" s="1"/>
  <c r="GB211" i="5" s="1"/>
  <c r="GB210" i="5" s="1"/>
  <c r="GB209" i="5" s="1"/>
  <c r="GB208" i="5" s="1"/>
  <c r="GB207" i="5" s="1"/>
  <c r="GB206" i="5" s="1"/>
  <c r="GB205" i="5" s="1"/>
  <c r="GB204" i="5" s="1"/>
  <c r="GB203" i="5" s="1"/>
  <c r="GB202" i="5" s="1"/>
  <c r="GB201" i="5" s="1"/>
  <c r="GB200" i="5" s="1"/>
  <c r="GB199" i="5" s="1"/>
  <c r="GB198" i="5" s="1"/>
  <c r="GB197" i="5" s="1"/>
  <c r="GB196" i="5" s="1"/>
  <c r="GB195" i="5" s="1"/>
  <c r="GB194" i="5" s="1"/>
  <c r="GB193" i="5" s="1"/>
  <c r="GB192" i="5" s="1"/>
  <c r="GB191" i="5" s="1"/>
  <c r="GB190" i="5" s="1"/>
  <c r="GB189" i="5" s="1"/>
  <c r="GB188" i="5" s="1"/>
  <c r="GB187" i="5" s="1"/>
  <c r="GB186" i="5" s="1"/>
  <c r="GB185" i="5" s="1"/>
  <c r="GB184" i="5" s="1"/>
  <c r="GB183" i="5" s="1"/>
  <c r="GB182" i="5" s="1"/>
  <c r="GB181" i="5" s="1"/>
  <c r="GB180" i="5" s="1"/>
  <c r="GB179" i="5" s="1"/>
  <c r="GB178" i="5" s="1"/>
  <c r="GB177" i="5" s="1"/>
  <c r="GB176" i="5" s="1"/>
  <c r="GB175" i="5" s="1"/>
  <c r="GB174" i="5" s="1"/>
  <c r="GB173" i="5" s="1"/>
  <c r="GB172" i="5" s="1"/>
  <c r="GB171" i="5" s="1"/>
  <c r="GB170" i="5" s="1"/>
  <c r="GB169" i="5" s="1"/>
  <c r="GB168" i="5" s="1"/>
  <c r="GB167" i="5" s="1"/>
  <c r="GB166" i="5" s="1"/>
  <c r="GB165" i="5" s="1"/>
  <c r="GB164" i="5" s="1"/>
  <c r="GB163" i="5" s="1"/>
  <c r="GB162" i="5" s="1"/>
  <c r="GB161" i="5" s="1"/>
  <c r="GB160" i="5" s="1"/>
  <c r="GB159" i="5" s="1"/>
  <c r="GB158" i="5" s="1"/>
  <c r="GB157" i="5" s="1"/>
  <c r="GB156" i="5" s="1"/>
  <c r="GB155" i="5" s="1"/>
  <c r="GB154" i="5" s="1"/>
  <c r="GB153" i="5" s="1"/>
  <c r="GB152" i="5" s="1"/>
  <c r="GB151" i="5" s="1"/>
  <c r="GB150" i="5" s="1"/>
  <c r="GB149" i="5" s="1"/>
  <c r="GB148" i="5" s="1"/>
  <c r="GB147" i="5" s="1"/>
  <c r="GB146" i="5" s="1"/>
  <c r="GB145" i="5" s="1"/>
  <c r="GB144" i="5" s="1"/>
  <c r="GB143" i="5" s="1"/>
  <c r="GB142" i="5" s="1"/>
  <c r="GB141" i="5" s="1"/>
  <c r="GB140" i="5" s="1"/>
  <c r="GB139" i="5" s="1"/>
  <c r="GB138" i="5" s="1"/>
  <c r="GB137" i="5" s="1"/>
  <c r="GB136" i="5" s="1"/>
  <c r="GB135" i="5" s="1"/>
  <c r="GB134" i="5" s="1"/>
  <c r="GB133" i="5" s="1"/>
  <c r="GB132" i="5" s="1"/>
  <c r="GB131" i="5" s="1"/>
  <c r="GB130" i="5" s="1"/>
  <c r="GB129" i="5" s="1"/>
  <c r="GB128" i="5" s="1"/>
  <c r="GB127" i="5" s="1"/>
  <c r="GB126" i="5" s="1"/>
  <c r="GB125" i="5" s="1"/>
  <c r="GB124" i="5" s="1"/>
  <c r="GB123" i="5" s="1"/>
  <c r="GB122" i="5" s="1"/>
  <c r="GB121" i="5" s="1"/>
  <c r="GB120" i="5" s="1"/>
  <c r="GB119" i="5" s="1"/>
  <c r="GB118" i="5" s="1"/>
  <c r="GB117" i="5" s="1"/>
  <c r="GB116" i="5" s="1"/>
  <c r="GB115" i="5" s="1"/>
  <c r="GB114" i="5" s="1"/>
  <c r="GB113" i="5" s="1"/>
  <c r="GB112" i="5" s="1"/>
  <c r="GC213" i="5"/>
  <c r="GC212" i="5" s="1"/>
  <c r="GC211" i="5" s="1"/>
  <c r="GC210" i="5" s="1"/>
  <c r="GC209" i="5" s="1"/>
  <c r="GC208" i="5" s="1"/>
  <c r="GC207" i="5" s="1"/>
  <c r="GC206" i="5" s="1"/>
  <c r="GC205" i="5" s="1"/>
  <c r="GC204" i="5" s="1"/>
  <c r="GC203" i="5" s="1"/>
  <c r="GC202" i="5" s="1"/>
  <c r="GC201" i="5" s="1"/>
  <c r="GC200" i="5" s="1"/>
  <c r="GC199" i="5" s="1"/>
  <c r="GC198" i="5" s="1"/>
  <c r="GC197" i="5" s="1"/>
  <c r="GC196" i="5" s="1"/>
  <c r="GC195" i="5" s="1"/>
  <c r="GC194" i="5" s="1"/>
  <c r="GC193" i="5" s="1"/>
  <c r="GC192" i="5" s="1"/>
  <c r="GC191" i="5" s="1"/>
  <c r="GC190" i="5" s="1"/>
  <c r="GC189" i="5" s="1"/>
  <c r="GC188" i="5" s="1"/>
  <c r="GC187" i="5" s="1"/>
  <c r="GC186" i="5" s="1"/>
  <c r="GC185" i="5" s="1"/>
  <c r="GC184" i="5" s="1"/>
  <c r="GC183" i="5" s="1"/>
  <c r="GC182" i="5" s="1"/>
  <c r="GC181" i="5" s="1"/>
  <c r="GC180" i="5" s="1"/>
  <c r="GC179" i="5" s="1"/>
  <c r="GC178" i="5" s="1"/>
  <c r="GC177" i="5" s="1"/>
  <c r="GC176" i="5" s="1"/>
  <c r="GC175" i="5" s="1"/>
  <c r="GC174" i="5" s="1"/>
  <c r="GC173" i="5" s="1"/>
  <c r="GC172" i="5" s="1"/>
  <c r="GC171" i="5" s="1"/>
  <c r="GC170" i="5" s="1"/>
  <c r="GC169" i="5" s="1"/>
  <c r="GC168" i="5" s="1"/>
  <c r="GC167" i="5" s="1"/>
  <c r="GC166" i="5" s="1"/>
  <c r="GC165" i="5" s="1"/>
  <c r="GC164" i="5" s="1"/>
  <c r="GC163" i="5" s="1"/>
  <c r="GC162" i="5" s="1"/>
  <c r="GC161" i="5" s="1"/>
  <c r="GC160" i="5" s="1"/>
  <c r="GC159" i="5" s="1"/>
  <c r="GC158" i="5" s="1"/>
  <c r="GC157" i="5" s="1"/>
  <c r="GC156" i="5" s="1"/>
  <c r="GC155" i="5" s="1"/>
  <c r="GC154" i="5" s="1"/>
  <c r="GC153" i="5" s="1"/>
  <c r="GC152" i="5" s="1"/>
  <c r="GC151" i="5" s="1"/>
  <c r="GC150" i="5" s="1"/>
  <c r="GC149" i="5" s="1"/>
  <c r="GC148" i="5" s="1"/>
  <c r="GC147" i="5" s="1"/>
  <c r="GC146" i="5" s="1"/>
  <c r="GC145" i="5" s="1"/>
  <c r="GC144" i="5" s="1"/>
  <c r="GC143" i="5" s="1"/>
  <c r="GC142" i="5" s="1"/>
  <c r="GC141" i="5" s="1"/>
  <c r="GC140" i="5" s="1"/>
  <c r="GC139" i="5" s="1"/>
  <c r="GC138" i="5" s="1"/>
  <c r="GC137" i="5" s="1"/>
  <c r="GC136" i="5" s="1"/>
  <c r="GC135" i="5" s="1"/>
  <c r="GC134" i="5" s="1"/>
  <c r="GC133" i="5" s="1"/>
  <c r="GC132" i="5" s="1"/>
  <c r="GC131" i="5" s="1"/>
  <c r="GC130" i="5" s="1"/>
  <c r="GC129" i="5" s="1"/>
  <c r="GC128" i="5" s="1"/>
  <c r="GC127" i="5" s="1"/>
  <c r="GC126" i="5" s="1"/>
  <c r="GC125" i="5" s="1"/>
  <c r="GC124" i="5" s="1"/>
  <c r="GC123" i="5" s="1"/>
  <c r="GC122" i="5" s="1"/>
  <c r="GC121" i="5" s="1"/>
  <c r="GC120" i="5" s="1"/>
  <c r="GC119" i="5" s="1"/>
  <c r="GC118" i="5" s="1"/>
  <c r="GC117" i="5" s="1"/>
  <c r="GC116" i="5" s="1"/>
  <c r="GC115" i="5" s="1"/>
  <c r="GC114" i="5" s="1"/>
  <c r="GC113" i="5" s="1"/>
  <c r="GC112" i="5" s="1"/>
  <c r="GD213" i="5"/>
  <c r="GD212" i="5" s="1"/>
  <c r="GD211" i="5" s="1"/>
  <c r="GD210" i="5" s="1"/>
  <c r="GD209" i="5" s="1"/>
  <c r="GD208" i="5" s="1"/>
  <c r="GD207" i="5" s="1"/>
  <c r="GD206" i="5" s="1"/>
  <c r="GD205" i="5" s="1"/>
  <c r="GD204" i="5" s="1"/>
  <c r="GD203" i="5" s="1"/>
  <c r="GD202" i="5" s="1"/>
  <c r="GD201" i="5" s="1"/>
  <c r="GD200" i="5" s="1"/>
  <c r="GD199" i="5" s="1"/>
  <c r="GD198" i="5" s="1"/>
  <c r="GD197" i="5" s="1"/>
  <c r="GD196" i="5" s="1"/>
  <c r="GD195" i="5" s="1"/>
  <c r="GD194" i="5" s="1"/>
  <c r="GD193" i="5" s="1"/>
  <c r="GD192" i="5" s="1"/>
  <c r="GD191" i="5" s="1"/>
  <c r="GD190" i="5" s="1"/>
  <c r="GD189" i="5" s="1"/>
  <c r="GD188" i="5" s="1"/>
  <c r="GD187" i="5" s="1"/>
  <c r="GD186" i="5" s="1"/>
  <c r="GD185" i="5" s="1"/>
  <c r="GD184" i="5" s="1"/>
  <c r="GD183" i="5" s="1"/>
  <c r="GD182" i="5" s="1"/>
  <c r="GD181" i="5" s="1"/>
  <c r="GD180" i="5" s="1"/>
  <c r="GD179" i="5" s="1"/>
  <c r="GD178" i="5" s="1"/>
  <c r="GD177" i="5" s="1"/>
  <c r="GD176" i="5" s="1"/>
  <c r="GD175" i="5" s="1"/>
  <c r="GD174" i="5" s="1"/>
  <c r="GD173" i="5" s="1"/>
  <c r="GD172" i="5" s="1"/>
  <c r="GD171" i="5" s="1"/>
  <c r="GD170" i="5" s="1"/>
  <c r="GD169" i="5" s="1"/>
  <c r="GD168" i="5" s="1"/>
  <c r="GD167" i="5" s="1"/>
  <c r="GD166" i="5" s="1"/>
  <c r="GD165" i="5" s="1"/>
  <c r="GD164" i="5" s="1"/>
  <c r="GD163" i="5" s="1"/>
  <c r="GD162" i="5" s="1"/>
  <c r="GD161" i="5" s="1"/>
  <c r="GD160" i="5" s="1"/>
  <c r="GD159" i="5" s="1"/>
  <c r="GD158" i="5" s="1"/>
  <c r="GD157" i="5" s="1"/>
  <c r="GD156" i="5" s="1"/>
  <c r="GD155" i="5" s="1"/>
  <c r="GD154" i="5" s="1"/>
  <c r="GD153" i="5" s="1"/>
  <c r="GD152" i="5" s="1"/>
  <c r="GD151" i="5" s="1"/>
  <c r="GD150" i="5" s="1"/>
  <c r="GD149" i="5" s="1"/>
  <c r="GD148" i="5" s="1"/>
  <c r="GD147" i="5" s="1"/>
  <c r="GD146" i="5" s="1"/>
  <c r="GD145" i="5" s="1"/>
  <c r="GD144" i="5" s="1"/>
  <c r="GD143" i="5" s="1"/>
  <c r="GD142" i="5" s="1"/>
  <c r="GD141" i="5" s="1"/>
  <c r="GD140" i="5" s="1"/>
  <c r="GD139" i="5" s="1"/>
  <c r="GD138" i="5" s="1"/>
  <c r="GD137" i="5" s="1"/>
  <c r="GD136" i="5" s="1"/>
  <c r="GD135" i="5" s="1"/>
  <c r="GD134" i="5" s="1"/>
  <c r="GD133" i="5" s="1"/>
  <c r="GD132" i="5" s="1"/>
  <c r="GD131" i="5" s="1"/>
  <c r="GD130" i="5" s="1"/>
  <c r="GD129" i="5" s="1"/>
  <c r="GD128" i="5" s="1"/>
  <c r="GD127" i="5" s="1"/>
  <c r="GD126" i="5" s="1"/>
  <c r="GD125" i="5" s="1"/>
  <c r="GD124" i="5" s="1"/>
  <c r="GD123" i="5" s="1"/>
  <c r="GD122" i="5" s="1"/>
  <c r="GD121" i="5" s="1"/>
  <c r="GD120" i="5" s="1"/>
  <c r="GD119" i="5" s="1"/>
  <c r="GD118" i="5" s="1"/>
  <c r="GD117" i="5" s="1"/>
  <c r="GD116" i="5" s="1"/>
  <c r="GD115" i="5" s="1"/>
  <c r="GD114" i="5" s="1"/>
  <c r="GD113" i="5" s="1"/>
  <c r="GD112" i="5" s="1"/>
  <c r="GE213" i="5"/>
  <c r="GE212" i="5" s="1"/>
  <c r="GE211" i="5" s="1"/>
  <c r="GE210" i="5" s="1"/>
  <c r="GE209" i="5" s="1"/>
  <c r="GE208" i="5" s="1"/>
  <c r="GE207" i="5" s="1"/>
  <c r="GE206" i="5" s="1"/>
  <c r="GE205" i="5" s="1"/>
  <c r="GE204" i="5" s="1"/>
  <c r="GE203" i="5" s="1"/>
  <c r="GE202" i="5" s="1"/>
  <c r="GE201" i="5" s="1"/>
  <c r="GE200" i="5" s="1"/>
  <c r="GE199" i="5" s="1"/>
  <c r="GE198" i="5" s="1"/>
  <c r="GE197" i="5" s="1"/>
  <c r="GE196" i="5" s="1"/>
  <c r="GE195" i="5" s="1"/>
  <c r="GE194" i="5" s="1"/>
  <c r="GE193" i="5" s="1"/>
  <c r="GE192" i="5" s="1"/>
  <c r="GE191" i="5" s="1"/>
  <c r="GE190" i="5" s="1"/>
  <c r="GE189" i="5" s="1"/>
  <c r="GE188" i="5" s="1"/>
  <c r="GE187" i="5" s="1"/>
  <c r="GE186" i="5" s="1"/>
  <c r="GE185" i="5" s="1"/>
  <c r="GE184" i="5" s="1"/>
  <c r="GE183" i="5" s="1"/>
  <c r="GE182" i="5" s="1"/>
  <c r="GE181" i="5" s="1"/>
  <c r="GE180" i="5" s="1"/>
  <c r="GE179" i="5" s="1"/>
  <c r="GE178" i="5" s="1"/>
  <c r="GE177" i="5" s="1"/>
  <c r="GE176" i="5" s="1"/>
  <c r="GE175" i="5" s="1"/>
  <c r="GE174" i="5" s="1"/>
  <c r="GE173" i="5" s="1"/>
  <c r="GE172" i="5" s="1"/>
  <c r="GE171" i="5" s="1"/>
  <c r="GE170" i="5" s="1"/>
  <c r="GE169" i="5" s="1"/>
  <c r="GE168" i="5" s="1"/>
  <c r="GE167" i="5" s="1"/>
  <c r="GE166" i="5" s="1"/>
  <c r="GE165" i="5" s="1"/>
  <c r="GE164" i="5" s="1"/>
  <c r="GE163" i="5" s="1"/>
  <c r="GE162" i="5" s="1"/>
  <c r="GE161" i="5" s="1"/>
  <c r="GE160" i="5" s="1"/>
  <c r="GE159" i="5" s="1"/>
  <c r="GE158" i="5" s="1"/>
  <c r="GE157" i="5" s="1"/>
  <c r="GE156" i="5" s="1"/>
  <c r="GE155" i="5" s="1"/>
  <c r="GE154" i="5" s="1"/>
  <c r="GE153" i="5" s="1"/>
  <c r="GE152" i="5" s="1"/>
  <c r="GE151" i="5" s="1"/>
  <c r="GE150" i="5" s="1"/>
  <c r="GE149" i="5" s="1"/>
  <c r="GE148" i="5" s="1"/>
  <c r="GE147" i="5" s="1"/>
  <c r="GE146" i="5" s="1"/>
  <c r="GE145" i="5" s="1"/>
  <c r="GE144" i="5" s="1"/>
  <c r="GE143" i="5" s="1"/>
  <c r="GE142" i="5" s="1"/>
  <c r="GE141" i="5" s="1"/>
  <c r="GE140" i="5" s="1"/>
  <c r="GE139" i="5" s="1"/>
  <c r="GE138" i="5" s="1"/>
  <c r="GE137" i="5" s="1"/>
  <c r="GE136" i="5" s="1"/>
  <c r="GE135" i="5" s="1"/>
  <c r="GE134" i="5" s="1"/>
  <c r="GE133" i="5" s="1"/>
  <c r="GE132" i="5" s="1"/>
  <c r="GE131" i="5" s="1"/>
  <c r="GE130" i="5" s="1"/>
  <c r="GE129" i="5" s="1"/>
  <c r="GE128" i="5" s="1"/>
  <c r="GE127" i="5" s="1"/>
  <c r="GE126" i="5" s="1"/>
  <c r="GE125" i="5" s="1"/>
  <c r="GE124" i="5" s="1"/>
  <c r="GE123" i="5" s="1"/>
  <c r="GE122" i="5" s="1"/>
  <c r="GE121" i="5" s="1"/>
  <c r="GE120" i="5" s="1"/>
  <c r="GE119" i="5" s="1"/>
  <c r="GE118" i="5" s="1"/>
  <c r="GE117" i="5" s="1"/>
  <c r="GE116" i="5" s="1"/>
  <c r="GE115" i="5" s="1"/>
  <c r="GE114" i="5" s="1"/>
  <c r="GE113" i="5" s="1"/>
  <c r="GE112" i="5" s="1"/>
  <c r="GF213" i="5"/>
  <c r="GF212" i="5" s="1"/>
  <c r="GF211" i="5" s="1"/>
  <c r="GF210" i="5" s="1"/>
  <c r="GF209" i="5" s="1"/>
  <c r="GF208" i="5" s="1"/>
  <c r="GF207" i="5" s="1"/>
  <c r="GF206" i="5" s="1"/>
  <c r="GF205" i="5" s="1"/>
  <c r="GF204" i="5" s="1"/>
  <c r="GF203" i="5" s="1"/>
  <c r="GF202" i="5" s="1"/>
  <c r="GF201" i="5" s="1"/>
  <c r="GF200" i="5" s="1"/>
  <c r="GF199" i="5" s="1"/>
  <c r="GF198" i="5" s="1"/>
  <c r="GF197" i="5" s="1"/>
  <c r="GF196" i="5" s="1"/>
  <c r="GF195" i="5" s="1"/>
  <c r="GF194" i="5" s="1"/>
  <c r="GF193" i="5" s="1"/>
  <c r="GF192" i="5" s="1"/>
  <c r="GF191" i="5" s="1"/>
  <c r="GF190" i="5" s="1"/>
  <c r="GF189" i="5" s="1"/>
  <c r="GF188" i="5" s="1"/>
  <c r="GF187" i="5" s="1"/>
  <c r="GF186" i="5" s="1"/>
  <c r="GF185" i="5" s="1"/>
  <c r="GF184" i="5" s="1"/>
  <c r="GF183" i="5" s="1"/>
  <c r="GF182" i="5" s="1"/>
  <c r="GF181" i="5" s="1"/>
  <c r="GF180" i="5" s="1"/>
  <c r="GF179" i="5" s="1"/>
  <c r="GF178" i="5" s="1"/>
  <c r="GF177" i="5" s="1"/>
  <c r="GF176" i="5" s="1"/>
  <c r="GF175" i="5" s="1"/>
  <c r="GF174" i="5" s="1"/>
  <c r="GF173" i="5" s="1"/>
  <c r="GF172" i="5" s="1"/>
  <c r="GF171" i="5" s="1"/>
  <c r="GF170" i="5" s="1"/>
  <c r="GF169" i="5" s="1"/>
  <c r="GF168" i="5" s="1"/>
  <c r="GF167" i="5" s="1"/>
  <c r="GF166" i="5" s="1"/>
  <c r="GF165" i="5" s="1"/>
  <c r="GF164" i="5" s="1"/>
  <c r="GF163" i="5" s="1"/>
  <c r="GF162" i="5" s="1"/>
  <c r="GF161" i="5" s="1"/>
  <c r="GF160" i="5" s="1"/>
  <c r="GF159" i="5" s="1"/>
  <c r="GF158" i="5" s="1"/>
  <c r="GF157" i="5" s="1"/>
  <c r="GF156" i="5" s="1"/>
  <c r="GF155" i="5" s="1"/>
  <c r="GF154" i="5" s="1"/>
  <c r="GF153" i="5" s="1"/>
  <c r="GF152" i="5" s="1"/>
  <c r="GF151" i="5" s="1"/>
  <c r="GF150" i="5" s="1"/>
  <c r="GF149" i="5" s="1"/>
  <c r="GF148" i="5" s="1"/>
  <c r="GF147" i="5" s="1"/>
  <c r="GF146" i="5" s="1"/>
  <c r="GF145" i="5" s="1"/>
  <c r="GF144" i="5" s="1"/>
  <c r="GF143" i="5" s="1"/>
  <c r="GF142" i="5" s="1"/>
  <c r="GF141" i="5" s="1"/>
  <c r="GF140" i="5" s="1"/>
  <c r="GF139" i="5" s="1"/>
  <c r="GF138" i="5" s="1"/>
  <c r="GF137" i="5" s="1"/>
  <c r="GF136" i="5" s="1"/>
  <c r="GF135" i="5" s="1"/>
  <c r="GF134" i="5" s="1"/>
  <c r="GF133" i="5" s="1"/>
  <c r="GF132" i="5" s="1"/>
  <c r="GF131" i="5" s="1"/>
  <c r="GF130" i="5" s="1"/>
  <c r="GF129" i="5" s="1"/>
  <c r="GF128" i="5" s="1"/>
  <c r="GF127" i="5" s="1"/>
  <c r="GF126" i="5" s="1"/>
  <c r="GF125" i="5" s="1"/>
  <c r="GF124" i="5" s="1"/>
  <c r="GF123" i="5" s="1"/>
  <c r="GF122" i="5" s="1"/>
  <c r="GF121" i="5" s="1"/>
  <c r="GF120" i="5" s="1"/>
  <c r="GF119" i="5" s="1"/>
  <c r="GF118" i="5" s="1"/>
  <c r="GF117" i="5" s="1"/>
  <c r="GF116" i="5" s="1"/>
  <c r="GF115" i="5" s="1"/>
  <c r="GF114" i="5" s="1"/>
  <c r="GF113" i="5" s="1"/>
  <c r="GF112" i="5" s="1"/>
  <c r="GG213" i="5"/>
  <c r="GG212" i="5" s="1"/>
  <c r="GG211" i="5" s="1"/>
  <c r="GG210" i="5" s="1"/>
  <c r="GG209" i="5" s="1"/>
  <c r="GG208" i="5" s="1"/>
  <c r="GG207" i="5" s="1"/>
  <c r="GG206" i="5" s="1"/>
  <c r="GG205" i="5" s="1"/>
  <c r="GG204" i="5" s="1"/>
  <c r="GG203" i="5" s="1"/>
  <c r="GG202" i="5" s="1"/>
  <c r="GG201" i="5" s="1"/>
  <c r="GG200" i="5" s="1"/>
  <c r="GG199" i="5" s="1"/>
  <c r="GG198" i="5" s="1"/>
  <c r="GG197" i="5" s="1"/>
  <c r="GG196" i="5" s="1"/>
  <c r="GG195" i="5" s="1"/>
  <c r="GG194" i="5" s="1"/>
  <c r="GG193" i="5" s="1"/>
  <c r="GG192" i="5" s="1"/>
  <c r="GG191" i="5" s="1"/>
  <c r="GG190" i="5" s="1"/>
  <c r="GG189" i="5" s="1"/>
  <c r="GG188" i="5" s="1"/>
  <c r="GG187" i="5" s="1"/>
  <c r="GG186" i="5" s="1"/>
  <c r="GG185" i="5" s="1"/>
  <c r="GG184" i="5" s="1"/>
  <c r="GG183" i="5" s="1"/>
  <c r="GG182" i="5" s="1"/>
  <c r="GG181" i="5" s="1"/>
  <c r="GG180" i="5" s="1"/>
  <c r="GG179" i="5" s="1"/>
  <c r="GG178" i="5" s="1"/>
  <c r="GG177" i="5" s="1"/>
  <c r="GG176" i="5" s="1"/>
  <c r="GG175" i="5" s="1"/>
  <c r="GG174" i="5" s="1"/>
  <c r="GG173" i="5" s="1"/>
  <c r="GG172" i="5" s="1"/>
  <c r="GG171" i="5" s="1"/>
  <c r="GG170" i="5" s="1"/>
  <c r="GG169" i="5" s="1"/>
  <c r="GG168" i="5" s="1"/>
  <c r="GG167" i="5" s="1"/>
  <c r="GG166" i="5" s="1"/>
  <c r="GG165" i="5" s="1"/>
  <c r="GG164" i="5" s="1"/>
  <c r="GG163" i="5" s="1"/>
  <c r="GG162" i="5" s="1"/>
  <c r="GG161" i="5" s="1"/>
  <c r="GG160" i="5" s="1"/>
  <c r="GG159" i="5" s="1"/>
  <c r="GG158" i="5" s="1"/>
  <c r="GG157" i="5" s="1"/>
  <c r="GG156" i="5" s="1"/>
  <c r="GG155" i="5" s="1"/>
  <c r="GG154" i="5" s="1"/>
  <c r="GG153" i="5" s="1"/>
  <c r="GG152" i="5" s="1"/>
  <c r="GG151" i="5" s="1"/>
  <c r="GG150" i="5" s="1"/>
  <c r="GG149" i="5" s="1"/>
  <c r="GG148" i="5" s="1"/>
  <c r="GG147" i="5" s="1"/>
  <c r="GG146" i="5" s="1"/>
  <c r="GG145" i="5" s="1"/>
  <c r="GG144" i="5" s="1"/>
  <c r="GG143" i="5" s="1"/>
  <c r="GG142" i="5" s="1"/>
  <c r="GG141" i="5" s="1"/>
  <c r="GG140" i="5" s="1"/>
  <c r="GG139" i="5" s="1"/>
  <c r="GG138" i="5" s="1"/>
  <c r="GG137" i="5" s="1"/>
  <c r="GG136" i="5" s="1"/>
  <c r="GG135" i="5" s="1"/>
  <c r="GG134" i="5" s="1"/>
  <c r="GG133" i="5" s="1"/>
  <c r="GG132" i="5" s="1"/>
  <c r="GG131" i="5" s="1"/>
  <c r="GG130" i="5" s="1"/>
  <c r="GG129" i="5" s="1"/>
  <c r="GG128" i="5" s="1"/>
  <c r="GG127" i="5" s="1"/>
  <c r="GG126" i="5" s="1"/>
  <c r="GG125" i="5" s="1"/>
  <c r="GG124" i="5" s="1"/>
  <c r="GG123" i="5" s="1"/>
  <c r="GG122" i="5" s="1"/>
  <c r="GG121" i="5" s="1"/>
  <c r="GG120" i="5" s="1"/>
  <c r="GG119" i="5" s="1"/>
  <c r="GG118" i="5" s="1"/>
  <c r="GG117" i="5" s="1"/>
  <c r="GG116" i="5" s="1"/>
  <c r="GG115" i="5" s="1"/>
  <c r="GG114" i="5" s="1"/>
  <c r="GG113" i="5" s="1"/>
  <c r="GG112" i="5" s="1"/>
  <c r="GH213" i="5"/>
  <c r="GH212" i="5" s="1"/>
  <c r="GH211" i="5" s="1"/>
  <c r="GH210" i="5" s="1"/>
  <c r="GH209" i="5" s="1"/>
  <c r="GH208" i="5" s="1"/>
  <c r="GH207" i="5" s="1"/>
  <c r="GH206" i="5" s="1"/>
  <c r="GH205" i="5" s="1"/>
  <c r="GH204" i="5" s="1"/>
  <c r="GH203" i="5" s="1"/>
  <c r="GH202" i="5" s="1"/>
  <c r="GH201" i="5" s="1"/>
  <c r="GH200" i="5" s="1"/>
  <c r="GH199" i="5" s="1"/>
  <c r="GH198" i="5" s="1"/>
  <c r="GH197" i="5" s="1"/>
  <c r="GH196" i="5" s="1"/>
  <c r="GH195" i="5" s="1"/>
  <c r="GH194" i="5" s="1"/>
  <c r="GH193" i="5" s="1"/>
  <c r="GH192" i="5" s="1"/>
  <c r="GH191" i="5" s="1"/>
  <c r="GH190" i="5" s="1"/>
  <c r="GH189" i="5" s="1"/>
  <c r="GH188" i="5" s="1"/>
  <c r="GH187" i="5" s="1"/>
  <c r="GH186" i="5" s="1"/>
  <c r="GH185" i="5" s="1"/>
  <c r="GH184" i="5" s="1"/>
  <c r="GH183" i="5" s="1"/>
  <c r="GH182" i="5" s="1"/>
  <c r="GH181" i="5" s="1"/>
  <c r="GH180" i="5" s="1"/>
  <c r="GH179" i="5" s="1"/>
  <c r="GH178" i="5" s="1"/>
  <c r="GH177" i="5" s="1"/>
  <c r="GH176" i="5" s="1"/>
  <c r="GH175" i="5" s="1"/>
  <c r="GH174" i="5" s="1"/>
  <c r="GH173" i="5" s="1"/>
  <c r="GH172" i="5" s="1"/>
  <c r="GH171" i="5" s="1"/>
  <c r="GH170" i="5" s="1"/>
  <c r="GH169" i="5" s="1"/>
  <c r="GH168" i="5" s="1"/>
  <c r="GH167" i="5" s="1"/>
  <c r="GH166" i="5" s="1"/>
  <c r="GH165" i="5" s="1"/>
  <c r="GH164" i="5" s="1"/>
  <c r="GH163" i="5" s="1"/>
  <c r="GH162" i="5" s="1"/>
  <c r="GH161" i="5" s="1"/>
  <c r="GH160" i="5" s="1"/>
  <c r="GH159" i="5" s="1"/>
  <c r="GH158" i="5" s="1"/>
  <c r="GH157" i="5" s="1"/>
  <c r="GH156" i="5" s="1"/>
  <c r="GH155" i="5" s="1"/>
  <c r="GH154" i="5" s="1"/>
  <c r="GH153" i="5" s="1"/>
  <c r="GH152" i="5" s="1"/>
  <c r="GH151" i="5" s="1"/>
  <c r="GH150" i="5" s="1"/>
  <c r="GH149" i="5" s="1"/>
  <c r="GH148" i="5" s="1"/>
  <c r="GH147" i="5" s="1"/>
  <c r="GH146" i="5" s="1"/>
  <c r="GH145" i="5" s="1"/>
  <c r="GH144" i="5" s="1"/>
  <c r="GH143" i="5" s="1"/>
  <c r="GH142" i="5" s="1"/>
  <c r="GH141" i="5" s="1"/>
  <c r="GH140" i="5" s="1"/>
  <c r="GH139" i="5" s="1"/>
  <c r="GH138" i="5" s="1"/>
  <c r="GH137" i="5" s="1"/>
  <c r="GH136" i="5" s="1"/>
  <c r="GH135" i="5" s="1"/>
  <c r="GH134" i="5" s="1"/>
  <c r="GH133" i="5" s="1"/>
  <c r="GH132" i="5" s="1"/>
  <c r="GH131" i="5" s="1"/>
  <c r="GH130" i="5" s="1"/>
  <c r="GH129" i="5" s="1"/>
  <c r="GH128" i="5" s="1"/>
  <c r="GH127" i="5" s="1"/>
  <c r="GH126" i="5" s="1"/>
  <c r="GH125" i="5" s="1"/>
  <c r="GH124" i="5" s="1"/>
  <c r="GH123" i="5" s="1"/>
  <c r="GH122" i="5" s="1"/>
  <c r="GH121" i="5" s="1"/>
  <c r="GH120" i="5" s="1"/>
  <c r="GH119" i="5" s="1"/>
  <c r="GH118" i="5" s="1"/>
  <c r="GH117" i="5" s="1"/>
  <c r="GH116" i="5" s="1"/>
  <c r="GH115" i="5" s="1"/>
  <c r="GH114" i="5" s="1"/>
  <c r="GH113" i="5" s="1"/>
  <c r="GH112" i="5" s="1"/>
  <c r="GI213" i="5"/>
  <c r="GI212" i="5" s="1"/>
  <c r="GI211" i="5" s="1"/>
  <c r="GI210" i="5" s="1"/>
  <c r="GI209" i="5" s="1"/>
  <c r="GI208" i="5" s="1"/>
  <c r="GI207" i="5" s="1"/>
  <c r="GI206" i="5" s="1"/>
  <c r="GI205" i="5" s="1"/>
  <c r="GI204" i="5" s="1"/>
  <c r="GI203" i="5" s="1"/>
  <c r="GI202" i="5" s="1"/>
  <c r="GI201" i="5" s="1"/>
  <c r="GI200" i="5" s="1"/>
  <c r="GI199" i="5" s="1"/>
  <c r="GI198" i="5" s="1"/>
  <c r="GI197" i="5" s="1"/>
  <c r="GI196" i="5" s="1"/>
  <c r="GI195" i="5" s="1"/>
  <c r="GI194" i="5" s="1"/>
  <c r="GI193" i="5" s="1"/>
  <c r="GI192" i="5" s="1"/>
  <c r="GI191" i="5" s="1"/>
  <c r="GI190" i="5" s="1"/>
  <c r="GI189" i="5" s="1"/>
  <c r="GI188" i="5" s="1"/>
  <c r="GI187" i="5" s="1"/>
  <c r="GI186" i="5" s="1"/>
  <c r="GI185" i="5" s="1"/>
  <c r="GI184" i="5" s="1"/>
  <c r="GI183" i="5" s="1"/>
  <c r="GI182" i="5" s="1"/>
  <c r="GI181" i="5" s="1"/>
  <c r="GI180" i="5" s="1"/>
  <c r="GI179" i="5" s="1"/>
  <c r="GI178" i="5" s="1"/>
  <c r="GI177" i="5" s="1"/>
  <c r="GI176" i="5" s="1"/>
  <c r="GI175" i="5" s="1"/>
  <c r="GI174" i="5" s="1"/>
  <c r="GI173" i="5" s="1"/>
  <c r="GI172" i="5" s="1"/>
  <c r="GI171" i="5" s="1"/>
  <c r="GI170" i="5" s="1"/>
  <c r="GI169" i="5" s="1"/>
  <c r="GI168" i="5" s="1"/>
  <c r="GI167" i="5" s="1"/>
  <c r="GI166" i="5" s="1"/>
  <c r="GI165" i="5" s="1"/>
  <c r="GI164" i="5" s="1"/>
  <c r="GI163" i="5" s="1"/>
  <c r="GI162" i="5" s="1"/>
  <c r="GI161" i="5" s="1"/>
  <c r="GI160" i="5" s="1"/>
  <c r="GI159" i="5" s="1"/>
  <c r="GI158" i="5" s="1"/>
  <c r="GI157" i="5" s="1"/>
  <c r="GI156" i="5" s="1"/>
  <c r="GI155" i="5" s="1"/>
  <c r="GI154" i="5" s="1"/>
  <c r="GI153" i="5" s="1"/>
  <c r="GI152" i="5" s="1"/>
  <c r="GI151" i="5" s="1"/>
  <c r="GI150" i="5" s="1"/>
  <c r="GI149" i="5" s="1"/>
  <c r="GI148" i="5" s="1"/>
  <c r="GI147" i="5" s="1"/>
  <c r="GI146" i="5" s="1"/>
  <c r="GI145" i="5" s="1"/>
  <c r="GI144" i="5" s="1"/>
  <c r="GI143" i="5" s="1"/>
  <c r="GI142" i="5" s="1"/>
  <c r="GI141" i="5" s="1"/>
  <c r="GI140" i="5" s="1"/>
  <c r="GI139" i="5" s="1"/>
  <c r="GI138" i="5" s="1"/>
  <c r="GI137" i="5" s="1"/>
  <c r="GI136" i="5" s="1"/>
  <c r="GI135" i="5" s="1"/>
  <c r="GI134" i="5" s="1"/>
  <c r="GI133" i="5" s="1"/>
  <c r="GI132" i="5" s="1"/>
  <c r="GI131" i="5" s="1"/>
  <c r="GI130" i="5" s="1"/>
  <c r="GI129" i="5" s="1"/>
  <c r="GI128" i="5" s="1"/>
  <c r="GI127" i="5" s="1"/>
  <c r="GI126" i="5" s="1"/>
  <c r="GI125" i="5" s="1"/>
  <c r="GI124" i="5" s="1"/>
  <c r="GI123" i="5" s="1"/>
  <c r="GI122" i="5" s="1"/>
  <c r="GI121" i="5" s="1"/>
  <c r="GI120" i="5" s="1"/>
  <c r="GI119" i="5" s="1"/>
  <c r="GI118" i="5" s="1"/>
  <c r="GI117" i="5" s="1"/>
  <c r="GI116" i="5" s="1"/>
  <c r="GI115" i="5" s="1"/>
  <c r="GI114" i="5" s="1"/>
  <c r="GI113" i="5" s="1"/>
  <c r="GI112" i="5" s="1"/>
  <c r="GJ213" i="5"/>
  <c r="GJ212" i="5" s="1"/>
  <c r="GJ211" i="5" s="1"/>
  <c r="GJ210" i="5" s="1"/>
  <c r="GJ209" i="5" s="1"/>
  <c r="GJ208" i="5" s="1"/>
  <c r="GJ207" i="5" s="1"/>
  <c r="GJ206" i="5" s="1"/>
  <c r="GJ205" i="5" s="1"/>
  <c r="GJ204" i="5" s="1"/>
  <c r="GJ203" i="5" s="1"/>
  <c r="GJ202" i="5" s="1"/>
  <c r="GJ201" i="5" s="1"/>
  <c r="GJ200" i="5" s="1"/>
  <c r="GJ199" i="5" s="1"/>
  <c r="GJ198" i="5" s="1"/>
  <c r="GJ197" i="5" s="1"/>
  <c r="GJ196" i="5" s="1"/>
  <c r="GJ195" i="5" s="1"/>
  <c r="GJ194" i="5" s="1"/>
  <c r="GJ193" i="5" s="1"/>
  <c r="GJ192" i="5" s="1"/>
  <c r="GJ191" i="5" s="1"/>
  <c r="GJ190" i="5" s="1"/>
  <c r="GJ189" i="5" s="1"/>
  <c r="GJ188" i="5" s="1"/>
  <c r="GJ187" i="5" s="1"/>
  <c r="GJ186" i="5" s="1"/>
  <c r="GJ185" i="5" s="1"/>
  <c r="GJ184" i="5" s="1"/>
  <c r="GJ183" i="5" s="1"/>
  <c r="GJ182" i="5" s="1"/>
  <c r="GJ181" i="5" s="1"/>
  <c r="GJ180" i="5" s="1"/>
  <c r="GJ179" i="5" s="1"/>
  <c r="GJ178" i="5" s="1"/>
  <c r="GJ177" i="5" s="1"/>
  <c r="GJ176" i="5" s="1"/>
  <c r="GJ175" i="5" s="1"/>
  <c r="GJ174" i="5" s="1"/>
  <c r="GJ173" i="5" s="1"/>
  <c r="GJ172" i="5" s="1"/>
  <c r="GJ171" i="5" s="1"/>
  <c r="GJ170" i="5" s="1"/>
  <c r="GJ169" i="5" s="1"/>
  <c r="GJ168" i="5" s="1"/>
  <c r="GJ167" i="5" s="1"/>
  <c r="GJ166" i="5" s="1"/>
  <c r="GJ165" i="5" s="1"/>
  <c r="GJ164" i="5" s="1"/>
  <c r="GJ163" i="5" s="1"/>
  <c r="GJ162" i="5" s="1"/>
  <c r="GJ161" i="5" s="1"/>
  <c r="GJ160" i="5" s="1"/>
  <c r="GJ159" i="5" s="1"/>
  <c r="GJ158" i="5" s="1"/>
  <c r="GJ157" i="5" s="1"/>
  <c r="GJ156" i="5" s="1"/>
  <c r="GJ155" i="5" s="1"/>
  <c r="GJ154" i="5" s="1"/>
  <c r="GJ153" i="5" s="1"/>
  <c r="GJ152" i="5" s="1"/>
  <c r="GJ151" i="5" s="1"/>
  <c r="GJ150" i="5" s="1"/>
  <c r="GJ149" i="5" s="1"/>
  <c r="GJ148" i="5" s="1"/>
  <c r="GJ147" i="5" s="1"/>
  <c r="GJ146" i="5" s="1"/>
  <c r="GJ145" i="5" s="1"/>
  <c r="GJ144" i="5" s="1"/>
  <c r="GJ143" i="5" s="1"/>
  <c r="GJ142" i="5" s="1"/>
  <c r="GJ141" i="5" s="1"/>
  <c r="GJ140" i="5" s="1"/>
  <c r="GJ139" i="5" s="1"/>
  <c r="GJ138" i="5" s="1"/>
  <c r="GJ137" i="5" s="1"/>
  <c r="GJ136" i="5" s="1"/>
  <c r="GJ135" i="5" s="1"/>
  <c r="GJ134" i="5" s="1"/>
  <c r="GJ133" i="5" s="1"/>
  <c r="GJ132" i="5" s="1"/>
  <c r="GJ131" i="5" s="1"/>
  <c r="GJ130" i="5" s="1"/>
  <c r="GJ129" i="5" s="1"/>
  <c r="GJ128" i="5" s="1"/>
  <c r="GJ127" i="5" s="1"/>
  <c r="GJ126" i="5" s="1"/>
  <c r="GJ125" i="5" s="1"/>
  <c r="GJ124" i="5" s="1"/>
  <c r="GJ123" i="5" s="1"/>
  <c r="GJ122" i="5" s="1"/>
  <c r="GJ121" i="5" s="1"/>
  <c r="GJ120" i="5" s="1"/>
  <c r="GJ119" i="5" s="1"/>
  <c r="GJ118" i="5" s="1"/>
  <c r="GJ117" i="5" s="1"/>
  <c r="GJ116" i="5" s="1"/>
  <c r="GJ115" i="5" s="1"/>
  <c r="GJ114" i="5" s="1"/>
  <c r="GJ113" i="5" s="1"/>
  <c r="GJ112" i="5" s="1"/>
  <c r="GK213" i="5"/>
  <c r="GK212" i="5" s="1"/>
  <c r="GK211" i="5" s="1"/>
  <c r="GK210" i="5" s="1"/>
  <c r="GK209" i="5" s="1"/>
  <c r="GK208" i="5" s="1"/>
  <c r="GK207" i="5" s="1"/>
  <c r="GK206" i="5" s="1"/>
  <c r="GK205" i="5" s="1"/>
  <c r="GK204" i="5" s="1"/>
  <c r="GK203" i="5" s="1"/>
  <c r="GK202" i="5" s="1"/>
  <c r="GK201" i="5" s="1"/>
  <c r="GK200" i="5" s="1"/>
  <c r="GK199" i="5" s="1"/>
  <c r="GK198" i="5" s="1"/>
  <c r="GK197" i="5" s="1"/>
  <c r="GK196" i="5" s="1"/>
  <c r="GK195" i="5" s="1"/>
  <c r="GK194" i="5" s="1"/>
  <c r="GK193" i="5" s="1"/>
  <c r="GK192" i="5" s="1"/>
  <c r="GK191" i="5" s="1"/>
  <c r="GK190" i="5" s="1"/>
  <c r="GK189" i="5" s="1"/>
  <c r="GK188" i="5" s="1"/>
  <c r="GK187" i="5" s="1"/>
  <c r="GK186" i="5" s="1"/>
  <c r="GK185" i="5" s="1"/>
  <c r="GK184" i="5" s="1"/>
  <c r="GK183" i="5" s="1"/>
  <c r="GK182" i="5" s="1"/>
  <c r="GK181" i="5" s="1"/>
  <c r="GK180" i="5" s="1"/>
  <c r="GK179" i="5" s="1"/>
  <c r="GK178" i="5" s="1"/>
  <c r="GK177" i="5" s="1"/>
  <c r="GK176" i="5" s="1"/>
  <c r="GK175" i="5" s="1"/>
  <c r="GK174" i="5" s="1"/>
  <c r="GK173" i="5" s="1"/>
  <c r="GK172" i="5" s="1"/>
  <c r="GK171" i="5" s="1"/>
  <c r="GK170" i="5" s="1"/>
  <c r="GK169" i="5" s="1"/>
  <c r="GK168" i="5" s="1"/>
  <c r="GK167" i="5" s="1"/>
  <c r="GK166" i="5" s="1"/>
  <c r="GK165" i="5" s="1"/>
  <c r="GK164" i="5" s="1"/>
  <c r="GK163" i="5" s="1"/>
  <c r="GK162" i="5" s="1"/>
  <c r="GK161" i="5" s="1"/>
  <c r="GK160" i="5" s="1"/>
  <c r="GK159" i="5" s="1"/>
  <c r="GK158" i="5" s="1"/>
  <c r="GK157" i="5" s="1"/>
  <c r="GK156" i="5" s="1"/>
  <c r="GK155" i="5" s="1"/>
  <c r="GK154" i="5" s="1"/>
  <c r="GK153" i="5" s="1"/>
  <c r="GK152" i="5" s="1"/>
  <c r="GK151" i="5" s="1"/>
  <c r="GK150" i="5" s="1"/>
  <c r="GK149" i="5" s="1"/>
  <c r="GK148" i="5" s="1"/>
  <c r="GK147" i="5" s="1"/>
  <c r="GK146" i="5" s="1"/>
  <c r="GK145" i="5" s="1"/>
  <c r="GK144" i="5" s="1"/>
  <c r="GK143" i="5" s="1"/>
  <c r="GK142" i="5" s="1"/>
  <c r="GK141" i="5" s="1"/>
  <c r="GK140" i="5" s="1"/>
  <c r="GK139" i="5" s="1"/>
  <c r="GK138" i="5" s="1"/>
  <c r="GK137" i="5" s="1"/>
  <c r="GK136" i="5" s="1"/>
  <c r="GK135" i="5" s="1"/>
  <c r="GK134" i="5" s="1"/>
  <c r="GK133" i="5" s="1"/>
  <c r="GK132" i="5" s="1"/>
  <c r="GK131" i="5" s="1"/>
  <c r="GK130" i="5" s="1"/>
  <c r="GK129" i="5" s="1"/>
  <c r="GK128" i="5" s="1"/>
  <c r="GK127" i="5" s="1"/>
  <c r="GK126" i="5" s="1"/>
  <c r="GK125" i="5" s="1"/>
  <c r="GK124" i="5" s="1"/>
  <c r="GK123" i="5" s="1"/>
  <c r="GK122" i="5" s="1"/>
  <c r="GK121" i="5" s="1"/>
  <c r="GK120" i="5" s="1"/>
  <c r="GK119" i="5" s="1"/>
  <c r="GK118" i="5" s="1"/>
  <c r="GK117" i="5" s="1"/>
  <c r="GK116" i="5" s="1"/>
  <c r="GK115" i="5" s="1"/>
  <c r="GK114" i="5" s="1"/>
  <c r="GK113" i="5" s="1"/>
  <c r="GK112" i="5" s="1"/>
  <c r="GL213" i="5"/>
  <c r="GL212" i="5" s="1"/>
  <c r="GL211" i="5" s="1"/>
  <c r="GL210" i="5" s="1"/>
  <c r="GL209" i="5" s="1"/>
  <c r="GL208" i="5" s="1"/>
  <c r="GL207" i="5" s="1"/>
  <c r="GL206" i="5" s="1"/>
  <c r="GL205" i="5" s="1"/>
  <c r="GL204" i="5" s="1"/>
  <c r="GL203" i="5" s="1"/>
  <c r="GL202" i="5" s="1"/>
  <c r="GL201" i="5" s="1"/>
  <c r="GL200" i="5" s="1"/>
  <c r="GL199" i="5" s="1"/>
  <c r="GL198" i="5" s="1"/>
  <c r="GL197" i="5" s="1"/>
  <c r="GL196" i="5" s="1"/>
  <c r="GL195" i="5" s="1"/>
  <c r="GL194" i="5" s="1"/>
  <c r="GL193" i="5" s="1"/>
  <c r="GL192" i="5" s="1"/>
  <c r="GL191" i="5" s="1"/>
  <c r="GL190" i="5" s="1"/>
  <c r="GL189" i="5" s="1"/>
  <c r="GL188" i="5" s="1"/>
  <c r="GL187" i="5" s="1"/>
  <c r="GL186" i="5" s="1"/>
  <c r="GL185" i="5" s="1"/>
  <c r="GL184" i="5" s="1"/>
  <c r="GL183" i="5" s="1"/>
  <c r="GL182" i="5" s="1"/>
  <c r="GL181" i="5" s="1"/>
  <c r="GL180" i="5" s="1"/>
  <c r="GL179" i="5" s="1"/>
  <c r="GL178" i="5" s="1"/>
  <c r="GL177" i="5" s="1"/>
  <c r="GL176" i="5" s="1"/>
  <c r="GL175" i="5" s="1"/>
  <c r="GL174" i="5" s="1"/>
  <c r="GL173" i="5" s="1"/>
  <c r="GL172" i="5" s="1"/>
  <c r="GL171" i="5" s="1"/>
  <c r="GL170" i="5" s="1"/>
  <c r="GL169" i="5" s="1"/>
  <c r="GL168" i="5" s="1"/>
  <c r="GL167" i="5" s="1"/>
  <c r="GL166" i="5" s="1"/>
  <c r="GL165" i="5" s="1"/>
  <c r="GL164" i="5" s="1"/>
  <c r="GL163" i="5" s="1"/>
  <c r="GL162" i="5" s="1"/>
  <c r="GL161" i="5" s="1"/>
  <c r="GL160" i="5" s="1"/>
  <c r="GL159" i="5" s="1"/>
  <c r="GL158" i="5" s="1"/>
  <c r="GL157" i="5" s="1"/>
  <c r="GL156" i="5" s="1"/>
  <c r="GL155" i="5" s="1"/>
  <c r="GL154" i="5" s="1"/>
  <c r="GL153" i="5" s="1"/>
  <c r="GL152" i="5" s="1"/>
  <c r="GL151" i="5" s="1"/>
  <c r="GL150" i="5" s="1"/>
  <c r="GL149" i="5" s="1"/>
  <c r="GL148" i="5" s="1"/>
  <c r="GL147" i="5" s="1"/>
  <c r="GL146" i="5" s="1"/>
  <c r="GL145" i="5" s="1"/>
  <c r="GL144" i="5" s="1"/>
  <c r="GL143" i="5" s="1"/>
  <c r="GL142" i="5" s="1"/>
  <c r="GL141" i="5" s="1"/>
  <c r="GL140" i="5" s="1"/>
  <c r="GL139" i="5" s="1"/>
  <c r="GL138" i="5" s="1"/>
  <c r="GL137" i="5" s="1"/>
  <c r="GL136" i="5" s="1"/>
  <c r="GL135" i="5" s="1"/>
  <c r="GL134" i="5" s="1"/>
  <c r="GL133" i="5" s="1"/>
  <c r="GL132" i="5" s="1"/>
  <c r="GL131" i="5" s="1"/>
  <c r="GL130" i="5" s="1"/>
  <c r="GL129" i="5" s="1"/>
  <c r="GL128" i="5" s="1"/>
  <c r="GL127" i="5" s="1"/>
  <c r="GL126" i="5" s="1"/>
  <c r="GL125" i="5" s="1"/>
  <c r="GL124" i="5" s="1"/>
  <c r="GL123" i="5" s="1"/>
  <c r="GL122" i="5" s="1"/>
  <c r="GL121" i="5" s="1"/>
  <c r="GL120" i="5" s="1"/>
  <c r="GL119" i="5" s="1"/>
  <c r="GL118" i="5" s="1"/>
  <c r="GL117" i="5" s="1"/>
  <c r="GL116" i="5" s="1"/>
  <c r="GL115" i="5" s="1"/>
  <c r="GL114" i="5" s="1"/>
  <c r="GL113" i="5" s="1"/>
  <c r="GL112" i="5" s="1"/>
  <c r="GM213" i="5"/>
  <c r="GM212" i="5" s="1"/>
  <c r="GM211" i="5" s="1"/>
  <c r="GM210" i="5" s="1"/>
  <c r="GM209" i="5" s="1"/>
  <c r="GM208" i="5" s="1"/>
  <c r="GM207" i="5" s="1"/>
  <c r="GM206" i="5" s="1"/>
  <c r="GM205" i="5" s="1"/>
  <c r="GM204" i="5" s="1"/>
  <c r="GM203" i="5" s="1"/>
  <c r="GM202" i="5" s="1"/>
  <c r="GM201" i="5" s="1"/>
  <c r="GM200" i="5" s="1"/>
  <c r="GM199" i="5" s="1"/>
  <c r="GM198" i="5" s="1"/>
  <c r="GM197" i="5" s="1"/>
  <c r="GM196" i="5" s="1"/>
  <c r="GM195" i="5" s="1"/>
  <c r="GM194" i="5" s="1"/>
  <c r="GM193" i="5" s="1"/>
  <c r="GM192" i="5" s="1"/>
  <c r="GM191" i="5" s="1"/>
  <c r="GM190" i="5" s="1"/>
  <c r="GM189" i="5" s="1"/>
  <c r="GM188" i="5" s="1"/>
  <c r="GM187" i="5" s="1"/>
  <c r="GM186" i="5" s="1"/>
  <c r="GM185" i="5" s="1"/>
  <c r="GM184" i="5" s="1"/>
  <c r="GM183" i="5" s="1"/>
  <c r="GM182" i="5" s="1"/>
  <c r="GM181" i="5" s="1"/>
  <c r="GM180" i="5" s="1"/>
  <c r="GM179" i="5" s="1"/>
  <c r="GM178" i="5" s="1"/>
  <c r="GM177" i="5" s="1"/>
  <c r="GM176" i="5" s="1"/>
  <c r="GM175" i="5" s="1"/>
  <c r="GM174" i="5" s="1"/>
  <c r="GM173" i="5" s="1"/>
  <c r="GM172" i="5" s="1"/>
  <c r="GM171" i="5" s="1"/>
  <c r="GM170" i="5" s="1"/>
  <c r="GM169" i="5" s="1"/>
  <c r="GM168" i="5" s="1"/>
  <c r="GM167" i="5" s="1"/>
  <c r="GM166" i="5" s="1"/>
  <c r="GM165" i="5" s="1"/>
  <c r="GM164" i="5" s="1"/>
  <c r="GM163" i="5" s="1"/>
  <c r="GM162" i="5" s="1"/>
  <c r="GM161" i="5" s="1"/>
  <c r="GM160" i="5" s="1"/>
  <c r="GM159" i="5" s="1"/>
  <c r="GM158" i="5" s="1"/>
  <c r="GM157" i="5" s="1"/>
  <c r="GM156" i="5" s="1"/>
  <c r="GM155" i="5" s="1"/>
  <c r="GM154" i="5" s="1"/>
  <c r="GM153" i="5" s="1"/>
  <c r="GM152" i="5" s="1"/>
  <c r="GM151" i="5" s="1"/>
  <c r="GM150" i="5" s="1"/>
  <c r="GM149" i="5" s="1"/>
  <c r="GM148" i="5" s="1"/>
  <c r="GM147" i="5" s="1"/>
  <c r="GM146" i="5" s="1"/>
  <c r="GM145" i="5" s="1"/>
  <c r="GM144" i="5" s="1"/>
  <c r="GM143" i="5" s="1"/>
  <c r="GM142" i="5" s="1"/>
  <c r="GM141" i="5" s="1"/>
  <c r="GM140" i="5" s="1"/>
  <c r="GM139" i="5" s="1"/>
  <c r="GM138" i="5" s="1"/>
  <c r="GM137" i="5" s="1"/>
  <c r="GM136" i="5" s="1"/>
  <c r="GM135" i="5" s="1"/>
  <c r="GM134" i="5" s="1"/>
  <c r="GM133" i="5" s="1"/>
  <c r="GM132" i="5" s="1"/>
  <c r="GM131" i="5" s="1"/>
  <c r="GM130" i="5" s="1"/>
  <c r="GM129" i="5" s="1"/>
  <c r="GM128" i="5" s="1"/>
  <c r="GM127" i="5" s="1"/>
  <c r="GM126" i="5" s="1"/>
  <c r="GM125" i="5" s="1"/>
  <c r="GM124" i="5" s="1"/>
  <c r="GM123" i="5" s="1"/>
  <c r="GM122" i="5" s="1"/>
  <c r="GM121" i="5" s="1"/>
  <c r="GM120" i="5" s="1"/>
  <c r="GM119" i="5" s="1"/>
  <c r="GM118" i="5" s="1"/>
  <c r="GM117" i="5" s="1"/>
  <c r="GM116" i="5" s="1"/>
  <c r="GM115" i="5" s="1"/>
  <c r="GM114" i="5" s="1"/>
  <c r="GM113" i="5" s="1"/>
  <c r="GM112" i="5" s="1"/>
  <c r="GN213" i="5"/>
  <c r="GN212" i="5" s="1"/>
  <c r="GN211" i="5" s="1"/>
  <c r="GN210" i="5" s="1"/>
  <c r="GN209" i="5" s="1"/>
  <c r="GN208" i="5" s="1"/>
  <c r="GN207" i="5" s="1"/>
  <c r="GN206" i="5" s="1"/>
  <c r="GN205" i="5" s="1"/>
  <c r="GN204" i="5" s="1"/>
  <c r="GN203" i="5" s="1"/>
  <c r="GN202" i="5" s="1"/>
  <c r="GN201" i="5" s="1"/>
  <c r="GN200" i="5" s="1"/>
  <c r="GN199" i="5" s="1"/>
  <c r="GN198" i="5" s="1"/>
  <c r="GN197" i="5" s="1"/>
  <c r="GN196" i="5" s="1"/>
  <c r="GN195" i="5" s="1"/>
  <c r="GN194" i="5" s="1"/>
  <c r="GN193" i="5" s="1"/>
  <c r="GN192" i="5" s="1"/>
  <c r="GN191" i="5" s="1"/>
  <c r="GN190" i="5" s="1"/>
  <c r="GN189" i="5" s="1"/>
  <c r="GN188" i="5" s="1"/>
  <c r="GN187" i="5" s="1"/>
  <c r="GN186" i="5" s="1"/>
  <c r="GN185" i="5" s="1"/>
  <c r="GN184" i="5" s="1"/>
  <c r="GN183" i="5" s="1"/>
  <c r="GN182" i="5" s="1"/>
  <c r="GN181" i="5" s="1"/>
  <c r="GN180" i="5" s="1"/>
  <c r="GN179" i="5" s="1"/>
  <c r="GN178" i="5" s="1"/>
  <c r="GN177" i="5" s="1"/>
  <c r="GN176" i="5" s="1"/>
  <c r="GN175" i="5" s="1"/>
  <c r="GN174" i="5" s="1"/>
  <c r="GN173" i="5" s="1"/>
  <c r="GN172" i="5" s="1"/>
  <c r="GN171" i="5" s="1"/>
  <c r="GN170" i="5" s="1"/>
  <c r="GN169" i="5" s="1"/>
  <c r="GN168" i="5" s="1"/>
  <c r="GN167" i="5" s="1"/>
  <c r="GN166" i="5" s="1"/>
  <c r="GN165" i="5" s="1"/>
  <c r="GN164" i="5" s="1"/>
  <c r="GN163" i="5" s="1"/>
  <c r="GN162" i="5" s="1"/>
  <c r="GN161" i="5" s="1"/>
  <c r="GN160" i="5" s="1"/>
  <c r="GN159" i="5" s="1"/>
  <c r="GN158" i="5" s="1"/>
  <c r="GN157" i="5" s="1"/>
  <c r="GN156" i="5" s="1"/>
  <c r="GN155" i="5" s="1"/>
  <c r="GN154" i="5" s="1"/>
  <c r="GN153" i="5" s="1"/>
  <c r="GN152" i="5" s="1"/>
  <c r="GN151" i="5" s="1"/>
  <c r="GN150" i="5" s="1"/>
  <c r="GN149" i="5" s="1"/>
  <c r="GN148" i="5" s="1"/>
  <c r="GN147" i="5" s="1"/>
  <c r="GN146" i="5" s="1"/>
  <c r="GN145" i="5" s="1"/>
  <c r="GN144" i="5" s="1"/>
  <c r="GN143" i="5" s="1"/>
  <c r="GN142" i="5" s="1"/>
  <c r="GN141" i="5" s="1"/>
  <c r="GN140" i="5" s="1"/>
  <c r="GN139" i="5" s="1"/>
  <c r="GN138" i="5" s="1"/>
  <c r="GN137" i="5" s="1"/>
  <c r="GN136" i="5" s="1"/>
  <c r="GN135" i="5" s="1"/>
  <c r="GN134" i="5" s="1"/>
  <c r="GN133" i="5" s="1"/>
  <c r="GN132" i="5" s="1"/>
  <c r="GN131" i="5" s="1"/>
  <c r="GN130" i="5" s="1"/>
  <c r="GN129" i="5" s="1"/>
  <c r="GN128" i="5" s="1"/>
  <c r="GN127" i="5" s="1"/>
  <c r="GN126" i="5" s="1"/>
  <c r="GN125" i="5" s="1"/>
  <c r="GN124" i="5" s="1"/>
  <c r="GN123" i="5" s="1"/>
  <c r="GN122" i="5" s="1"/>
  <c r="GN121" i="5" s="1"/>
  <c r="GN120" i="5" s="1"/>
  <c r="GN119" i="5" s="1"/>
  <c r="GN118" i="5" s="1"/>
  <c r="GN117" i="5" s="1"/>
  <c r="GN116" i="5" s="1"/>
  <c r="GN115" i="5" s="1"/>
  <c r="GN114" i="5" s="1"/>
  <c r="GN113" i="5" s="1"/>
  <c r="GN112" i="5" s="1"/>
  <c r="GO213" i="5"/>
  <c r="GO212" i="5" s="1"/>
  <c r="GO211" i="5" s="1"/>
  <c r="GO210" i="5" s="1"/>
  <c r="GO209" i="5" s="1"/>
  <c r="GO208" i="5" s="1"/>
  <c r="GO207" i="5" s="1"/>
  <c r="GO206" i="5" s="1"/>
  <c r="GO205" i="5" s="1"/>
  <c r="GO204" i="5" s="1"/>
  <c r="GO203" i="5" s="1"/>
  <c r="GO202" i="5" s="1"/>
  <c r="GO201" i="5" s="1"/>
  <c r="GO200" i="5" s="1"/>
  <c r="GO199" i="5" s="1"/>
  <c r="GO198" i="5" s="1"/>
  <c r="GO197" i="5" s="1"/>
  <c r="GO196" i="5" s="1"/>
  <c r="GO195" i="5" s="1"/>
  <c r="GO194" i="5" s="1"/>
  <c r="GO193" i="5" s="1"/>
  <c r="GO192" i="5" s="1"/>
  <c r="GO191" i="5" s="1"/>
  <c r="GO190" i="5" s="1"/>
  <c r="GO189" i="5" s="1"/>
  <c r="GO188" i="5" s="1"/>
  <c r="GO187" i="5" s="1"/>
  <c r="GO186" i="5" s="1"/>
  <c r="GO185" i="5" s="1"/>
  <c r="GO184" i="5" s="1"/>
  <c r="GO183" i="5" s="1"/>
  <c r="GO182" i="5" s="1"/>
  <c r="GO181" i="5" s="1"/>
  <c r="GO180" i="5" s="1"/>
  <c r="GO179" i="5" s="1"/>
  <c r="GO178" i="5" s="1"/>
  <c r="GO177" i="5" s="1"/>
  <c r="GO176" i="5" s="1"/>
  <c r="GO175" i="5" s="1"/>
  <c r="GO174" i="5" s="1"/>
  <c r="GO173" i="5" s="1"/>
  <c r="GO172" i="5" s="1"/>
  <c r="GO171" i="5" s="1"/>
  <c r="GO170" i="5" s="1"/>
  <c r="GO169" i="5" s="1"/>
  <c r="GO168" i="5" s="1"/>
  <c r="GO167" i="5" s="1"/>
  <c r="GO166" i="5" s="1"/>
  <c r="GO165" i="5" s="1"/>
  <c r="GO164" i="5" s="1"/>
  <c r="GO163" i="5" s="1"/>
  <c r="GO162" i="5" s="1"/>
  <c r="GO161" i="5" s="1"/>
  <c r="GO160" i="5" s="1"/>
  <c r="GO159" i="5" s="1"/>
  <c r="GO158" i="5" s="1"/>
  <c r="GO157" i="5" s="1"/>
  <c r="GO156" i="5" s="1"/>
  <c r="GO155" i="5" s="1"/>
  <c r="GO154" i="5" s="1"/>
  <c r="GO153" i="5" s="1"/>
  <c r="GO152" i="5" s="1"/>
  <c r="GO151" i="5" s="1"/>
  <c r="GO150" i="5" s="1"/>
  <c r="GO149" i="5" s="1"/>
  <c r="GO148" i="5" s="1"/>
  <c r="GO147" i="5" s="1"/>
  <c r="GO146" i="5" s="1"/>
  <c r="GO145" i="5" s="1"/>
  <c r="GO144" i="5" s="1"/>
  <c r="GO143" i="5" s="1"/>
  <c r="GO142" i="5" s="1"/>
  <c r="GO141" i="5" s="1"/>
  <c r="GO140" i="5" s="1"/>
  <c r="GO139" i="5" s="1"/>
  <c r="GO138" i="5" s="1"/>
  <c r="GO137" i="5" s="1"/>
  <c r="GO136" i="5" s="1"/>
  <c r="GO135" i="5" s="1"/>
  <c r="GO134" i="5" s="1"/>
  <c r="GO133" i="5" s="1"/>
  <c r="GO132" i="5" s="1"/>
  <c r="GO131" i="5" s="1"/>
  <c r="GO130" i="5" s="1"/>
  <c r="GO129" i="5" s="1"/>
  <c r="GO128" i="5" s="1"/>
  <c r="GO127" i="5" s="1"/>
  <c r="GO126" i="5" s="1"/>
  <c r="GO125" i="5" s="1"/>
  <c r="GO124" i="5" s="1"/>
  <c r="GO123" i="5" s="1"/>
  <c r="GO122" i="5" s="1"/>
  <c r="GO121" i="5" s="1"/>
  <c r="GO120" i="5" s="1"/>
  <c r="GO119" i="5" s="1"/>
  <c r="GO118" i="5" s="1"/>
  <c r="GO117" i="5" s="1"/>
  <c r="GO116" i="5" s="1"/>
  <c r="GO115" i="5" s="1"/>
  <c r="GO114" i="5" s="1"/>
  <c r="GO113" i="5" s="1"/>
  <c r="GO112" i="5" s="1"/>
  <c r="GP213" i="5"/>
  <c r="GP212" i="5" s="1"/>
  <c r="GP211" i="5" s="1"/>
  <c r="GP210" i="5" s="1"/>
  <c r="GP209" i="5" s="1"/>
  <c r="GP208" i="5" s="1"/>
  <c r="GP207" i="5" s="1"/>
  <c r="GP206" i="5" s="1"/>
  <c r="GP205" i="5" s="1"/>
  <c r="GP204" i="5" s="1"/>
  <c r="GP203" i="5" s="1"/>
  <c r="GP202" i="5" s="1"/>
  <c r="GP201" i="5" s="1"/>
  <c r="GP200" i="5" s="1"/>
  <c r="GP199" i="5" s="1"/>
  <c r="GP198" i="5" s="1"/>
  <c r="GP197" i="5" s="1"/>
  <c r="GP196" i="5" s="1"/>
  <c r="GP195" i="5" s="1"/>
  <c r="GP194" i="5" s="1"/>
  <c r="GP193" i="5" s="1"/>
  <c r="GP192" i="5" s="1"/>
  <c r="GP191" i="5" s="1"/>
  <c r="GP190" i="5" s="1"/>
  <c r="GP189" i="5" s="1"/>
  <c r="GP188" i="5" s="1"/>
  <c r="GP187" i="5" s="1"/>
  <c r="GP186" i="5" s="1"/>
  <c r="GP185" i="5" s="1"/>
  <c r="GP184" i="5" s="1"/>
  <c r="GP183" i="5" s="1"/>
  <c r="GP182" i="5" s="1"/>
  <c r="GP181" i="5" s="1"/>
  <c r="GP180" i="5" s="1"/>
  <c r="GP179" i="5" s="1"/>
  <c r="GP178" i="5" s="1"/>
  <c r="GP177" i="5" s="1"/>
  <c r="GP176" i="5" s="1"/>
  <c r="GP175" i="5" s="1"/>
  <c r="GP174" i="5" s="1"/>
  <c r="GP173" i="5" s="1"/>
  <c r="GP172" i="5" s="1"/>
  <c r="GP171" i="5" s="1"/>
  <c r="GP170" i="5" s="1"/>
  <c r="GP169" i="5" s="1"/>
  <c r="GP168" i="5" s="1"/>
  <c r="GP167" i="5" s="1"/>
  <c r="GP166" i="5" s="1"/>
  <c r="GP165" i="5" s="1"/>
  <c r="GP164" i="5" s="1"/>
  <c r="GP163" i="5" s="1"/>
  <c r="GP162" i="5" s="1"/>
  <c r="GP161" i="5" s="1"/>
  <c r="GP160" i="5" s="1"/>
  <c r="GP159" i="5" s="1"/>
  <c r="GP158" i="5" s="1"/>
  <c r="GP157" i="5" s="1"/>
  <c r="GP156" i="5" s="1"/>
  <c r="GP155" i="5" s="1"/>
  <c r="GP154" i="5" s="1"/>
  <c r="GP153" i="5" s="1"/>
  <c r="GP152" i="5" s="1"/>
  <c r="GP151" i="5" s="1"/>
  <c r="GP150" i="5" s="1"/>
  <c r="GP149" i="5" s="1"/>
  <c r="GP148" i="5" s="1"/>
  <c r="GP147" i="5" s="1"/>
  <c r="GP146" i="5" s="1"/>
  <c r="GP145" i="5" s="1"/>
  <c r="GP144" i="5" s="1"/>
  <c r="GP143" i="5" s="1"/>
  <c r="GP142" i="5" s="1"/>
  <c r="GP141" i="5" s="1"/>
  <c r="GP140" i="5" s="1"/>
  <c r="GP139" i="5" s="1"/>
  <c r="GP138" i="5" s="1"/>
  <c r="GP137" i="5" s="1"/>
  <c r="GP136" i="5" s="1"/>
  <c r="GP135" i="5" s="1"/>
  <c r="GP134" i="5" s="1"/>
  <c r="GP133" i="5" s="1"/>
  <c r="GP132" i="5" s="1"/>
  <c r="GP131" i="5" s="1"/>
  <c r="GP130" i="5" s="1"/>
  <c r="GP129" i="5" s="1"/>
  <c r="GP128" i="5" s="1"/>
  <c r="GP127" i="5" s="1"/>
  <c r="GP126" i="5" s="1"/>
  <c r="GP125" i="5" s="1"/>
  <c r="GP124" i="5" s="1"/>
  <c r="GP123" i="5" s="1"/>
  <c r="GP122" i="5" s="1"/>
  <c r="GP121" i="5" s="1"/>
  <c r="GP120" i="5" s="1"/>
  <c r="GP119" i="5" s="1"/>
  <c r="GP118" i="5" s="1"/>
  <c r="GP117" i="5" s="1"/>
  <c r="GP116" i="5" s="1"/>
  <c r="GP115" i="5" s="1"/>
  <c r="GP114" i="5" s="1"/>
  <c r="GP113" i="5" s="1"/>
  <c r="GP112" i="5" s="1"/>
  <c r="GQ213" i="5"/>
  <c r="GQ212" i="5" s="1"/>
  <c r="GQ211" i="5" s="1"/>
  <c r="GQ210" i="5" s="1"/>
  <c r="GQ209" i="5" s="1"/>
  <c r="GQ208" i="5" s="1"/>
  <c r="GQ207" i="5" s="1"/>
  <c r="GQ206" i="5" s="1"/>
  <c r="GQ205" i="5" s="1"/>
  <c r="GQ204" i="5" s="1"/>
  <c r="GQ203" i="5" s="1"/>
  <c r="GQ202" i="5" s="1"/>
  <c r="GQ201" i="5" s="1"/>
  <c r="GQ200" i="5" s="1"/>
  <c r="GQ199" i="5" s="1"/>
  <c r="GQ198" i="5" s="1"/>
  <c r="GQ197" i="5" s="1"/>
  <c r="GQ196" i="5" s="1"/>
  <c r="GQ195" i="5" s="1"/>
  <c r="GQ194" i="5" s="1"/>
  <c r="GQ193" i="5" s="1"/>
  <c r="GQ192" i="5" s="1"/>
  <c r="GQ191" i="5" s="1"/>
  <c r="GQ190" i="5" s="1"/>
  <c r="GQ189" i="5" s="1"/>
  <c r="GQ188" i="5" s="1"/>
  <c r="GQ187" i="5" s="1"/>
  <c r="GQ186" i="5" s="1"/>
  <c r="GQ185" i="5" s="1"/>
  <c r="GQ184" i="5" s="1"/>
  <c r="GQ183" i="5" s="1"/>
  <c r="GQ182" i="5" s="1"/>
  <c r="GQ181" i="5" s="1"/>
  <c r="GQ180" i="5" s="1"/>
  <c r="GQ179" i="5" s="1"/>
  <c r="GQ178" i="5" s="1"/>
  <c r="GQ177" i="5" s="1"/>
  <c r="GQ176" i="5" s="1"/>
  <c r="GQ175" i="5" s="1"/>
  <c r="GQ174" i="5" s="1"/>
  <c r="GQ173" i="5" s="1"/>
  <c r="GQ172" i="5" s="1"/>
  <c r="GQ171" i="5" s="1"/>
  <c r="GQ170" i="5" s="1"/>
  <c r="GQ169" i="5" s="1"/>
  <c r="GQ168" i="5" s="1"/>
  <c r="GQ167" i="5" s="1"/>
  <c r="GQ166" i="5" s="1"/>
  <c r="GQ165" i="5" s="1"/>
  <c r="GQ164" i="5" s="1"/>
  <c r="GQ163" i="5" s="1"/>
  <c r="GQ162" i="5" s="1"/>
  <c r="GQ161" i="5" s="1"/>
  <c r="GQ160" i="5" s="1"/>
  <c r="GQ159" i="5" s="1"/>
  <c r="GQ158" i="5" s="1"/>
  <c r="GQ157" i="5" s="1"/>
  <c r="GQ156" i="5" s="1"/>
  <c r="GQ155" i="5" s="1"/>
  <c r="GQ154" i="5" s="1"/>
  <c r="GQ153" i="5" s="1"/>
  <c r="GQ152" i="5" s="1"/>
  <c r="GQ151" i="5" s="1"/>
  <c r="GQ150" i="5" s="1"/>
  <c r="GQ149" i="5" s="1"/>
  <c r="GQ148" i="5" s="1"/>
  <c r="GQ147" i="5" s="1"/>
  <c r="GQ146" i="5" s="1"/>
  <c r="GQ145" i="5" s="1"/>
  <c r="GQ144" i="5" s="1"/>
  <c r="GQ143" i="5" s="1"/>
  <c r="GQ142" i="5" s="1"/>
  <c r="GQ141" i="5" s="1"/>
  <c r="GQ140" i="5" s="1"/>
  <c r="GQ139" i="5" s="1"/>
  <c r="GQ138" i="5" s="1"/>
  <c r="GQ137" i="5" s="1"/>
  <c r="GQ136" i="5" s="1"/>
  <c r="GQ135" i="5" s="1"/>
  <c r="GQ134" i="5" s="1"/>
  <c r="GQ133" i="5" s="1"/>
  <c r="GQ132" i="5" s="1"/>
  <c r="GQ131" i="5" s="1"/>
  <c r="GQ130" i="5" s="1"/>
  <c r="GQ129" i="5" s="1"/>
  <c r="GQ128" i="5" s="1"/>
  <c r="GQ127" i="5" s="1"/>
  <c r="GQ126" i="5" s="1"/>
  <c r="GQ125" i="5" s="1"/>
  <c r="GQ124" i="5" s="1"/>
  <c r="GQ123" i="5" s="1"/>
  <c r="GQ122" i="5" s="1"/>
  <c r="GQ121" i="5" s="1"/>
  <c r="GQ120" i="5" s="1"/>
  <c r="GQ119" i="5" s="1"/>
  <c r="GQ118" i="5" s="1"/>
  <c r="GQ117" i="5" s="1"/>
  <c r="GQ116" i="5" s="1"/>
  <c r="GQ115" i="5" s="1"/>
  <c r="GQ114" i="5" s="1"/>
  <c r="GQ113" i="5" s="1"/>
  <c r="GQ112" i="5" s="1"/>
  <c r="GR213" i="5"/>
  <c r="GR212" i="5" s="1"/>
  <c r="GR211" i="5" s="1"/>
  <c r="GR210" i="5" s="1"/>
  <c r="GR209" i="5" s="1"/>
  <c r="GR208" i="5" s="1"/>
  <c r="GR207" i="5" s="1"/>
  <c r="GR206" i="5" s="1"/>
  <c r="GR205" i="5" s="1"/>
  <c r="GR204" i="5" s="1"/>
  <c r="GR203" i="5" s="1"/>
  <c r="GR202" i="5" s="1"/>
  <c r="GR201" i="5" s="1"/>
  <c r="GR200" i="5" s="1"/>
  <c r="GR199" i="5" s="1"/>
  <c r="GR198" i="5" s="1"/>
  <c r="GR197" i="5" s="1"/>
  <c r="GR196" i="5" s="1"/>
  <c r="GR195" i="5" s="1"/>
  <c r="GR194" i="5" s="1"/>
  <c r="GR193" i="5" s="1"/>
  <c r="GR192" i="5" s="1"/>
  <c r="GR191" i="5" s="1"/>
  <c r="GR190" i="5" s="1"/>
  <c r="GR189" i="5" s="1"/>
  <c r="GR188" i="5" s="1"/>
  <c r="GR187" i="5" s="1"/>
  <c r="GR186" i="5" s="1"/>
  <c r="GR185" i="5" s="1"/>
  <c r="GR184" i="5" s="1"/>
  <c r="GR183" i="5" s="1"/>
  <c r="GR182" i="5" s="1"/>
  <c r="GR181" i="5" s="1"/>
  <c r="GR180" i="5" s="1"/>
  <c r="GR179" i="5" s="1"/>
  <c r="GR178" i="5" s="1"/>
  <c r="GR177" i="5" s="1"/>
  <c r="GR176" i="5" s="1"/>
  <c r="GR175" i="5" s="1"/>
  <c r="GR174" i="5" s="1"/>
  <c r="GR173" i="5" s="1"/>
  <c r="GR172" i="5" s="1"/>
  <c r="GR171" i="5" s="1"/>
  <c r="GR170" i="5" s="1"/>
  <c r="GR169" i="5" s="1"/>
  <c r="GR168" i="5" s="1"/>
  <c r="GR167" i="5" s="1"/>
  <c r="GR166" i="5" s="1"/>
  <c r="GR165" i="5" s="1"/>
  <c r="GR164" i="5" s="1"/>
  <c r="GR163" i="5" s="1"/>
  <c r="GR162" i="5" s="1"/>
  <c r="GR161" i="5" s="1"/>
  <c r="GR160" i="5" s="1"/>
  <c r="GR159" i="5" s="1"/>
  <c r="GR158" i="5" s="1"/>
  <c r="GR157" i="5" s="1"/>
  <c r="GR156" i="5" s="1"/>
  <c r="GR155" i="5" s="1"/>
  <c r="GR154" i="5" s="1"/>
  <c r="GR153" i="5" s="1"/>
  <c r="GR152" i="5" s="1"/>
  <c r="GR151" i="5" s="1"/>
  <c r="GR150" i="5" s="1"/>
  <c r="GR149" i="5" s="1"/>
  <c r="GR148" i="5" s="1"/>
  <c r="GR147" i="5" s="1"/>
  <c r="GR146" i="5" s="1"/>
  <c r="GR145" i="5" s="1"/>
  <c r="GR144" i="5" s="1"/>
  <c r="GR143" i="5" s="1"/>
  <c r="GR142" i="5" s="1"/>
  <c r="GR141" i="5" s="1"/>
  <c r="GR140" i="5" s="1"/>
  <c r="GR139" i="5" s="1"/>
  <c r="GR138" i="5" s="1"/>
  <c r="GR137" i="5" s="1"/>
  <c r="GR136" i="5" s="1"/>
  <c r="GR135" i="5" s="1"/>
  <c r="GR134" i="5" s="1"/>
  <c r="GR133" i="5" s="1"/>
  <c r="GR132" i="5" s="1"/>
  <c r="GR131" i="5" s="1"/>
  <c r="GR130" i="5" s="1"/>
  <c r="GR129" i="5" s="1"/>
  <c r="GR128" i="5" s="1"/>
  <c r="GR127" i="5" s="1"/>
  <c r="GR126" i="5" s="1"/>
  <c r="GR125" i="5" s="1"/>
  <c r="GR124" i="5" s="1"/>
  <c r="GR123" i="5" s="1"/>
  <c r="GR122" i="5" s="1"/>
  <c r="GR121" i="5" s="1"/>
  <c r="GR120" i="5" s="1"/>
  <c r="GR119" i="5" s="1"/>
  <c r="GR118" i="5" s="1"/>
  <c r="GR117" i="5" s="1"/>
  <c r="GR116" i="5" s="1"/>
  <c r="GR115" i="5" s="1"/>
  <c r="GR114" i="5" s="1"/>
  <c r="GR113" i="5" s="1"/>
  <c r="GR112" i="5" s="1"/>
  <c r="GS213" i="5"/>
  <c r="GS212" i="5" s="1"/>
  <c r="GS211" i="5" s="1"/>
  <c r="GS210" i="5" s="1"/>
  <c r="GS209" i="5" s="1"/>
  <c r="GS208" i="5" s="1"/>
  <c r="GS207" i="5" s="1"/>
  <c r="GS206" i="5" s="1"/>
  <c r="GS205" i="5" s="1"/>
  <c r="GS204" i="5" s="1"/>
  <c r="GS203" i="5" s="1"/>
  <c r="GS202" i="5" s="1"/>
  <c r="GS201" i="5" s="1"/>
  <c r="GS200" i="5" s="1"/>
  <c r="GS199" i="5" s="1"/>
  <c r="GS198" i="5" s="1"/>
  <c r="GS197" i="5" s="1"/>
  <c r="GS196" i="5" s="1"/>
  <c r="GS195" i="5" s="1"/>
  <c r="GS194" i="5" s="1"/>
  <c r="GS193" i="5" s="1"/>
  <c r="GS192" i="5" s="1"/>
  <c r="GS191" i="5" s="1"/>
  <c r="GS190" i="5" s="1"/>
  <c r="GS189" i="5" s="1"/>
  <c r="GS188" i="5" s="1"/>
  <c r="GS187" i="5" s="1"/>
  <c r="GS186" i="5" s="1"/>
  <c r="GS185" i="5" s="1"/>
  <c r="GS184" i="5" s="1"/>
  <c r="GS183" i="5" s="1"/>
  <c r="GS182" i="5" s="1"/>
  <c r="GS181" i="5" s="1"/>
  <c r="GS180" i="5" s="1"/>
  <c r="GS179" i="5" s="1"/>
  <c r="GS178" i="5" s="1"/>
  <c r="GS177" i="5" s="1"/>
  <c r="GS176" i="5" s="1"/>
  <c r="GS175" i="5" s="1"/>
  <c r="GS174" i="5" s="1"/>
  <c r="GS173" i="5" s="1"/>
  <c r="GS172" i="5" s="1"/>
  <c r="GS171" i="5" s="1"/>
  <c r="GS170" i="5" s="1"/>
  <c r="GS169" i="5" s="1"/>
  <c r="GS168" i="5" s="1"/>
  <c r="GS167" i="5" s="1"/>
  <c r="GS166" i="5" s="1"/>
  <c r="GS165" i="5" s="1"/>
  <c r="GS164" i="5" s="1"/>
  <c r="GS163" i="5" s="1"/>
  <c r="GS162" i="5" s="1"/>
  <c r="GS161" i="5" s="1"/>
  <c r="GS160" i="5" s="1"/>
  <c r="GS159" i="5" s="1"/>
  <c r="GS158" i="5" s="1"/>
  <c r="GS157" i="5" s="1"/>
  <c r="GS156" i="5" s="1"/>
  <c r="GS155" i="5" s="1"/>
  <c r="GS154" i="5" s="1"/>
  <c r="GS153" i="5" s="1"/>
  <c r="GS152" i="5" s="1"/>
  <c r="GS151" i="5" s="1"/>
  <c r="GS150" i="5" s="1"/>
  <c r="GS149" i="5" s="1"/>
  <c r="GS148" i="5" s="1"/>
  <c r="GS147" i="5" s="1"/>
  <c r="GS146" i="5" s="1"/>
  <c r="GS145" i="5" s="1"/>
  <c r="GS144" i="5" s="1"/>
  <c r="GS143" i="5" s="1"/>
  <c r="GS142" i="5" s="1"/>
  <c r="GS141" i="5" s="1"/>
  <c r="GS140" i="5" s="1"/>
  <c r="GS139" i="5" s="1"/>
  <c r="GS138" i="5" s="1"/>
  <c r="GS137" i="5" s="1"/>
  <c r="GS136" i="5" s="1"/>
  <c r="GS135" i="5" s="1"/>
  <c r="GS134" i="5" s="1"/>
  <c r="GS133" i="5" s="1"/>
  <c r="GS132" i="5" s="1"/>
  <c r="GS131" i="5" s="1"/>
  <c r="GS130" i="5" s="1"/>
  <c r="GS129" i="5" s="1"/>
  <c r="GS128" i="5" s="1"/>
  <c r="GS127" i="5" s="1"/>
  <c r="GS126" i="5" s="1"/>
  <c r="GS125" i="5" s="1"/>
  <c r="GS124" i="5" s="1"/>
  <c r="GS123" i="5" s="1"/>
  <c r="GS122" i="5" s="1"/>
  <c r="GS121" i="5" s="1"/>
  <c r="GS120" i="5" s="1"/>
  <c r="GS119" i="5" s="1"/>
  <c r="GS118" i="5" s="1"/>
  <c r="GS117" i="5" s="1"/>
  <c r="GS116" i="5" s="1"/>
  <c r="GS115" i="5" s="1"/>
  <c r="GS114" i="5" s="1"/>
  <c r="GS113" i="5" s="1"/>
  <c r="GS112" i="5" s="1"/>
  <c r="GT213" i="5"/>
  <c r="GT212" i="5" s="1"/>
  <c r="GT211" i="5" s="1"/>
  <c r="GT210" i="5" s="1"/>
  <c r="GT209" i="5" s="1"/>
  <c r="GT208" i="5" s="1"/>
  <c r="GT207" i="5" s="1"/>
  <c r="GT206" i="5" s="1"/>
  <c r="GT205" i="5" s="1"/>
  <c r="GT204" i="5" s="1"/>
  <c r="GT203" i="5" s="1"/>
  <c r="GT202" i="5" s="1"/>
  <c r="GT201" i="5" s="1"/>
  <c r="GT200" i="5" s="1"/>
  <c r="GT199" i="5" s="1"/>
  <c r="GT198" i="5" s="1"/>
  <c r="GT197" i="5" s="1"/>
  <c r="GT196" i="5" s="1"/>
  <c r="GT195" i="5" s="1"/>
  <c r="GT194" i="5" s="1"/>
  <c r="GT193" i="5" s="1"/>
  <c r="GT192" i="5" s="1"/>
  <c r="GT191" i="5" s="1"/>
  <c r="GT190" i="5" s="1"/>
  <c r="GT189" i="5" s="1"/>
  <c r="GT188" i="5" s="1"/>
  <c r="GT187" i="5" s="1"/>
  <c r="GT186" i="5" s="1"/>
  <c r="GT185" i="5" s="1"/>
  <c r="GT184" i="5" s="1"/>
  <c r="GT183" i="5" s="1"/>
  <c r="GT182" i="5" s="1"/>
  <c r="GT181" i="5" s="1"/>
  <c r="GT180" i="5" s="1"/>
  <c r="GT179" i="5" s="1"/>
  <c r="GT178" i="5" s="1"/>
  <c r="GT177" i="5" s="1"/>
  <c r="GT176" i="5" s="1"/>
  <c r="GT175" i="5" s="1"/>
  <c r="GT174" i="5" s="1"/>
  <c r="GT173" i="5" s="1"/>
  <c r="GT172" i="5" s="1"/>
  <c r="GT171" i="5" s="1"/>
  <c r="GT170" i="5" s="1"/>
  <c r="GT169" i="5" s="1"/>
  <c r="GT168" i="5" s="1"/>
  <c r="GT167" i="5" s="1"/>
  <c r="GT166" i="5" s="1"/>
  <c r="GT165" i="5" s="1"/>
  <c r="GT164" i="5" s="1"/>
  <c r="GT163" i="5" s="1"/>
  <c r="GT162" i="5" s="1"/>
  <c r="GT161" i="5" s="1"/>
  <c r="GT160" i="5" s="1"/>
  <c r="GT159" i="5" s="1"/>
  <c r="GT158" i="5" s="1"/>
  <c r="GT157" i="5" s="1"/>
  <c r="GT156" i="5" s="1"/>
  <c r="GT155" i="5" s="1"/>
  <c r="GT154" i="5" s="1"/>
  <c r="GT153" i="5" s="1"/>
  <c r="GT152" i="5" s="1"/>
  <c r="GT151" i="5" s="1"/>
  <c r="GT150" i="5" s="1"/>
  <c r="GT149" i="5" s="1"/>
  <c r="GT148" i="5" s="1"/>
  <c r="GT147" i="5" s="1"/>
  <c r="GT146" i="5" s="1"/>
  <c r="GT145" i="5" s="1"/>
  <c r="GT144" i="5" s="1"/>
  <c r="GT143" i="5" s="1"/>
  <c r="GT142" i="5" s="1"/>
  <c r="GT141" i="5" s="1"/>
  <c r="GT140" i="5" s="1"/>
  <c r="GT139" i="5" s="1"/>
  <c r="GT138" i="5" s="1"/>
  <c r="GT137" i="5" s="1"/>
  <c r="GT136" i="5" s="1"/>
  <c r="GT135" i="5" s="1"/>
  <c r="GT134" i="5" s="1"/>
  <c r="GT133" i="5" s="1"/>
  <c r="GT132" i="5" s="1"/>
  <c r="GT131" i="5" s="1"/>
  <c r="GT130" i="5" s="1"/>
  <c r="GT129" i="5" s="1"/>
  <c r="GT128" i="5" s="1"/>
  <c r="GT127" i="5" s="1"/>
  <c r="GT126" i="5" s="1"/>
  <c r="GT125" i="5" s="1"/>
  <c r="GT124" i="5" s="1"/>
  <c r="GT123" i="5" s="1"/>
  <c r="GT122" i="5" s="1"/>
  <c r="GT121" i="5" s="1"/>
  <c r="GT120" i="5" s="1"/>
  <c r="GT119" i="5" s="1"/>
  <c r="GT118" i="5" s="1"/>
  <c r="GT117" i="5" s="1"/>
  <c r="GT116" i="5" s="1"/>
  <c r="GT115" i="5" s="1"/>
  <c r="GT114" i="5" s="1"/>
  <c r="GT113" i="5" s="1"/>
  <c r="GT112" i="5" s="1"/>
  <c r="GU213" i="5"/>
  <c r="GU212" i="5" s="1"/>
  <c r="GU211" i="5" s="1"/>
  <c r="GU210" i="5" s="1"/>
  <c r="GU209" i="5" s="1"/>
  <c r="GU208" i="5" s="1"/>
  <c r="GU207" i="5" s="1"/>
  <c r="GU206" i="5" s="1"/>
  <c r="GU205" i="5" s="1"/>
  <c r="GU204" i="5" s="1"/>
  <c r="GU203" i="5" s="1"/>
  <c r="GU202" i="5" s="1"/>
  <c r="GU201" i="5" s="1"/>
  <c r="GU200" i="5" s="1"/>
  <c r="GU199" i="5" s="1"/>
  <c r="GU198" i="5" s="1"/>
  <c r="GU197" i="5" s="1"/>
  <c r="GU196" i="5" s="1"/>
  <c r="GU195" i="5" s="1"/>
  <c r="GU194" i="5" s="1"/>
  <c r="GU193" i="5" s="1"/>
  <c r="GU192" i="5" s="1"/>
  <c r="GU191" i="5" s="1"/>
  <c r="GU190" i="5" s="1"/>
  <c r="GU189" i="5" s="1"/>
  <c r="GU188" i="5" s="1"/>
  <c r="GU187" i="5" s="1"/>
  <c r="GU186" i="5" s="1"/>
  <c r="GU185" i="5" s="1"/>
  <c r="GU184" i="5" s="1"/>
  <c r="GU183" i="5" s="1"/>
  <c r="GU182" i="5" s="1"/>
  <c r="GU181" i="5" s="1"/>
  <c r="GU180" i="5" s="1"/>
  <c r="GU179" i="5" s="1"/>
  <c r="GU178" i="5" s="1"/>
  <c r="GU177" i="5" s="1"/>
  <c r="GU176" i="5" s="1"/>
  <c r="GU175" i="5" s="1"/>
  <c r="GU174" i="5" s="1"/>
  <c r="GU173" i="5" s="1"/>
  <c r="GU172" i="5" s="1"/>
  <c r="GU171" i="5" s="1"/>
  <c r="GU170" i="5" s="1"/>
  <c r="GU169" i="5" s="1"/>
  <c r="GU168" i="5" s="1"/>
  <c r="GU167" i="5" s="1"/>
  <c r="GU166" i="5" s="1"/>
  <c r="GU165" i="5" s="1"/>
  <c r="GU164" i="5" s="1"/>
  <c r="GU163" i="5" s="1"/>
  <c r="GU162" i="5" s="1"/>
  <c r="GU161" i="5" s="1"/>
  <c r="GU160" i="5" s="1"/>
  <c r="GU159" i="5" s="1"/>
  <c r="GU158" i="5" s="1"/>
  <c r="GU157" i="5" s="1"/>
  <c r="GU156" i="5" s="1"/>
  <c r="GU155" i="5" s="1"/>
  <c r="GU154" i="5" s="1"/>
  <c r="GU153" i="5" s="1"/>
  <c r="GU152" i="5" s="1"/>
  <c r="GU151" i="5" s="1"/>
  <c r="GU150" i="5" s="1"/>
  <c r="GU149" i="5" s="1"/>
  <c r="GU148" i="5" s="1"/>
  <c r="GU147" i="5" s="1"/>
  <c r="GU146" i="5" s="1"/>
  <c r="GU145" i="5" s="1"/>
  <c r="GU144" i="5" s="1"/>
  <c r="GU143" i="5" s="1"/>
  <c r="GU142" i="5" s="1"/>
  <c r="GU141" i="5" s="1"/>
  <c r="GU140" i="5" s="1"/>
  <c r="GU139" i="5" s="1"/>
  <c r="GU138" i="5" s="1"/>
  <c r="GU137" i="5" s="1"/>
  <c r="GU136" i="5" s="1"/>
  <c r="GU135" i="5" s="1"/>
  <c r="GU134" i="5" s="1"/>
  <c r="GU133" i="5" s="1"/>
  <c r="GU132" i="5" s="1"/>
  <c r="GU131" i="5" s="1"/>
  <c r="GU130" i="5" s="1"/>
  <c r="GU129" i="5" s="1"/>
  <c r="GU128" i="5" s="1"/>
  <c r="GU127" i="5" s="1"/>
  <c r="GU126" i="5" s="1"/>
  <c r="GU125" i="5" s="1"/>
  <c r="GU124" i="5" s="1"/>
  <c r="GU123" i="5" s="1"/>
  <c r="GU122" i="5" s="1"/>
  <c r="GU121" i="5" s="1"/>
  <c r="GU120" i="5" s="1"/>
  <c r="GU119" i="5" s="1"/>
  <c r="GU118" i="5" s="1"/>
  <c r="GU117" i="5" s="1"/>
  <c r="GU116" i="5" s="1"/>
  <c r="GU115" i="5" s="1"/>
  <c r="GU114" i="5" s="1"/>
  <c r="GU113" i="5" s="1"/>
  <c r="GU112" i="5" s="1"/>
  <c r="GV213" i="5"/>
  <c r="GV212" i="5" s="1"/>
  <c r="GV211" i="5" s="1"/>
  <c r="GV210" i="5" s="1"/>
  <c r="GV209" i="5" s="1"/>
  <c r="GV208" i="5" s="1"/>
  <c r="GV207" i="5" s="1"/>
  <c r="GV206" i="5" s="1"/>
  <c r="GV205" i="5" s="1"/>
  <c r="GV204" i="5" s="1"/>
  <c r="GV203" i="5" s="1"/>
  <c r="GV202" i="5" s="1"/>
  <c r="GV201" i="5" s="1"/>
  <c r="GV200" i="5" s="1"/>
  <c r="GV199" i="5" s="1"/>
  <c r="GV198" i="5" s="1"/>
  <c r="GV197" i="5" s="1"/>
  <c r="GV196" i="5" s="1"/>
  <c r="GV195" i="5" s="1"/>
  <c r="GV194" i="5" s="1"/>
  <c r="GV193" i="5" s="1"/>
  <c r="GV192" i="5" s="1"/>
  <c r="GV191" i="5" s="1"/>
  <c r="GV190" i="5" s="1"/>
  <c r="GV189" i="5" s="1"/>
  <c r="GV188" i="5" s="1"/>
  <c r="GV187" i="5" s="1"/>
  <c r="GV186" i="5" s="1"/>
  <c r="GV185" i="5" s="1"/>
  <c r="GV184" i="5" s="1"/>
  <c r="GV183" i="5" s="1"/>
  <c r="GV182" i="5" s="1"/>
  <c r="GV181" i="5" s="1"/>
  <c r="GV180" i="5" s="1"/>
  <c r="GV179" i="5" s="1"/>
  <c r="GV178" i="5" s="1"/>
  <c r="GV177" i="5" s="1"/>
  <c r="GV176" i="5" s="1"/>
  <c r="GV175" i="5" s="1"/>
  <c r="GV174" i="5" s="1"/>
  <c r="GV173" i="5" s="1"/>
  <c r="GV172" i="5" s="1"/>
  <c r="GV171" i="5" s="1"/>
  <c r="GV170" i="5" s="1"/>
  <c r="GV169" i="5" s="1"/>
  <c r="GV168" i="5" s="1"/>
  <c r="GV167" i="5" s="1"/>
  <c r="GV166" i="5" s="1"/>
  <c r="GV165" i="5" s="1"/>
  <c r="GV164" i="5" s="1"/>
  <c r="GV163" i="5" s="1"/>
  <c r="GV162" i="5" s="1"/>
  <c r="GV161" i="5" s="1"/>
  <c r="GV160" i="5" s="1"/>
  <c r="GV159" i="5" s="1"/>
  <c r="GV158" i="5" s="1"/>
  <c r="GV157" i="5" s="1"/>
  <c r="GV156" i="5" s="1"/>
  <c r="GV155" i="5" s="1"/>
  <c r="GV154" i="5" s="1"/>
  <c r="GV153" i="5" s="1"/>
  <c r="GV152" i="5" s="1"/>
  <c r="GV151" i="5" s="1"/>
  <c r="GV150" i="5" s="1"/>
  <c r="GV149" i="5" s="1"/>
  <c r="GV148" i="5" s="1"/>
  <c r="GV147" i="5" s="1"/>
  <c r="GV146" i="5" s="1"/>
  <c r="GV145" i="5" s="1"/>
  <c r="GV144" i="5" s="1"/>
  <c r="GV143" i="5" s="1"/>
  <c r="GV142" i="5" s="1"/>
  <c r="GV141" i="5" s="1"/>
  <c r="GV140" i="5" s="1"/>
  <c r="GV139" i="5" s="1"/>
  <c r="GV138" i="5" s="1"/>
  <c r="GV137" i="5" s="1"/>
  <c r="GV136" i="5" s="1"/>
  <c r="GV135" i="5" s="1"/>
  <c r="GV134" i="5" s="1"/>
  <c r="GV133" i="5" s="1"/>
  <c r="GV132" i="5" s="1"/>
  <c r="GV131" i="5" s="1"/>
  <c r="GV130" i="5" s="1"/>
  <c r="GV129" i="5" s="1"/>
  <c r="GV128" i="5" s="1"/>
  <c r="GV127" i="5" s="1"/>
  <c r="GV126" i="5" s="1"/>
  <c r="GV125" i="5" s="1"/>
  <c r="GV124" i="5" s="1"/>
  <c r="GV123" i="5" s="1"/>
  <c r="GV122" i="5" s="1"/>
  <c r="GV121" i="5" s="1"/>
  <c r="GV120" i="5" s="1"/>
  <c r="GV119" i="5" s="1"/>
  <c r="GV118" i="5" s="1"/>
  <c r="GV117" i="5" s="1"/>
  <c r="GV116" i="5" s="1"/>
  <c r="GV115" i="5" s="1"/>
  <c r="GV114" i="5" s="1"/>
  <c r="GV113" i="5" s="1"/>
  <c r="GV112" i="5" s="1"/>
  <c r="GW213" i="5"/>
  <c r="GW212" i="5" s="1"/>
  <c r="GW211" i="5" s="1"/>
  <c r="GW210" i="5" s="1"/>
  <c r="GW209" i="5" s="1"/>
  <c r="GW208" i="5" s="1"/>
  <c r="GW207" i="5" s="1"/>
  <c r="GW206" i="5" s="1"/>
  <c r="GW205" i="5" s="1"/>
  <c r="GW204" i="5" s="1"/>
  <c r="GW203" i="5" s="1"/>
  <c r="GW202" i="5" s="1"/>
  <c r="GW201" i="5" s="1"/>
  <c r="GW200" i="5" s="1"/>
  <c r="GW199" i="5" s="1"/>
  <c r="GW198" i="5" s="1"/>
  <c r="GW197" i="5" s="1"/>
  <c r="GW196" i="5" s="1"/>
  <c r="GW195" i="5" s="1"/>
  <c r="GW194" i="5" s="1"/>
  <c r="GW193" i="5" s="1"/>
  <c r="GW192" i="5" s="1"/>
  <c r="GW191" i="5" s="1"/>
  <c r="GW190" i="5" s="1"/>
  <c r="GW189" i="5" s="1"/>
  <c r="GW188" i="5" s="1"/>
  <c r="GW187" i="5" s="1"/>
  <c r="GW186" i="5" s="1"/>
  <c r="GW185" i="5" s="1"/>
  <c r="GW184" i="5" s="1"/>
  <c r="GW183" i="5" s="1"/>
  <c r="GW182" i="5" s="1"/>
  <c r="GW181" i="5" s="1"/>
  <c r="GW180" i="5" s="1"/>
  <c r="GW179" i="5" s="1"/>
  <c r="GW178" i="5" s="1"/>
  <c r="GW177" i="5" s="1"/>
  <c r="GW176" i="5" s="1"/>
  <c r="GW175" i="5" s="1"/>
  <c r="GW174" i="5" s="1"/>
  <c r="GW173" i="5" s="1"/>
  <c r="GW172" i="5" s="1"/>
  <c r="GW171" i="5" s="1"/>
  <c r="GW170" i="5" s="1"/>
  <c r="GW169" i="5" s="1"/>
  <c r="GW168" i="5" s="1"/>
  <c r="GW167" i="5" s="1"/>
  <c r="GW166" i="5" s="1"/>
  <c r="GW165" i="5" s="1"/>
  <c r="GW164" i="5" s="1"/>
  <c r="GW163" i="5" s="1"/>
  <c r="GW162" i="5" s="1"/>
  <c r="GW161" i="5" s="1"/>
  <c r="GW160" i="5" s="1"/>
  <c r="GW159" i="5" s="1"/>
  <c r="GW158" i="5" s="1"/>
  <c r="GW157" i="5" s="1"/>
  <c r="GW156" i="5" s="1"/>
  <c r="GW155" i="5" s="1"/>
  <c r="GW154" i="5" s="1"/>
  <c r="GW153" i="5" s="1"/>
  <c r="GW152" i="5" s="1"/>
  <c r="GW151" i="5" s="1"/>
  <c r="GW150" i="5" s="1"/>
  <c r="GW149" i="5" s="1"/>
  <c r="GW148" i="5" s="1"/>
  <c r="GW147" i="5" s="1"/>
  <c r="GW146" i="5" s="1"/>
  <c r="GW145" i="5" s="1"/>
  <c r="GW144" i="5" s="1"/>
  <c r="GW143" i="5" s="1"/>
  <c r="GW142" i="5" s="1"/>
  <c r="GW141" i="5" s="1"/>
  <c r="GW140" i="5" s="1"/>
  <c r="GW139" i="5" s="1"/>
  <c r="GW138" i="5" s="1"/>
  <c r="GW137" i="5" s="1"/>
  <c r="GW136" i="5" s="1"/>
  <c r="GW135" i="5" s="1"/>
  <c r="GW134" i="5" s="1"/>
  <c r="GW133" i="5" s="1"/>
  <c r="GW132" i="5" s="1"/>
  <c r="GW131" i="5" s="1"/>
  <c r="GW130" i="5" s="1"/>
  <c r="GW129" i="5" s="1"/>
  <c r="GW128" i="5" s="1"/>
  <c r="GW127" i="5" s="1"/>
  <c r="GW126" i="5" s="1"/>
  <c r="GW125" i="5" s="1"/>
  <c r="GW124" i="5" s="1"/>
  <c r="GW123" i="5" s="1"/>
  <c r="GW122" i="5" s="1"/>
  <c r="GW121" i="5" s="1"/>
  <c r="GW120" i="5" s="1"/>
  <c r="GW119" i="5" s="1"/>
  <c r="GW118" i="5" s="1"/>
  <c r="GW117" i="5" s="1"/>
  <c r="GW116" i="5" s="1"/>
  <c r="GW115" i="5" s="1"/>
  <c r="GW114" i="5" s="1"/>
  <c r="GW113" i="5" s="1"/>
  <c r="GW112" i="5" s="1"/>
  <c r="GX213" i="5"/>
  <c r="GX212" i="5" s="1"/>
  <c r="GX211" i="5" s="1"/>
  <c r="GX210" i="5" s="1"/>
  <c r="GX209" i="5" s="1"/>
  <c r="GX208" i="5" s="1"/>
  <c r="GX207" i="5" s="1"/>
  <c r="GX206" i="5" s="1"/>
  <c r="GX205" i="5" s="1"/>
  <c r="GX204" i="5" s="1"/>
  <c r="GX203" i="5" s="1"/>
  <c r="GX202" i="5" s="1"/>
  <c r="GX201" i="5" s="1"/>
  <c r="GX200" i="5" s="1"/>
  <c r="GX199" i="5" s="1"/>
  <c r="GX198" i="5" s="1"/>
  <c r="GX197" i="5" s="1"/>
  <c r="GX196" i="5" s="1"/>
  <c r="GX195" i="5" s="1"/>
  <c r="GX194" i="5" s="1"/>
  <c r="GX193" i="5" s="1"/>
  <c r="GX192" i="5" s="1"/>
  <c r="GX191" i="5" s="1"/>
  <c r="GX190" i="5" s="1"/>
  <c r="GX189" i="5" s="1"/>
  <c r="GX188" i="5" s="1"/>
  <c r="GX187" i="5" s="1"/>
  <c r="GX186" i="5" s="1"/>
  <c r="GX185" i="5" s="1"/>
  <c r="GX184" i="5" s="1"/>
  <c r="GX183" i="5" s="1"/>
  <c r="GX182" i="5" s="1"/>
  <c r="GX181" i="5" s="1"/>
  <c r="GX180" i="5" s="1"/>
  <c r="GX179" i="5" s="1"/>
  <c r="GX178" i="5" s="1"/>
  <c r="GX177" i="5" s="1"/>
  <c r="GX176" i="5" s="1"/>
  <c r="GX175" i="5" s="1"/>
  <c r="GX174" i="5" s="1"/>
  <c r="GX173" i="5" s="1"/>
  <c r="GX172" i="5" s="1"/>
  <c r="GX171" i="5" s="1"/>
  <c r="GX170" i="5" s="1"/>
  <c r="GX169" i="5" s="1"/>
  <c r="GX168" i="5" s="1"/>
  <c r="GX167" i="5" s="1"/>
  <c r="GX166" i="5" s="1"/>
  <c r="GX165" i="5" s="1"/>
  <c r="GX164" i="5" s="1"/>
  <c r="GX163" i="5" s="1"/>
  <c r="GX162" i="5" s="1"/>
  <c r="GX161" i="5" s="1"/>
  <c r="GX160" i="5" s="1"/>
  <c r="GX159" i="5" s="1"/>
  <c r="GX158" i="5" s="1"/>
  <c r="GX157" i="5" s="1"/>
  <c r="GX156" i="5" s="1"/>
  <c r="GX155" i="5" s="1"/>
  <c r="GX154" i="5" s="1"/>
  <c r="GX153" i="5" s="1"/>
  <c r="GX152" i="5" s="1"/>
  <c r="GX151" i="5" s="1"/>
  <c r="GX150" i="5" s="1"/>
  <c r="GX149" i="5" s="1"/>
  <c r="GX148" i="5" s="1"/>
  <c r="GX147" i="5" s="1"/>
  <c r="GX146" i="5" s="1"/>
  <c r="GX145" i="5" s="1"/>
  <c r="GX144" i="5" s="1"/>
  <c r="GX143" i="5" s="1"/>
  <c r="GX142" i="5" s="1"/>
  <c r="GX141" i="5" s="1"/>
  <c r="GX140" i="5" s="1"/>
  <c r="GX139" i="5" s="1"/>
  <c r="GX138" i="5" s="1"/>
  <c r="GX137" i="5" s="1"/>
  <c r="GX136" i="5" s="1"/>
  <c r="GX135" i="5" s="1"/>
  <c r="GX134" i="5" s="1"/>
  <c r="GX133" i="5" s="1"/>
  <c r="GX132" i="5" s="1"/>
  <c r="GX131" i="5" s="1"/>
  <c r="GX130" i="5" s="1"/>
  <c r="GX129" i="5" s="1"/>
  <c r="GX128" i="5" s="1"/>
  <c r="GX127" i="5" s="1"/>
  <c r="GX126" i="5" s="1"/>
  <c r="GX125" i="5" s="1"/>
  <c r="GX124" i="5" s="1"/>
  <c r="GX123" i="5" s="1"/>
  <c r="GX122" i="5" s="1"/>
  <c r="GX121" i="5" s="1"/>
  <c r="GX120" i="5" s="1"/>
  <c r="GX119" i="5" s="1"/>
  <c r="GX118" i="5" s="1"/>
  <c r="GX117" i="5" s="1"/>
  <c r="GX116" i="5" s="1"/>
  <c r="GX115" i="5" s="1"/>
  <c r="GX114" i="5" s="1"/>
  <c r="GX113" i="5" s="1"/>
  <c r="GX112" i="5" s="1"/>
  <c r="GY213" i="5"/>
  <c r="GY212" i="5" s="1"/>
  <c r="GY211" i="5" s="1"/>
  <c r="GY210" i="5" s="1"/>
  <c r="GY209" i="5" s="1"/>
  <c r="GY208" i="5" s="1"/>
  <c r="GY207" i="5" s="1"/>
  <c r="GY206" i="5" s="1"/>
  <c r="GY205" i="5" s="1"/>
  <c r="GY204" i="5" s="1"/>
  <c r="GY203" i="5" s="1"/>
  <c r="GY202" i="5" s="1"/>
  <c r="GY201" i="5" s="1"/>
  <c r="GY200" i="5" s="1"/>
  <c r="GY199" i="5" s="1"/>
  <c r="GY198" i="5" s="1"/>
  <c r="GY197" i="5" s="1"/>
  <c r="GY196" i="5" s="1"/>
  <c r="GY195" i="5" s="1"/>
  <c r="GY194" i="5" s="1"/>
  <c r="GY193" i="5" s="1"/>
  <c r="GY192" i="5" s="1"/>
  <c r="GY191" i="5" s="1"/>
  <c r="GY190" i="5" s="1"/>
  <c r="GY189" i="5" s="1"/>
  <c r="GY188" i="5" s="1"/>
  <c r="GY187" i="5" s="1"/>
  <c r="GY186" i="5" s="1"/>
  <c r="GY185" i="5" s="1"/>
  <c r="GY184" i="5" s="1"/>
  <c r="GY183" i="5" s="1"/>
  <c r="GY182" i="5" s="1"/>
  <c r="GY181" i="5" s="1"/>
  <c r="GY180" i="5" s="1"/>
  <c r="GY179" i="5" s="1"/>
  <c r="GY178" i="5" s="1"/>
  <c r="GY177" i="5" s="1"/>
  <c r="GY176" i="5" s="1"/>
  <c r="GY175" i="5" s="1"/>
  <c r="GY174" i="5" s="1"/>
  <c r="GY173" i="5" s="1"/>
  <c r="GY172" i="5" s="1"/>
  <c r="GY171" i="5" s="1"/>
  <c r="GY170" i="5" s="1"/>
  <c r="GY169" i="5" s="1"/>
  <c r="GY168" i="5" s="1"/>
  <c r="GY167" i="5" s="1"/>
  <c r="GY166" i="5" s="1"/>
  <c r="GY165" i="5" s="1"/>
  <c r="GY164" i="5" s="1"/>
  <c r="GY163" i="5" s="1"/>
  <c r="GY162" i="5" s="1"/>
  <c r="GY161" i="5" s="1"/>
  <c r="GY160" i="5" s="1"/>
  <c r="GY159" i="5" s="1"/>
  <c r="GY158" i="5" s="1"/>
  <c r="GY157" i="5" s="1"/>
  <c r="GY156" i="5" s="1"/>
  <c r="GY155" i="5" s="1"/>
  <c r="GY154" i="5" s="1"/>
  <c r="GY153" i="5" s="1"/>
  <c r="GY152" i="5" s="1"/>
  <c r="GY151" i="5" s="1"/>
  <c r="GY150" i="5" s="1"/>
  <c r="GY149" i="5" s="1"/>
  <c r="GY148" i="5" s="1"/>
  <c r="GY147" i="5" s="1"/>
  <c r="GY146" i="5" s="1"/>
  <c r="GY145" i="5" s="1"/>
  <c r="GY144" i="5" s="1"/>
  <c r="GY143" i="5" s="1"/>
  <c r="GY142" i="5" s="1"/>
  <c r="GY141" i="5" s="1"/>
  <c r="GY140" i="5" s="1"/>
  <c r="GY139" i="5" s="1"/>
  <c r="GY138" i="5" s="1"/>
  <c r="GY137" i="5" s="1"/>
  <c r="GY136" i="5" s="1"/>
  <c r="GY135" i="5" s="1"/>
  <c r="GY134" i="5" s="1"/>
  <c r="GY133" i="5" s="1"/>
  <c r="GY132" i="5" s="1"/>
  <c r="GY131" i="5" s="1"/>
  <c r="GY130" i="5" s="1"/>
  <c r="GY129" i="5" s="1"/>
  <c r="GY128" i="5" s="1"/>
  <c r="GY127" i="5" s="1"/>
  <c r="GY126" i="5" s="1"/>
  <c r="GY125" i="5" s="1"/>
  <c r="GY124" i="5" s="1"/>
  <c r="GY123" i="5" s="1"/>
  <c r="GY122" i="5" s="1"/>
  <c r="GY121" i="5" s="1"/>
  <c r="GY120" i="5" s="1"/>
  <c r="GY119" i="5" s="1"/>
  <c r="GY118" i="5" s="1"/>
  <c r="GY117" i="5" s="1"/>
  <c r="GY116" i="5" s="1"/>
  <c r="GY115" i="5" s="1"/>
  <c r="GY114" i="5" s="1"/>
  <c r="GY113" i="5" s="1"/>
  <c r="GY112" i="5" s="1"/>
  <c r="GZ213" i="5"/>
  <c r="GZ212" i="5" s="1"/>
  <c r="GZ211" i="5" s="1"/>
  <c r="GZ210" i="5" s="1"/>
  <c r="GZ209" i="5" s="1"/>
  <c r="GZ208" i="5" s="1"/>
  <c r="GZ207" i="5" s="1"/>
  <c r="GZ206" i="5" s="1"/>
  <c r="GZ205" i="5" s="1"/>
  <c r="GZ204" i="5" s="1"/>
  <c r="GZ203" i="5" s="1"/>
  <c r="GZ202" i="5" s="1"/>
  <c r="GZ201" i="5" s="1"/>
  <c r="GZ200" i="5" s="1"/>
  <c r="GZ199" i="5" s="1"/>
  <c r="GZ198" i="5" s="1"/>
  <c r="GZ197" i="5" s="1"/>
  <c r="GZ196" i="5" s="1"/>
  <c r="GZ195" i="5" s="1"/>
  <c r="GZ194" i="5" s="1"/>
  <c r="GZ193" i="5" s="1"/>
  <c r="GZ192" i="5" s="1"/>
  <c r="GZ191" i="5" s="1"/>
  <c r="GZ190" i="5" s="1"/>
  <c r="GZ189" i="5" s="1"/>
  <c r="GZ188" i="5" s="1"/>
  <c r="GZ187" i="5" s="1"/>
  <c r="GZ186" i="5" s="1"/>
  <c r="GZ185" i="5" s="1"/>
  <c r="GZ184" i="5" s="1"/>
  <c r="GZ183" i="5" s="1"/>
  <c r="GZ182" i="5" s="1"/>
  <c r="GZ181" i="5" s="1"/>
  <c r="GZ180" i="5" s="1"/>
  <c r="GZ179" i="5" s="1"/>
  <c r="GZ178" i="5" s="1"/>
  <c r="GZ177" i="5" s="1"/>
  <c r="GZ176" i="5" s="1"/>
  <c r="GZ175" i="5" s="1"/>
  <c r="GZ174" i="5" s="1"/>
  <c r="GZ173" i="5" s="1"/>
  <c r="GZ172" i="5" s="1"/>
  <c r="GZ171" i="5" s="1"/>
  <c r="GZ170" i="5" s="1"/>
  <c r="GZ169" i="5" s="1"/>
  <c r="GZ168" i="5" s="1"/>
  <c r="GZ167" i="5" s="1"/>
  <c r="GZ166" i="5" s="1"/>
  <c r="GZ165" i="5" s="1"/>
  <c r="GZ164" i="5" s="1"/>
  <c r="GZ163" i="5" s="1"/>
  <c r="GZ162" i="5" s="1"/>
  <c r="GZ161" i="5" s="1"/>
  <c r="GZ160" i="5" s="1"/>
  <c r="GZ159" i="5" s="1"/>
  <c r="GZ158" i="5" s="1"/>
  <c r="GZ157" i="5" s="1"/>
  <c r="GZ156" i="5" s="1"/>
  <c r="GZ155" i="5" s="1"/>
  <c r="GZ154" i="5" s="1"/>
  <c r="GZ153" i="5" s="1"/>
  <c r="GZ152" i="5" s="1"/>
  <c r="GZ151" i="5" s="1"/>
  <c r="GZ150" i="5" s="1"/>
  <c r="GZ149" i="5" s="1"/>
  <c r="GZ148" i="5" s="1"/>
  <c r="GZ147" i="5" s="1"/>
  <c r="GZ146" i="5" s="1"/>
  <c r="GZ145" i="5" s="1"/>
  <c r="GZ144" i="5" s="1"/>
  <c r="GZ143" i="5" s="1"/>
  <c r="GZ142" i="5" s="1"/>
  <c r="GZ141" i="5" s="1"/>
  <c r="GZ140" i="5" s="1"/>
  <c r="GZ139" i="5" s="1"/>
  <c r="GZ138" i="5" s="1"/>
  <c r="GZ137" i="5" s="1"/>
  <c r="GZ136" i="5" s="1"/>
  <c r="GZ135" i="5" s="1"/>
  <c r="GZ134" i="5" s="1"/>
  <c r="GZ133" i="5" s="1"/>
  <c r="GZ132" i="5" s="1"/>
  <c r="GZ131" i="5" s="1"/>
  <c r="GZ130" i="5" s="1"/>
  <c r="GZ129" i="5" s="1"/>
  <c r="GZ128" i="5" s="1"/>
  <c r="GZ127" i="5" s="1"/>
  <c r="GZ126" i="5" s="1"/>
  <c r="GZ125" i="5" s="1"/>
  <c r="GZ124" i="5" s="1"/>
  <c r="GZ123" i="5" s="1"/>
  <c r="GZ122" i="5" s="1"/>
  <c r="GZ121" i="5" s="1"/>
  <c r="GZ120" i="5" s="1"/>
  <c r="GZ119" i="5" s="1"/>
  <c r="GZ118" i="5" s="1"/>
  <c r="GZ117" i="5" s="1"/>
  <c r="GZ116" i="5" s="1"/>
  <c r="GZ115" i="5" s="1"/>
  <c r="GZ114" i="5" s="1"/>
  <c r="GZ113" i="5" s="1"/>
  <c r="GZ112" i="5" s="1"/>
  <c r="HA213" i="5"/>
  <c r="HA212" i="5" s="1"/>
  <c r="HA211" i="5" s="1"/>
  <c r="HA210" i="5" s="1"/>
  <c r="HA209" i="5" s="1"/>
  <c r="HA208" i="5" s="1"/>
  <c r="HA207" i="5" s="1"/>
  <c r="HA206" i="5" s="1"/>
  <c r="HA205" i="5" s="1"/>
  <c r="HA204" i="5" s="1"/>
  <c r="HA203" i="5" s="1"/>
  <c r="HA202" i="5" s="1"/>
  <c r="HA201" i="5" s="1"/>
  <c r="HA200" i="5" s="1"/>
  <c r="HA199" i="5" s="1"/>
  <c r="HA198" i="5" s="1"/>
  <c r="HA197" i="5" s="1"/>
  <c r="HA196" i="5" s="1"/>
  <c r="HA195" i="5" s="1"/>
  <c r="HA194" i="5" s="1"/>
  <c r="HA193" i="5" s="1"/>
  <c r="HA192" i="5" s="1"/>
  <c r="HA191" i="5" s="1"/>
  <c r="HA190" i="5" s="1"/>
  <c r="HA189" i="5" s="1"/>
  <c r="HA188" i="5" s="1"/>
  <c r="HA187" i="5" s="1"/>
  <c r="HA186" i="5" s="1"/>
  <c r="HA185" i="5" s="1"/>
  <c r="HA184" i="5" s="1"/>
  <c r="HA183" i="5" s="1"/>
  <c r="HA182" i="5" s="1"/>
  <c r="HA181" i="5" s="1"/>
  <c r="HA180" i="5" s="1"/>
  <c r="HA179" i="5" s="1"/>
  <c r="HA178" i="5" s="1"/>
  <c r="HA177" i="5" s="1"/>
  <c r="HA176" i="5" s="1"/>
  <c r="HA175" i="5" s="1"/>
  <c r="HA174" i="5" s="1"/>
  <c r="HA173" i="5" s="1"/>
  <c r="HA172" i="5" s="1"/>
  <c r="HA171" i="5" s="1"/>
  <c r="HA170" i="5" s="1"/>
  <c r="HA169" i="5" s="1"/>
  <c r="HA168" i="5" s="1"/>
  <c r="HA167" i="5" s="1"/>
  <c r="HA166" i="5" s="1"/>
  <c r="HA165" i="5" s="1"/>
  <c r="HA164" i="5" s="1"/>
  <c r="HA163" i="5" s="1"/>
  <c r="HA162" i="5" s="1"/>
  <c r="HA161" i="5" s="1"/>
  <c r="HA160" i="5" s="1"/>
  <c r="HA159" i="5" s="1"/>
  <c r="HA158" i="5" s="1"/>
  <c r="HA157" i="5" s="1"/>
  <c r="HA156" i="5" s="1"/>
  <c r="HA155" i="5" s="1"/>
  <c r="HA154" i="5" s="1"/>
  <c r="HA153" i="5" s="1"/>
  <c r="HA152" i="5" s="1"/>
  <c r="HA151" i="5" s="1"/>
  <c r="HA150" i="5" s="1"/>
  <c r="HA149" i="5" s="1"/>
  <c r="HA148" i="5" s="1"/>
  <c r="HA147" i="5" s="1"/>
  <c r="HA146" i="5" s="1"/>
  <c r="HA145" i="5" s="1"/>
  <c r="HA144" i="5" s="1"/>
  <c r="HA143" i="5" s="1"/>
  <c r="HA142" i="5" s="1"/>
  <c r="HA141" i="5" s="1"/>
  <c r="HA140" i="5" s="1"/>
  <c r="HA139" i="5" s="1"/>
  <c r="HA138" i="5" s="1"/>
  <c r="HA137" i="5" s="1"/>
  <c r="HA136" i="5" s="1"/>
  <c r="HA135" i="5" s="1"/>
  <c r="HA134" i="5" s="1"/>
  <c r="HA133" i="5" s="1"/>
  <c r="HA132" i="5" s="1"/>
  <c r="HA131" i="5" s="1"/>
  <c r="HA130" i="5" s="1"/>
  <c r="HA129" i="5" s="1"/>
  <c r="HA128" i="5" s="1"/>
  <c r="HA127" i="5" s="1"/>
  <c r="HA126" i="5" s="1"/>
  <c r="HA125" i="5" s="1"/>
  <c r="HA124" i="5" s="1"/>
  <c r="HA123" i="5" s="1"/>
  <c r="HA122" i="5" s="1"/>
  <c r="HA121" i="5" s="1"/>
  <c r="HA120" i="5" s="1"/>
  <c r="HA119" i="5" s="1"/>
  <c r="HA118" i="5" s="1"/>
  <c r="HA117" i="5" s="1"/>
  <c r="HA116" i="5" s="1"/>
  <c r="HA115" i="5" s="1"/>
  <c r="HA114" i="5" s="1"/>
  <c r="HA113" i="5" s="1"/>
  <c r="HA112" i="5" s="1"/>
  <c r="HB213" i="5"/>
  <c r="HB212" i="5" s="1"/>
  <c r="HB211" i="5" s="1"/>
  <c r="HB210" i="5" s="1"/>
  <c r="HB209" i="5" s="1"/>
  <c r="HB208" i="5" s="1"/>
  <c r="HB207" i="5" s="1"/>
  <c r="HB206" i="5" s="1"/>
  <c r="HB205" i="5" s="1"/>
  <c r="HB204" i="5" s="1"/>
  <c r="HB203" i="5" s="1"/>
  <c r="HB202" i="5" s="1"/>
  <c r="HB201" i="5" s="1"/>
  <c r="HB200" i="5" s="1"/>
  <c r="HB199" i="5" s="1"/>
  <c r="HB198" i="5" s="1"/>
  <c r="HB197" i="5" s="1"/>
  <c r="HB196" i="5" s="1"/>
  <c r="HB195" i="5" s="1"/>
  <c r="HB194" i="5" s="1"/>
  <c r="HB193" i="5" s="1"/>
  <c r="HB192" i="5" s="1"/>
  <c r="HB191" i="5" s="1"/>
  <c r="HB190" i="5" s="1"/>
  <c r="HB189" i="5" s="1"/>
  <c r="HB188" i="5" s="1"/>
  <c r="HB187" i="5" s="1"/>
  <c r="HB186" i="5" s="1"/>
  <c r="HB185" i="5" s="1"/>
  <c r="HB184" i="5" s="1"/>
  <c r="HB183" i="5" s="1"/>
  <c r="HB182" i="5" s="1"/>
  <c r="HB181" i="5" s="1"/>
  <c r="HB180" i="5" s="1"/>
  <c r="HB179" i="5" s="1"/>
  <c r="HB178" i="5" s="1"/>
  <c r="HB177" i="5" s="1"/>
  <c r="HB176" i="5" s="1"/>
  <c r="HB175" i="5" s="1"/>
  <c r="HB174" i="5" s="1"/>
  <c r="HB173" i="5" s="1"/>
  <c r="HB172" i="5" s="1"/>
  <c r="HB171" i="5" s="1"/>
  <c r="HB170" i="5" s="1"/>
  <c r="HB169" i="5" s="1"/>
  <c r="HB168" i="5" s="1"/>
  <c r="HB167" i="5" s="1"/>
  <c r="HB166" i="5" s="1"/>
  <c r="HB165" i="5" s="1"/>
  <c r="HB164" i="5" s="1"/>
  <c r="HB163" i="5" s="1"/>
  <c r="HB162" i="5" s="1"/>
  <c r="HB161" i="5" s="1"/>
  <c r="HB160" i="5" s="1"/>
  <c r="HB159" i="5" s="1"/>
  <c r="HB158" i="5" s="1"/>
  <c r="HB157" i="5" s="1"/>
  <c r="HB156" i="5" s="1"/>
  <c r="HB155" i="5" s="1"/>
  <c r="HB154" i="5" s="1"/>
  <c r="HB153" i="5" s="1"/>
  <c r="HB152" i="5" s="1"/>
  <c r="HB151" i="5" s="1"/>
  <c r="HB150" i="5" s="1"/>
  <c r="HB149" i="5" s="1"/>
  <c r="HB148" i="5" s="1"/>
  <c r="HB147" i="5" s="1"/>
  <c r="HB146" i="5" s="1"/>
  <c r="HB145" i="5" s="1"/>
  <c r="HB144" i="5" s="1"/>
  <c r="HB143" i="5" s="1"/>
  <c r="HB142" i="5" s="1"/>
  <c r="HB141" i="5" s="1"/>
  <c r="HB140" i="5" s="1"/>
  <c r="HB139" i="5" s="1"/>
  <c r="HB138" i="5" s="1"/>
  <c r="HB137" i="5" s="1"/>
  <c r="HB136" i="5" s="1"/>
  <c r="HB135" i="5" s="1"/>
  <c r="HB134" i="5" s="1"/>
  <c r="HB133" i="5" s="1"/>
  <c r="HB132" i="5" s="1"/>
  <c r="HB131" i="5" s="1"/>
  <c r="HB130" i="5" s="1"/>
  <c r="HB129" i="5" s="1"/>
  <c r="HB128" i="5" s="1"/>
  <c r="HB127" i="5" s="1"/>
  <c r="HB126" i="5" s="1"/>
  <c r="HB125" i="5" s="1"/>
  <c r="HB124" i="5" s="1"/>
  <c r="HB123" i="5" s="1"/>
  <c r="HB122" i="5" s="1"/>
  <c r="HB121" i="5" s="1"/>
  <c r="HB120" i="5" s="1"/>
  <c r="HB119" i="5" s="1"/>
  <c r="HB118" i="5" s="1"/>
  <c r="HB117" i="5" s="1"/>
  <c r="HB116" i="5" s="1"/>
  <c r="HB115" i="5" s="1"/>
  <c r="HB114" i="5" s="1"/>
  <c r="HB113" i="5" s="1"/>
  <c r="HB112" i="5" s="1"/>
  <c r="HC213" i="5"/>
  <c r="HC212" i="5" s="1"/>
  <c r="HC211" i="5" s="1"/>
  <c r="HC210" i="5" s="1"/>
  <c r="HC209" i="5" s="1"/>
  <c r="HC208" i="5" s="1"/>
  <c r="HC207" i="5" s="1"/>
  <c r="HC206" i="5" s="1"/>
  <c r="HC205" i="5" s="1"/>
  <c r="HC204" i="5" s="1"/>
  <c r="HC203" i="5" s="1"/>
  <c r="HC202" i="5" s="1"/>
  <c r="HC201" i="5" s="1"/>
  <c r="HC200" i="5" s="1"/>
  <c r="HC199" i="5" s="1"/>
  <c r="HC198" i="5" s="1"/>
  <c r="HC197" i="5" s="1"/>
  <c r="HC196" i="5" s="1"/>
  <c r="HC195" i="5" s="1"/>
  <c r="HC194" i="5" s="1"/>
  <c r="HC193" i="5" s="1"/>
  <c r="HC192" i="5" s="1"/>
  <c r="HC191" i="5" s="1"/>
  <c r="HC190" i="5" s="1"/>
  <c r="HC189" i="5" s="1"/>
  <c r="HC188" i="5" s="1"/>
  <c r="HC187" i="5" s="1"/>
  <c r="HC186" i="5" s="1"/>
  <c r="HC185" i="5" s="1"/>
  <c r="HC184" i="5" s="1"/>
  <c r="HC183" i="5" s="1"/>
  <c r="HC182" i="5" s="1"/>
  <c r="HC181" i="5" s="1"/>
  <c r="HC180" i="5" s="1"/>
  <c r="HC179" i="5" s="1"/>
  <c r="HC178" i="5" s="1"/>
  <c r="HC177" i="5" s="1"/>
  <c r="HC176" i="5" s="1"/>
  <c r="HC175" i="5" s="1"/>
  <c r="HC174" i="5" s="1"/>
  <c r="HC173" i="5" s="1"/>
  <c r="HC172" i="5" s="1"/>
  <c r="HC171" i="5" s="1"/>
  <c r="HC170" i="5" s="1"/>
  <c r="HC169" i="5" s="1"/>
  <c r="HC168" i="5" s="1"/>
  <c r="HC167" i="5" s="1"/>
  <c r="HC166" i="5" s="1"/>
  <c r="HC165" i="5" s="1"/>
  <c r="HC164" i="5" s="1"/>
  <c r="HC163" i="5" s="1"/>
  <c r="HC162" i="5" s="1"/>
  <c r="HC161" i="5" s="1"/>
  <c r="HC160" i="5" s="1"/>
  <c r="HC159" i="5" s="1"/>
  <c r="HC158" i="5" s="1"/>
  <c r="HC157" i="5" s="1"/>
  <c r="HC156" i="5" s="1"/>
  <c r="HC155" i="5" s="1"/>
  <c r="HC154" i="5" s="1"/>
  <c r="HC153" i="5" s="1"/>
  <c r="HC152" i="5" s="1"/>
  <c r="HC151" i="5" s="1"/>
  <c r="HC150" i="5" s="1"/>
  <c r="HC149" i="5" s="1"/>
  <c r="HC148" i="5" s="1"/>
  <c r="HC147" i="5" s="1"/>
  <c r="HC146" i="5" s="1"/>
  <c r="HC145" i="5" s="1"/>
  <c r="HC144" i="5" s="1"/>
  <c r="HC143" i="5" s="1"/>
  <c r="HC142" i="5" s="1"/>
  <c r="HC141" i="5" s="1"/>
  <c r="HC140" i="5" s="1"/>
  <c r="HC139" i="5" s="1"/>
  <c r="HC138" i="5" s="1"/>
  <c r="HC137" i="5" s="1"/>
  <c r="HC136" i="5" s="1"/>
  <c r="HC135" i="5" s="1"/>
  <c r="HC134" i="5" s="1"/>
  <c r="HC133" i="5" s="1"/>
  <c r="HC132" i="5" s="1"/>
  <c r="HC131" i="5" s="1"/>
  <c r="HC130" i="5" s="1"/>
  <c r="HC129" i="5" s="1"/>
  <c r="HC128" i="5" s="1"/>
  <c r="HC127" i="5" s="1"/>
  <c r="HC126" i="5" s="1"/>
  <c r="HC125" i="5" s="1"/>
  <c r="HC124" i="5" s="1"/>
  <c r="HC123" i="5" s="1"/>
  <c r="HC122" i="5" s="1"/>
  <c r="HC121" i="5" s="1"/>
  <c r="HC120" i="5" s="1"/>
  <c r="HC119" i="5" s="1"/>
  <c r="HC118" i="5" s="1"/>
  <c r="HC117" i="5" s="1"/>
  <c r="HC116" i="5" s="1"/>
  <c r="HC115" i="5" s="1"/>
  <c r="HC114" i="5" s="1"/>
  <c r="HC113" i="5" s="1"/>
  <c r="HC112" i="5" s="1"/>
  <c r="HD213" i="5"/>
  <c r="HD212" i="5" s="1"/>
  <c r="HD211" i="5" s="1"/>
  <c r="HD210" i="5" s="1"/>
  <c r="HD209" i="5" s="1"/>
  <c r="HD208" i="5" s="1"/>
  <c r="HD207" i="5" s="1"/>
  <c r="HD206" i="5" s="1"/>
  <c r="HD205" i="5" s="1"/>
  <c r="HD204" i="5" s="1"/>
  <c r="HD203" i="5" s="1"/>
  <c r="HD202" i="5" s="1"/>
  <c r="HD201" i="5" s="1"/>
  <c r="HD200" i="5" s="1"/>
  <c r="HD199" i="5" s="1"/>
  <c r="HD198" i="5" s="1"/>
  <c r="HD197" i="5" s="1"/>
  <c r="HD196" i="5" s="1"/>
  <c r="HD195" i="5" s="1"/>
  <c r="HD194" i="5" s="1"/>
  <c r="HD193" i="5" s="1"/>
  <c r="HD192" i="5" s="1"/>
  <c r="HD191" i="5" s="1"/>
  <c r="HD190" i="5" s="1"/>
  <c r="HD189" i="5" s="1"/>
  <c r="HD188" i="5" s="1"/>
  <c r="HD187" i="5" s="1"/>
  <c r="HD186" i="5" s="1"/>
  <c r="HD185" i="5" s="1"/>
  <c r="HD184" i="5" s="1"/>
  <c r="HD183" i="5" s="1"/>
  <c r="HD182" i="5" s="1"/>
  <c r="HD181" i="5" s="1"/>
  <c r="HD180" i="5" s="1"/>
  <c r="HD179" i="5" s="1"/>
  <c r="HD178" i="5" s="1"/>
  <c r="HD177" i="5" s="1"/>
  <c r="HD176" i="5" s="1"/>
  <c r="HD175" i="5" s="1"/>
  <c r="HD174" i="5" s="1"/>
  <c r="HD173" i="5" s="1"/>
  <c r="HD172" i="5" s="1"/>
  <c r="HD171" i="5" s="1"/>
  <c r="HD170" i="5" s="1"/>
  <c r="HD169" i="5" s="1"/>
  <c r="HD168" i="5" s="1"/>
  <c r="HD167" i="5" s="1"/>
  <c r="HD166" i="5" s="1"/>
  <c r="HD165" i="5" s="1"/>
  <c r="HD164" i="5" s="1"/>
  <c r="HD163" i="5" s="1"/>
  <c r="HD162" i="5" s="1"/>
  <c r="HD161" i="5" s="1"/>
  <c r="HD160" i="5" s="1"/>
  <c r="HD159" i="5" s="1"/>
  <c r="HD158" i="5" s="1"/>
  <c r="HD157" i="5" s="1"/>
  <c r="HD156" i="5" s="1"/>
  <c r="HD155" i="5" s="1"/>
  <c r="HD154" i="5" s="1"/>
  <c r="HD153" i="5" s="1"/>
  <c r="HD152" i="5" s="1"/>
  <c r="HD151" i="5" s="1"/>
  <c r="HD150" i="5" s="1"/>
  <c r="HD149" i="5" s="1"/>
  <c r="HD148" i="5" s="1"/>
  <c r="HD147" i="5" s="1"/>
  <c r="HD146" i="5" s="1"/>
  <c r="HD145" i="5" s="1"/>
  <c r="HD144" i="5" s="1"/>
  <c r="HD143" i="5" s="1"/>
  <c r="HD142" i="5" s="1"/>
  <c r="HD141" i="5" s="1"/>
  <c r="HD140" i="5" s="1"/>
  <c r="HD139" i="5" s="1"/>
  <c r="HD138" i="5" s="1"/>
  <c r="HD137" i="5" s="1"/>
  <c r="HD136" i="5" s="1"/>
  <c r="HD135" i="5" s="1"/>
  <c r="HD134" i="5" s="1"/>
  <c r="HD133" i="5" s="1"/>
  <c r="HD132" i="5" s="1"/>
  <c r="HD131" i="5" s="1"/>
  <c r="HD130" i="5" s="1"/>
  <c r="HD129" i="5" s="1"/>
  <c r="HD128" i="5" s="1"/>
  <c r="HD127" i="5" s="1"/>
  <c r="HD126" i="5" s="1"/>
  <c r="HD125" i="5" s="1"/>
  <c r="HD124" i="5" s="1"/>
  <c r="HD123" i="5" s="1"/>
  <c r="HD122" i="5" s="1"/>
  <c r="HD121" i="5" s="1"/>
  <c r="HD120" i="5" s="1"/>
  <c r="HD119" i="5" s="1"/>
  <c r="HD118" i="5" s="1"/>
  <c r="HD117" i="5" s="1"/>
  <c r="HD116" i="5" s="1"/>
  <c r="HD115" i="5" s="1"/>
  <c r="HD114" i="5" s="1"/>
  <c r="HD113" i="5" s="1"/>
  <c r="HD112" i="5" s="1"/>
  <c r="HE213" i="5"/>
  <c r="HE212" i="5" s="1"/>
  <c r="HE211" i="5" s="1"/>
  <c r="HE210" i="5" s="1"/>
  <c r="HE209" i="5" s="1"/>
  <c r="HE208" i="5" s="1"/>
  <c r="HE207" i="5" s="1"/>
  <c r="HE206" i="5" s="1"/>
  <c r="HE205" i="5" s="1"/>
  <c r="HE204" i="5" s="1"/>
  <c r="HE203" i="5" s="1"/>
  <c r="HE202" i="5" s="1"/>
  <c r="HE201" i="5" s="1"/>
  <c r="HE200" i="5" s="1"/>
  <c r="HE199" i="5" s="1"/>
  <c r="HE198" i="5" s="1"/>
  <c r="HE197" i="5" s="1"/>
  <c r="HE196" i="5" s="1"/>
  <c r="HE195" i="5" s="1"/>
  <c r="HE194" i="5" s="1"/>
  <c r="HE193" i="5" s="1"/>
  <c r="HE192" i="5" s="1"/>
  <c r="HE191" i="5" s="1"/>
  <c r="HE190" i="5" s="1"/>
  <c r="HE189" i="5" s="1"/>
  <c r="HE188" i="5" s="1"/>
  <c r="HE187" i="5" s="1"/>
  <c r="HE186" i="5" s="1"/>
  <c r="HE185" i="5" s="1"/>
  <c r="HE184" i="5" s="1"/>
  <c r="HE183" i="5" s="1"/>
  <c r="HE182" i="5" s="1"/>
  <c r="HE181" i="5" s="1"/>
  <c r="HE180" i="5" s="1"/>
  <c r="HE179" i="5" s="1"/>
  <c r="HE178" i="5" s="1"/>
  <c r="HE177" i="5" s="1"/>
  <c r="HE176" i="5" s="1"/>
  <c r="HE175" i="5" s="1"/>
  <c r="HE174" i="5" s="1"/>
  <c r="HE173" i="5" s="1"/>
  <c r="HE172" i="5" s="1"/>
  <c r="HE171" i="5" s="1"/>
  <c r="HE170" i="5" s="1"/>
  <c r="HE169" i="5" s="1"/>
  <c r="HE168" i="5" s="1"/>
  <c r="HE167" i="5" s="1"/>
  <c r="HE166" i="5" s="1"/>
  <c r="HE165" i="5" s="1"/>
  <c r="HE164" i="5" s="1"/>
  <c r="HE163" i="5" s="1"/>
  <c r="HE162" i="5" s="1"/>
  <c r="HE161" i="5" s="1"/>
  <c r="HE160" i="5" s="1"/>
  <c r="HE159" i="5" s="1"/>
  <c r="HE158" i="5" s="1"/>
  <c r="HE157" i="5" s="1"/>
  <c r="HE156" i="5" s="1"/>
  <c r="HE155" i="5" s="1"/>
  <c r="HE154" i="5" s="1"/>
  <c r="HE153" i="5" s="1"/>
  <c r="HE152" i="5" s="1"/>
  <c r="HE151" i="5" s="1"/>
  <c r="HE150" i="5" s="1"/>
  <c r="HE149" i="5" s="1"/>
  <c r="HE148" i="5" s="1"/>
  <c r="HE147" i="5" s="1"/>
  <c r="HE146" i="5" s="1"/>
  <c r="HE145" i="5" s="1"/>
  <c r="HE144" i="5" s="1"/>
  <c r="HE143" i="5" s="1"/>
  <c r="HE142" i="5" s="1"/>
  <c r="HE141" i="5" s="1"/>
  <c r="HE140" i="5" s="1"/>
  <c r="HE139" i="5" s="1"/>
  <c r="HE138" i="5" s="1"/>
  <c r="HE137" i="5" s="1"/>
  <c r="HE136" i="5" s="1"/>
  <c r="HE135" i="5" s="1"/>
  <c r="HE134" i="5" s="1"/>
  <c r="HE133" i="5" s="1"/>
  <c r="HE132" i="5" s="1"/>
  <c r="HE131" i="5" s="1"/>
  <c r="HE130" i="5" s="1"/>
  <c r="HE129" i="5" s="1"/>
  <c r="HE128" i="5" s="1"/>
  <c r="HE127" i="5" s="1"/>
  <c r="HE126" i="5" s="1"/>
  <c r="HE125" i="5" s="1"/>
  <c r="HE124" i="5" s="1"/>
  <c r="HE123" i="5" s="1"/>
  <c r="HE122" i="5" s="1"/>
  <c r="HE121" i="5" s="1"/>
  <c r="HE120" i="5" s="1"/>
  <c r="HE119" i="5" s="1"/>
  <c r="HE118" i="5" s="1"/>
  <c r="HE117" i="5" s="1"/>
  <c r="HE116" i="5" s="1"/>
  <c r="HE115" i="5" s="1"/>
  <c r="HE114" i="5" s="1"/>
  <c r="HE113" i="5" s="1"/>
  <c r="HE112" i="5" s="1"/>
  <c r="HF213" i="5"/>
  <c r="HF212" i="5" s="1"/>
  <c r="HF211" i="5" s="1"/>
  <c r="HF210" i="5" s="1"/>
  <c r="HF209" i="5" s="1"/>
  <c r="HF208" i="5" s="1"/>
  <c r="HF207" i="5" s="1"/>
  <c r="HF206" i="5" s="1"/>
  <c r="HF205" i="5" s="1"/>
  <c r="HF204" i="5" s="1"/>
  <c r="HF203" i="5" s="1"/>
  <c r="HF202" i="5" s="1"/>
  <c r="HF201" i="5" s="1"/>
  <c r="HF200" i="5" s="1"/>
  <c r="HF199" i="5" s="1"/>
  <c r="HF198" i="5" s="1"/>
  <c r="HF197" i="5" s="1"/>
  <c r="HF196" i="5" s="1"/>
  <c r="HF195" i="5" s="1"/>
  <c r="HF194" i="5" s="1"/>
  <c r="HF193" i="5" s="1"/>
  <c r="HF192" i="5" s="1"/>
  <c r="HF191" i="5" s="1"/>
  <c r="HF190" i="5" s="1"/>
  <c r="HF189" i="5" s="1"/>
  <c r="HF188" i="5" s="1"/>
  <c r="HF187" i="5" s="1"/>
  <c r="HF186" i="5" s="1"/>
  <c r="HF185" i="5" s="1"/>
  <c r="HF184" i="5" s="1"/>
  <c r="HF183" i="5" s="1"/>
  <c r="HF182" i="5" s="1"/>
  <c r="HF181" i="5" s="1"/>
  <c r="HF180" i="5" s="1"/>
  <c r="HF179" i="5" s="1"/>
  <c r="HF178" i="5" s="1"/>
  <c r="HF177" i="5" s="1"/>
  <c r="HF176" i="5" s="1"/>
  <c r="HF175" i="5" s="1"/>
  <c r="HF174" i="5" s="1"/>
  <c r="HF173" i="5" s="1"/>
  <c r="HF172" i="5" s="1"/>
  <c r="HF171" i="5" s="1"/>
  <c r="HF170" i="5" s="1"/>
  <c r="HF169" i="5" s="1"/>
  <c r="HF168" i="5" s="1"/>
  <c r="HF167" i="5" s="1"/>
  <c r="HF166" i="5" s="1"/>
  <c r="HF165" i="5" s="1"/>
  <c r="HF164" i="5" s="1"/>
  <c r="HF163" i="5" s="1"/>
  <c r="HF162" i="5" s="1"/>
  <c r="HF161" i="5" s="1"/>
  <c r="HF160" i="5" s="1"/>
  <c r="HF159" i="5" s="1"/>
  <c r="HF158" i="5" s="1"/>
  <c r="HF157" i="5" s="1"/>
  <c r="HF156" i="5" s="1"/>
  <c r="HF155" i="5" s="1"/>
  <c r="HF154" i="5" s="1"/>
  <c r="HF153" i="5" s="1"/>
  <c r="HF152" i="5" s="1"/>
  <c r="HF151" i="5" s="1"/>
  <c r="HF150" i="5" s="1"/>
  <c r="HF149" i="5" s="1"/>
  <c r="HF148" i="5" s="1"/>
  <c r="HF147" i="5" s="1"/>
  <c r="HF146" i="5" s="1"/>
  <c r="HF145" i="5" s="1"/>
  <c r="HF144" i="5" s="1"/>
  <c r="HF143" i="5" s="1"/>
  <c r="HF142" i="5" s="1"/>
  <c r="HF141" i="5" s="1"/>
  <c r="HF140" i="5" s="1"/>
  <c r="HF139" i="5" s="1"/>
  <c r="HF138" i="5" s="1"/>
  <c r="HF137" i="5" s="1"/>
  <c r="HF136" i="5" s="1"/>
  <c r="HF135" i="5" s="1"/>
  <c r="HF134" i="5" s="1"/>
  <c r="HF133" i="5" s="1"/>
  <c r="HF132" i="5" s="1"/>
  <c r="HF131" i="5" s="1"/>
  <c r="HF130" i="5" s="1"/>
  <c r="HF129" i="5" s="1"/>
  <c r="HF128" i="5" s="1"/>
  <c r="HF127" i="5" s="1"/>
  <c r="HF126" i="5" s="1"/>
  <c r="HF125" i="5" s="1"/>
  <c r="HF124" i="5" s="1"/>
  <c r="HF123" i="5" s="1"/>
  <c r="HF122" i="5" s="1"/>
  <c r="HF121" i="5" s="1"/>
  <c r="HF120" i="5" s="1"/>
  <c r="HF119" i="5" s="1"/>
  <c r="HF118" i="5" s="1"/>
  <c r="HF117" i="5" s="1"/>
  <c r="HF116" i="5" s="1"/>
  <c r="HF115" i="5" s="1"/>
  <c r="HF114" i="5" s="1"/>
  <c r="HF113" i="5" s="1"/>
  <c r="HF112" i="5" s="1"/>
  <c r="HG213" i="5"/>
  <c r="HG212" i="5" s="1"/>
  <c r="HG211" i="5" s="1"/>
  <c r="HG210" i="5" s="1"/>
  <c r="HG209" i="5" s="1"/>
  <c r="HG208" i="5" s="1"/>
  <c r="HG207" i="5" s="1"/>
  <c r="HG206" i="5" s="1"/>
  <c r="HG205" i="5" s="1"/>
  <c r="HG204" i="5" s="1"/>
  <c r="HG203" i="5" s="1"/>
  <c r="HG202" i="5" s="1"/>
  <c r="HG201" i="5" s="1"/>
  <c r="HG200" i="5" s="1"/>
  <c r="HG199" i="5" s="1"/>
  <c r="HG198" i="5" s="1"/>
  <c r="HG197" i="5" s="1"/>
  <c r="HG196" i="5" s="1"/>
  <c r="HG195" i="5" s="1"/>
  <c r="HG194" i="5" s="1"/>
  <c r="HG193" i="5" s="1"/>
  <c r="HG192" i="5" s="1"/>
  <c r="HG191" i="5" s="1"/>
  <c r="HG190" i="5" s="1"/>
  <c r="HG189" i="5" s="1"/>
  <c r="HG188" i="5" s="1"/>
  <c r="HG187" i="5" s="1"/>
  <c r="HG186" i="5" s="1"/>
  <c r="HG185" i="5" s="1"/>
  <c r="HG184" i="5" s="1"/>
  <c r="HG183" i="5" s="1"/>
  <c r="HG182" i="5" s="1"/>
  <c r="HG181" i="5" s="1"/>
  <c r="HG180" i="5" s="1"/>
  <c r="HG179" i="5" s="1"/>
  <c r="HG178" i="5" s="1"/>
  <c r="HG177" i="5" s="1"/>
  <c r="HG176" i="5" s="1"/>
  <c r="HG175" i="5" s="1"/>
  <c r="HG174" i="5" s="1"/>
  <c r="HG173" i="5" s="1"/>
  <c r="HG172" i="5" s="1"/>
  <c r="HG171" i="5" s="1"/>
  <c r="HG170" i="5" s="1"/>
  <c r="HG169" i="5" s="1"/>
  <c r="HG168" i="5" s="1"/>
  <c r="HG167" i="5" s="1"/>
  <c r="HG166" i="5" s="1"/>
  <c r="HG165" i="5" s="1"/>
  <c r="HG164" i="5" s="1"/>
  <c r="HG163" i="5" s="1"/>
  <c r="HG162" i="5" s="1"/>
  <c r="HG161" i="5" s="1"/>
  <c r="HG160" i="5" s="1"/>
  <c r="HG159" i="5" s="1"/>
  <c r="HG158" i="5" s="1"/>
  <c r="HG157" i="5" s="1"/>
  <c r="HG156" i="5" s="1"/>
  <c r="HG155" i="5" s="1"/>
  <c r="HG154" i="5" s="1"/>
  <c r="HG153" i="5" s="1"/>
  <c r="HG152" i="5" s="1"/>
  <c r="HG151" i="5" s="1"/>
  <c r="HG150" i="5" s="1"/>
  <c r="HG149" i="5" s="1"/>
  <c r="HG148" i="5" s="1"/>
  <c r="HG147" i="5" s="1"/>
  <c r="HG146" i="5" s="1"/>
  <c r="HG145" i="5" s="1"/>
  <c r="HG144" i="5" s="1"/>
  <c r="HG143" i="5" s="1"/>
  <c r="HG142" i="5" s="1"/>
  <c r="HG141" i="5" s="1"/>
  <c r="HG140" i="5" s="1"/>
  <c r="HG139" i="5" s="1"/>
  <c r="HG138" i="5" s="1"/>
  <c r="HG137" i="5" s="1"/>
  <c r="HG136" i="5" s="1"/>
  <c r="HG135" i="5" s="1"/>
  <c r="HG134" i="5" s="1"/>
  <c r="HG133" i="5" s="1"/>
  <c r="HG132" i="5" s="1"/>
  <c r="HG131" i="5" s="1"/>
  <c r="HG130" i="5" s="1"/>
  <c r="HG129" i="5" s="1"/>
  <c r="HG128" i="5" s="1"/>
  <c r="HG127" i="5" s="1"/>
  <c r="HG126" i="5" s="1"/>
  <c r="HG125" i="5" s="1"/>
  <c r="HG124" i="5" s="1"/>
  <c r="HG123" i="5" s="1"/>
  <c r="HG122" i="5" s="1"/>
  <c r="HG121" i="5" s="1"/>
  <c r="HG120" i="5" s="1"/>
  <c r="HG119" i="5" s="1"/>
  <c r="HG118" i="5" s="1"/>
  <c r="HG117" i="5" s="1"/>
  <c r="HG116" i="5" s="1"/>
  <c r="HG115" i="5" s="1"/>
  <c r="HG114" i="5" s="1"/>
  <c r="HG113" i="5" s="1"/>
  <c r="HG112" i="5" s="1"/>
  <c r="HH213" i="5"/>
  <c r="HH212" i="5" s="1"/>
  <c r="HH211" i="5" s="1"/>
  <c r="HH210" i="5" s="1"/>
  <c r="HH209" i="5" s="1"/>
  <c r="HH208" i="5" s="1"/>
  <c r="HH207" i="5" s="1"/>
  <c r="HH206" i="5" s="1"/>
  <c r="HH205" i="5" s="1"/>
  <c r="HH204" i="5" s="1"/>
  <c r="HH203" i="5" s="1"/>
  <c r="HH202" i="5" s="1"/>
  <c r="HH201" i="5" s="1"/>
  <c r="HH200" i="5" s="1"/>
  <c r="HH199" i="5" s="1"/>
  <c r="HH198" i="5" s="1"/>
  <c r="HH197" i="5" s="1"/>
  <c r="HH196" i="5" s="1"/>
  <c r="HH195" i="5" s="1"/>
  <c r="HH194" i="5" s="1"/>
  <c r="HH193" i="5" s="1"/>
  <c r="HH192" i="5" s="1"/>
  <c r="HH191" i="5" s="1"/>
  <c r="HH190" i="5" s="1"/>
  <c r="HH189" i="5" s="1"/>
  <c r="HH188" i="5" s="1"/>
  <c r="HH187" i="5" s="1"/>
  <c r="HH186" i="5" s="1"/>
  <c r="HH185" i="5" s="1"/>
  <c r="HH184" i="5" s="1"/>
  <c r="HH183" i="5" s="1"/>
  <c r="HH182" i="5" s="1"/>
  <c r="HH181" i="5" s="1"/>
  <c r="HH180" i="5" s="1"/>
  <c r="HH179" i="5" s="1"/>
  <c r="HH178" i="5" s="1"/>
  <c r="HH177" i="5" s="1"/>
  <c r="HH176" i="5" s="1"/>
  <c r="HH175" i="5" s="1"/>
  <c r="HH174" i="5" s="1"/>
  <c r="HH173" i="5" s="1"/>
  <c r="HH172" i="5" s="1"/>
  <c r="HH171" i="5" s="1"/>
  <c r="HH170" i="5" s="1"/>
  <c r="HH169" i="5" s="1"/>
  <c r="HH168" i="5" s="1"/>
  <c r="HH167" i="5" s="1"/>
  <c r="HH166" i="5" s="1"/>
  <c r="HH165" i="5" s="1"/>
  <c r="HH164" i="5" s="1"/>
  <c r="HH163" i="5" s="1"/>
  <c r="HH162" i="5" s="1"/>
  <c r="HH161" i="5" s="1"/>
  <c r="HH160" i="5" s="1"/>
  <c r="HH159" i="5" s="1"/>
  <c r="HH158" i="5" s="1"/>
  <c r="HH157" i="5" s="1"/>
  <c r="HH156" i="5" s="1"/>
  <c r="HH155" i="5" s="1"/>
  <c r="HH154" i="5" s="1"/>
  <c r="HH153" i="5" s="1"/>
  <c r="HH152" i="5" s="1"/>
  <c r="HH151" i="5" s="1"/>
  <c r="HH150" i="5" s="1"/>
  <c r="HH149" i="5" s="1"/>
  <c r="HH148" i="5" s="1"/>
  <c r="HH147" i="5" s="1"/>
  <c r="HH146" i="5" s="1"/>
  <c r="HH145" i="5" s="1"/>
  <c r="HH144" i="5" s="1"/>
  <c r="HH143" i="5" s="1"/>
  <c r="HH142" i="5" s="1"/>
  <c r="HH141" i="5" s="1"/>
  <c r="HH140" i="5" s="1"/>
  <c r="HH139" i="5" s="1"/>
  <c r="HH138" i="5" s="1"/>
  <c r="HH137" i="5" s="1"/>
  <c r="HH136" i="5" s="1"/>
  <c r="HH135" i="5" s="1"/>
  <c r="HH134" i="5" s="1"/>
  <c r="HH133" i="5" s="1"/>
  <c r="HH132" i="5" s="1"/>
  <c r="HH131" i="5" s="1"/>
  <c r="HH130" i="5" s="1"/>
  <c r="HH129" i="5" s="1"/>
  <c r="HH128" i="5" s="1"/>
  <c r="HH127" i="5" s="1"/>
  <c r="HH126" i="5" s="1"/>
  <c r="HH125" i="5" s="1"/>
  <c r="HH124" i="5" s="1"/>
  <c r="HH123" i="5" s="1"/>
  <c r="HH122" i="5" s="1"/>
  <c r="HH121" i="5" s="1"/>
  <c r="HH120" i="5" s="1"/>
  <c r="HH119" i="5" s="1"/>
  <c r="HH118" i="5" s="1"/>
  <c r="HH117" i="5" s="1"/>
  <c r="HH116" i="5" s="1"/>
  <c r="HH115" i="5" s="1"/>
  <c r="HH114" i="5" s="1"/>
  <c r="HH113" i="5" s="1"/>
  <c r="HH112" i="5" s="1"/>
  <c r="HI213" i="5"/>
  <c r="HI212" i="5" s="1"/>
  <c r="HI211" i="5" s="1"/>
  <c r="HI210" i="5" s="1"/>
  <c r="HI209" i="5" s="1"/>
  <c r="HI208" i="5" s="1"/>
  <c r="HI207" i="5" s="1"/>
  <c r="HI206" i="5" s="1"/>
  <c r="HI205" i="5" s="1"/>
  <c r="HI204" i="5" s="1"/>
  <c r="HI203" i="5" s="1"/>
  <c r="HI202" i="5" s="1"/>
  <c r="HI201" i="5" s="1"/>
  <c r="HI200" i="5" s="1"/>
  <c r="HI199" i="5" s="1"/>
  <c r="HI198" i="5" s="1"/>
  <c r="HI197" i="5" s="1"/>
  <c r="HI196" i="5" s="1"/>
  <c r="HI195" i="5" s="1"/>
  <c r="HI194" i="5" s="1"/>
  <c r="HI193" i="5" s="1"/>
  <c r="HI192" i="5" s="1"/>
  <c r="HI191" i="5" s="1"/>
  <c r="HI190" i="5" s="1"/>
  <c r="HI189" i="5" s="1"/>
  <c r="HI188" i="5" s="1"/>
  <c r="HI187" i="5" s="1"/>
  <c r="HI186" i="5" s="1"/>
  <c r="HI185" i="5" s="1"/>
  <c r="HI184" i="5" s="1"/>
  <c r="HI183" i="5" s="1"/>
  <c r="HI182" i="5" s="1"/>
  <c r="HI181" i="5" s="1"/>
  <c r="HI180" i="5" s="1"/>
  <c r="HI179" i="5" s="1"/>
  <c r="HI178" i="5" s="1"/>
  <c r="HI177" i="5" s="1"/>
  <c r="HI176" i="5" s="1"/>
  <c r="HI175" i="5" s="1"/>
  <c r="HI174" i="5" s="1"/>
  <c r="HI173" i="5" s="1"/>
  <c r="HI172" i="5" s="1"/>
  <c r="HI171" i="5" s="1"/>
  <c r="HI170" i="5" s="1"/>
  <c r="HI169" i="5" s="1"/>
  <c r="HI168" i="5" s="1"/>
  <c r="HI167" i="5" s="1"/>
  <c r="HI166" i="5" s="1"/>
  <c r="HI165" i="5" s="1"/>
  <c r="HI164" i="5" s="1"/>
  <c r="HI163" i="5" s="1"/>
  <c r="HI162" i="5" s="1"/>
  <c r="HI161" i="5" s="1"/>
  <c r="HI160" i="5" s="1"/>
  <c r="HI159" i="5" s="1"/>
  <c r="HI158" i="5" s="1"/>
  <c r="HI157" i="5" s="1"/>
  <c r="HI156" i="5" s="1"/>
  <c r="HI155" i="5" s="1"/>
  <c r="HI154" i="5" s="1"/>
  <c r="HI153" i="5" s="1"/>
  <c r="HI152" i="5" s="1"/>
  <c r="HI151" i="5" s="1"/>
  <c r="HI150" i="5" s="1"/>
  <c r="HI149" i="5" s="1"/>
  <c r="HI148" i="5" s="1"/>
  <c r="HI147" i="5" s="1"/>
  <c r="HI146" i="5" s="1"/>
  <c r="HI145" i="5" s="1"/>
  <c r="HI144" i="5" s="1"/>
  <c r="HI143" i="5" s="1"/>
  <c r="HI142" i="5" s="1"/>
  <c r="HI141" i="5" s="1"/>
  <c r="HI140" i="5" s="1"/>
  <c r="HI139" i="5" s="1"/>
  <c r="HI138" i="5" s="1"/>
  <c r="HI137" i="5" s="1"/>
  <c r="HI136" i="5" s="1"/>
  <c r="HI135" i="5" s="1"/>
  <c r="HI134" i="5" s="1"/>
  <c r="HI133" i="5" s="1"/>
  <c r="HI132" i="5" s="1"/>
  <c r="HI131" i="5" s="1"/>
  <c r="HI130" i="5" s="1"/>
  <c r="HI129" i="5" s="1"/>
  <c r="HI128" i="5" s="1"/>
  <c r="HI127" i="5" s="1"/>
  <c r="HI126" i="5" s="1"/>
  <c r="HI125" i="5" s="1"/>
  <c r="HI124" i="5" s="1"/>
  <c r="HI123" i="5" s="1"/>
  <c r="HI122" i="5" s="1"/>
  <c r="HI121" i="5" s="1"/>
  <c r="HI120" i="5" s="1"/>
  <c r="HI119" i="5" s="1"/>
  <c r="HI118" i="5" s="1"/>
  <c r="HI117" i="5" s="1"/>
  <c r="HI116" i="5" s="1"/>
  <c r="HI115" i="5" s="1"/>
  <c r="HI114" i="5" s="1"/>
  <c r="HI113" i="5" s="1"/>
  <c r="HI112" i="5" s="1"/>
  <c r="HJ213" i="5"/>
  <c r="HJ212" i="5" s="1"/>
  <c r="HJ211" i="5" s="1"/>
  <c r="HJ210" i="5" s="1"/>
  <c r="HJ209" i="5" s="1"/>
  <c r="HJ208" i="5" s="1"/>
  <c r="HJ207" i="5" s="1"/>
  <c r="HJ206" i="5" s="1"/>
  <c r="HJ205" i="5" s="1"/>
  <c r="HJ204" i="5" s="1"/>
  <c r="HJ203" i="5" s="1"/>
  <c r="HJ202" i="5" s="1"/>
  <c r="HJ201" i="5" s="1"/>
  <c r="HJ200" i="5" s="1"/>
  <c r="HJ199" i="5" s="1"/>
  <c r="HJ198" i="5" s="1"/>
  <c r="HJ197" i="5" s="1"/>
  <c r="HJ196" i="5" s="1"/>
  <c r="HJ195" i="5" s="1"/>
  <c r="HJ194" i="5" s="1"/>
  <c r="HJ193" i="5" s="1"/>
  <c r="HJ192" i="5" s="1"/>
  <c r="HJ191" i="5" s="1"/>
  <c r="HJ190" i="5" s="1"/>
  <c r="HJ189" i="5" s="1"/>
  <c r="HJ188" i="5" s="1"/>
  <c r="HJ187" i="5" s="1"/>
  <c r="HJ186" i="5" s="1"/>
  <c r="HJ185" i="5" s="1"/>
  <c r="HJ184" i="5" s="1"/>
  <c r="HJ183" i="5" s="1"/>
  <c r="HJ182" i="5" s="1"/>
  <c r="HJ181" i="5" s="1"/>
  <c r="HJ180" i="5" s="1"/>
  <c r="HJ179" i="5" s="1"/>
  <c r="HJ178" i="5" s="1"/>
  <c r="HJ177" i="5" s="1"/>
  <c r="HJ176" i="5" s="1"/>
  <c r="HJ175" i="5" s="1"/>
  <c r="HJ174" i="5" s="1"/>
  <c r="HJ173" i="5" s="1"/>
  <c r="HJ172" i="5" s="1"/>
  <c r="HJ171" i="5" s="1"/>
  <c r="HJ170" i="5" s="1"/>
  <c r="HJ169" i="5" s="1"/>
  <c r="HJ168" i="5" s="1"/>
  <c r="HJ167" i="5" s="1"/>
  <c r="HJ166" i="5" s="1"/>
  <c r="HJ165" i="5" s="1"/>
  <c r="HJ164" i="5" s="1"/>
  <c r="HJ163" i="5" s="1"/>
  <c r="HJ162" i="5" s="1"/>
  <c r="HJ161" i="5" s="1"/>
  <c r="HJ160" i="5" s="1"/>
  <c r="HJ159" i="5" s="1"/>
  <c r="HJ158" i="5" s="1"/>
  <c r="HJ157" i="5" s="1"/>
  <c r="HJ156" i="5" s="1"/>
  <c r="HJ155" i="5" s="1"/>
  <c r="HJ154" i="5" s="1"/>
  <c r="HJ153" i="5" s="1"/>
  <c r="HJ152" i="5" s="1"/>
  <c r="HJ151" i="5" s="1"/>
  <c r="HJ150" i="5" s="1"/>
  <c r="HJ149" i="5" s="1"/>
  <c r="HJ148" i="5" s="1"/>
  <c r="HJ147" i="5" s="1"/>
  <c r="HJ146" i="5" s="1"/>
  <c r="HJ145" i="5" s="1"/>
  <c r="HJ144" i="5" s="1"/>
  <c r="HJ143" i="5" s="1"/>
  <c r="HJ142" i="5" s="1"/>
  <c r="HJ141" i="5" s="1"/>
  <c r="HJ140" i="5" s="1"/>
  <c r="HJ139" i="5" s="1"/>
  <c r="HJ138" i="5" s="1"/>
  <c r="HJ137" i="5" s="1"/>
  <c r="HJ136" i="5" s="1"/>
  <c r="HJ135" i="5" s="1"/>
  <c r="HJ134" i="5" s="1"/>
  <c r="HJ133" i="5" s="1"/>
  <c r="HJ132" i="5" s="1"/>
  <c r="HJ131" i="5" s="1"/>
  <c r="HJ130" i="5" s="1"/>
  <c r="HJ129" i="5" s="1"/>
  <c r="HJ128" i="5" s="1"/>
  <c r="HJ127" i="5" s="1"/>
  <c r="HJ126" i="5" s="1"/>
  <c r="HJ125" i="5" s="1"/>
  <c r="HJ124" i="5" s="1"/>
  <c r="HJ123" i="5" s="1"/>
  <c r="HJ122" i="5" s="1"/>
  <c r="HJ121" i="5" s="1"/>
  <c r="HJ120" i="5" s="1"/>
  <c r="HJ119" i="5" s="1"/>
  <c r="HJ118" i="5" s="1"/>
  <c r="HJ117" i="5" s="1"/>
  <c r="HJ116" i="5" s="1"/>
  <c r="HJ115" i="5" s="1"/>
  <c r="HJ114" i="5" s="1"/>
  <c r="HJ113" i="5" s="1"/>
  <c r="HJ112" i="5" s="1"/>
  <c r="HK213" i="5"/>
  <c r="HK212" i="5" s="1"/>
  <c r="HK211" i="5" s="1"/>
  <c r="HK210" i="5" s="1"/>
  <c r="HK209" i="5" s="1"/>
  <c r="HK208" i="5" s="1"/>
  <c r="HK207" i="5" s="1"/>
  <c r="HK206" i="5" s="1"/>
  <c r="HK205" i="5" s="1"/>
  <c r="HK204" i="5" s="1"/>
  <c r="HK203" i="5" s="1"/>
  <c r="HK202" i="5" s="1"/>
  <c r="HK201" i="5" s="1"/>
  <c r="HK200" i="5" s="1"/>
  <c r="HK199" i="5" s="1"/>
  <c r="HK198" i="5" s="1"/>
  <c r="HK197" i="5" s="1"/>
  <c r="HK196" i="5" s="1"/>
  <c r="HK195" i="5" s="1"/>
  <c r="HK194" i="5" s="1"/>
  <c r="HK193" i="5" s="1"/>
  <c r="HK192" i="5" s="1"/>
  <c r="HK191" i="5" s="1"/>
  <c r="HK190" i="5" s="1"/>
  <c r="HK189" i="5" s="1"/>
  <c r="HK188" i="5" s="1"/>
  <c r="HK187" i="5" s="1"/>
  <c r="HK186" i="5" s="1"/>
  <c r="HK185" i="5" s="1"/>
  <c r="HK184" i="5" s="1"/>
  <c r="HK183" i="5" s="1"/>
  <c r="HK182" i="5" s="1"/>
  <c r="HK181" i="5" s="1"/>
  <c r="HK180" i="5" s="1"/>
  <c r="HK179" i="5" s="1"/>
  <c r="HK178" i="5" s="1"/>
  <c r="HK177" i="5" s="1"/>
  <c r="HK176" i="5" s="1"/>
  <c r="HK175" i="5" s="1"/>
  <c r="HK174" i="5" s="1"/>
  <c r="HK173" i="5" s="1"/>
  <c r="HK172" i="5" s="1"/>
  <c r="HK171" i="5" s="1"/>
  <c r="HK170" i="5" s="1"/>
  <c r="HK169" i="5" s="1"/>
  <c r="HK168" i="5" s="1"/>
  <c r="HK167" i="5" s="1"/>
  <c r="HK166" i="5" s="1"/>
  <c r="HK165" i="5" s="1"/>
  <c r="HK164" i="5" s="1"/>
  <c r="HK163" i="5" s="1"/>
  <c r="HK162" i="5" s="1"/>
  <c r="HK161" i="5" s="1"/>
  <c r="HK160" i="5" s="1"/>
  <c r="HK159" i="5" s="1"/>
  <c r="HK158" i="5" s="1"/>
  <c r="HK157" i="5" s="1"/>
  <c r="HK156" i="5" s="1"/>
  <c r="HK155" i="5" s="1"/>
  <c r="HK154" i="5" s="1"/>
  <c r="HK153" i="5" s="1"/>
  <c r="HK152" i="5" s="1"/>
  <c r="HK151" i="5" s="1"/>
  <c r="HK150" i="5" s="1"/>
  <c r="HK149" i="5" s="1"/>
  <c r="HK148" i="5" s="1"/>
  <c r="HK147" i="5" s="1"/>
  <c r="HK146" i="5" s="1"/>
  <c r="HK145" i="5" s="1"/>
  <c r="HK144" i="5" s="1"/>
  <c r="HK143" i="5" s="1"/>
  <c r="HK142" i="5" s="1"/>
  <c r="HK141" i="5" s="1"/>
  <c r="HK140" i="5" s="1"/>
  <c r="HK139" i="5" s="1"/>
  <c r="HK138" i="5" s="1"/>
  <c r="HK137" i="5" s="1"/>
  <c r="HK136" i="5" s="1"/>
  <c r="HK135" i="5" s="1"/>
  <c r="HK134" i="5" s="1"/>
  <c r="HK133" i="5" s="1"/>
  <c r="HK132" i="5" s="1"/>
  <c r="HK131" i="5" s="1"/>
  <c r="HK130" i="5" s="1"/>
  <c r="HK129" i="5" s="1"/>
  <c r="HK128" i="5" s="1"/>
  <c r="HK127" i="5" s="1"/>
  <c r="HK126" i="5" s="1"/>
  <c r="HK125" i="5" s="1"/>
  <c r="HK124" i="5" s="1"/>
  <c r="HK123" i="5" s="1"/>
  <c r="HK122" i="5" s="1"/>
  <c r="HK121" i="5" s="1"/>
  <c r="HK120" i="5" s="1"/>
  <c r="HK119" i="5" s="1"/>
  <c r="HK118" i="5" s="1"/>
  <c r="HK117" i="5" s="1"/>
  <c r="HK116" i="5" s="1"/>
  <c r="HK115" i="5" s="1"/>
  <c r="HK114" i="5" s="1"/>
  <c r="HK113" i="5" s="1"/>
  <c r="HK112" i="5" s="1"/>
  <c r="HL213" i="5"/>
  <c r="HL212" i="5" s="1"/>
  <c r="HL211" i="5" s="1"/>
  <c r="HL210" i="5" s="1"/>
  <c r="HL209" i="5" s="1"/>
  <c r="HL208" i="5" s="1"/>
  <c r="HL207" i="5" s="1"/>
  <c r="HL206" i="5" s="1"/>
  <c r="HL205" i="5" s="1"/>
  <c r="HL204" i="5" s="1"/>
  <c r="HL203" i="5" s="1"/>
  <c r="HL202" i="5" s="1"/>
  <c r="HL201" i="5" s="1"/>
  <c r="HL200" i="5" s="1"/>
  <c r="HL199" i="5" s="1"/>
  <c r="HL198" i="5" s="1"/>
  <c r="HL197" i="5" s="1"/>
  <c r="HL196" i="5" s="1"/>
  <c r="HL195" i="5" s="1"/>
  <c r="HL194" i="5" s="1"/>
  <c r="HL193" i="5" s="1"/>
  <c r="HL192" i="5" s="1"/>
  <c r="HL191" i="5" s="1"/>
  <c r="HL190" i="5" s="1"/>
  <c r="HL189" i="5" s="1"/>
  <c r="HL188" i="5" s="1"/>
  <c r="HL187" i="5" s="1"/>
  <c r="HL186" i="5" s="1"/>
  <c r="HL185" i="5" s="1"/>
  <c r="HL184" i="5" s="1"/>
  <c r="HL183" i="5" s="1"/>
  <c r="HL182" i="5" s="1"/>
  <c r="HL181" i="5" s="1"/>
  <c r="HL180" i="5" s="1"/>
  <c r="HL179" i="5" s="1"/>
  <c r="HL178" i="5" s="1"/>
  <c r="HL177" i="5" s="1"/>
  <c r="HL176" i="5" s="1"/>
  <c r="HL175" i="5" s="1"/>
  <c r="HL174" i="5" s="1"/>
  <c r="HL173" i="5" s="1"/>
  <c r="HL172" i="5" s="1"/>
  <c r="HL171" i="5" s="1"/>
  <c r="HL170" i="5" s="1"/>
  <c r="HL169" i="5" s="1"/>
  <c r="HL168" i="5" s="1"/>
  <c r="HL167" i="5" s="1"/>
  <c r="HL166" i="5" s="1"/>
  <c r="HL165" i="5" s="1"/>
  <c r="HL164" i="5" s="1"/>
  <c r="HL163" i="5" s="1"/>
  <c r="HL162" i="5" s="1"/>
  <c r="HL161" i="5" s="1"/>
  <c r="HL160" i="5" s="1"/>
  <c r="HL159" i="5" s="1"/>
  <c r="HL158" i="5" s="1"/>
  <c r="HL157" i="5" s="1"/>
  <c r="HL156" i="5" s="1"/>
  <c r="HL155" i="5" s="1"/>
  <c r="HL154" i="5" s="1"/>
  <c r="HL153" i="5" s="1"/>
  <c r="HL152" i="5" s="1"/>
  <c r="HL151" i="5" s="1"/>
  <c r="HL150" i="5" s="1"/>
  <c r="HL149" i="5" s="1"/>
  <c r="HL148" i="5" s="1"/>
  <c r="HL147" i="5" s="1"/>
  <c r="HL146" i="5" s="1"/>
  <c r="HL145" i="5" s="1"/>
  <c r="HL144" i="5" s="1"/>
  <c r="HL143" i="5" s="1"/>
  <c r="HL142" i="5" s="1"/>
  <c r="HL141" i="5" s="1"/>
  <c r="HL140" i="5" s="1"/>
  <c r="HL139" i="5" s="1"/>
  <c r="HL138" i="5" s="1"/>
  <c r="HL137" i="5" s="1"/>
  <c r="HL136" i="5" s="1"/>
  <c r="HL135" i="5" s="1"/>
  <c r="HL134" i="5" s="1"/>
  <c r="HL133" i="5" s="1"/>
  <c r="HL132" i="5" s="1"/>
  <c r="HL131" i="5" s="1"/>
  <c r="HL130" i="5" s="1"/>
  <c r="HL129" i="5" s="1"/>
  <c r="HL128" i="5" s="1"/>
  <c r="HL127" i="5" s="1"/>
  <c r="HL126" i="5" s="1"/>
  <c r="HL125" i="5" s="1"/>
  <c r="HL124" i="5" s="1"/>
  <c r="HL123" i="5" s="1"/>
  <c r="HL122" i="5" s="1"/>
  <c r="HL121" i="5" s="1"/>
  <c r="HL120" i="5" s="1"/>
  <c r="HL119" i="5" s="1"/>
  <c r="HL118" i="5" s="1"/>
  <c r="HL117" i="5" s="1"/>
  <c r="HL116" i="5" s="1"/>
  <c r="HL115" i="5" s="1"/>
  <c r="HL114" i="5" s="1"/>
  <c r="HL113" i="5" s="1"/>
  <c r="HL112" i="5" s="1"/>
  <c r="HM213" i="5"/>
  <c r="HM212" i="5" s="1"/>
  <c r="HM211" i="5" s="1"/>
  <c r="HM210" i="5" s="1"/>
  <c r="HM209" i="5" s="1"/>
  <c r="HM208" i="5" s="1"/>
  <c r="HM207" i="5" s="1"/>
  <c r="HM206" i="5" s="1"/>
  <c r="HM205" i="5" s="1"/>
  <c r="HM204" i="5" s="1"/>
  <c r="HM203" i="5" s="1"/>
  <c r="HM202" i="5" s="1"/>
  <c r="HM201" i="5" s="1"/>
  <c r="HM200" i="5" s="1"/>
  <c r="HM199" i="5" s="1"/>
  <c r="HM198" i="5" s="1"/>
  <c r="HM197" i="5" s="1"/>
  <c r="HM196" i="5" s="1"/>
  <c r="HM195" i="5" s="1"/>
  <c r="HM194" i="5" s="1"/>
  <c r="HM193" i="5" s="1"/>
  <c r="HM192" i="5" s="1"/>
  <c r="HM191" i="5" s="1"/>
  <c r="HM190" i="5" s="1"/>
  <c r="HM189" i="5" s="1"/>
  <c r="HM188" i="5" s="1"/>
  <c r="HM187" i="5" s="1"/>
  <c r="HM186" i="5" s="1"/>
  <c r="HM185" i="5" s="1"/>
  <c r="HM184" i="5" s="1"/>
  <c r="HM183" i="5" s="1"/>
  <c r="HM182" i="5" s="1"/>
  <c r="HM181" i="5" s="1"/>
  <c r="HM180" i="5" s="1"/>
  <c r="HM179" i="5" s="1"/>
  <c r="HM178" i="5" s="1"/>
  <c r="HM177" i="5" s="1"/>
  <c r="HM176" i="5" s="1"/>
  <c r="HM175" i="5" s="1"/>
  <c r="HM174" i="5" s="1"/>
  <c r="HM173" i="5" s="1"/>
  <c r="HM172" i="5" s="1"/>
  <c r="HM171" i="5" s="1"/>
  <c r="HM170" i="5" s="1"/>
  <c r="HM169" i="5" s="1"/>
  <c r="HM168" i="5" s="1"/>
  <c r="HM167" i="5" s="1"/>
  <c r="HM166" i="5" s="1"/>
  <c r="HM165" i="5" s="1"/>
  <c r="HM164" i="5" s="1"/>
  <c r="HM163" i="5" s="1"/>
  <c r="HM162" i="5" s="1"/>
  <c r="HM161" i="5" s="1"/>
  <c r="HM160" i="5" s="1"/>
  <c r="HM159" i="5" s="1"/>
  <c r="HM158" i="5" s="1"/>
  <c r="HM157" i="5" s="1"/>
  <c r="HM156" i="5" s="1"/>
  <c r="HM155" i="5" s="1"/>
  <c r="HM154" i="5" s="1"/>
  <c r="HM153" i="5" s="1"/>
  <c r="HM152" i="5" s="1"/>
  <c r="HM151" i="5" s="1"/>
  <c r="HM150" i="5" s="1"/>
  <c r="HM149" i="5" s="1"/>
  <c r="HM148" i="5" s="1"/>
  <c r="HM147" i="5" s="1"/>
  <c r="HM146" i="5" s="1"/>
  <c r="HM145" i="5" s="1"/>
  <c r="HM144" i="5" s="1"/>
  <c r="HM143" i="5" s="1"/>
  <c r="HM142" i="5" s="1"/>
  <c r="HM141" i="5" s="1"/>
  <c r="HM140" i="5" s="1"/>
  <c r="HM139" i="5" s="1"/>
  <c r="HM138" i="5" s="1"/>
  <c r="HM137" i="5" s="1"/>
  <c r="HM136" i="5" s="1"/>
  <c r="HM135" i="5" s="1"/>
  <c r="HM134" i="5" s="1"/>
  <c r="HM133" i="5" s="1"/>
  <c r="HM132" i="5" s="1"/>
  <c r="HM131" i="5" s="1"/>
  <c r="HM130" i="5" s="1"/>
  <c r="HM129" i="5" s="1"/>
  <c r="HM128" i="5" s="1"/>
  <c r="HM127" i="5" s="1"/>
  <c r="HM126" i="5" s="1"/>
  <c r="HM125" i="5" s="1"/>
  <c r="HM124" i="5" s="1"/>
  <c r="HM123" i="5" s="1"/>
  <c r="HM122" i="5" s="1"/>
  <c r="HM121" i="5" s="1"/>
  <c r="HM120" i="5" s="1"/>
  <c r="HM119" i="5" s="1"/>
  <c r="HM118" i="5" s="1"/>
  <c r="HM117" i="5" s="1"/>
  <c r="HM116" i="5" s="1"/>
  <c r="HM115" i="5" s="1"/>
  <c r="HM114" i="5" s="1"/>
  <c r="HM113" i="5" s="1"/>
  <c r="HM112" i="5" s="1"/>
  <c r="HN213" i="5"/>
  <c r="HN212" i="5" s="1"/>
  <c r="HN211" i="5" s="1"/>
  <c r="HN210" i="5" s="1"/>
  <c r="HN209" i="5" s="1"/>
  <c r="HN208" i="5" s="1"/>
  <c r="HN207" i="5" s="1"/>
  <c r="HN206" i="5" s="1"/>
  <c r="HN205" i="5" s="1"/>
  <c r="HN204" i="5" s="1"/>
  <c r="HN203" i="5" s="1"/>
  <c r="HN202" i="5" s="1"/>
  <c r="HN201" i="5" s="1"/>
  <c r="HN200" i="5" s="1"/>
  <c r="HN199" i="5" s="1"/>
  <c r="HN198" i="5" s="1"/>
  <c r="HN197" i="5" s="1"/>
  <c r="HN196" i="5" s="1"/>
  <c r="HN195" i="5" s="1"/>
  <c r="HN194" i="5" s="1"/>
  <c r="HN193" i="5" s="1"/>
  <c r="HN192" i="5" s="1"/>
  <c r="HN191" i="5" s="1"/>
  <c r="HN190" i="5" s="1"/>
  <c r="HN189" i="5" s="1"/>
  <c r="HN188" i="5" s="1"/>
  <c r="HN187" i="5" s="1"/>
  <c r="HN186" i="5" s="1"/>
  <c r="HN185" i="5" s="1"/>
  <c r="HN184" i="5" s="1"/>
  <c r="HN183" i="5" s="1"/>
  <c r="HN182" i="5" s="1"/>
  <c r="HN181" i="5" s="1"/>
  <c r="HN180" i="5" s="1"/>
  <c r="HN179" i="5" s="1"/>
  <c r="HN178" i="5" s="1"/>
  <c r="HN177" i="5" s="1"/>
  <c r="HN176" i="5" s="1"/>
  <c r="HN175" i="5" s="1"/>
  <c r="HN174" i="5" s="1"/>
  <c r="HN173" i="5" s="1"/>
  <c r="HN172" i="5" s="1"/>
  <c r="HN171" i="5" s="1"/>
  <c r="HN170" i="5" s="1"/>
  <c r="HN169" i="5" s="1"/>
  <c r="HN168" i="5" s="1"/>
  <c r="HN167" i="5" s="1"/>
  <c r="HN166" i="5" s="1"/>
  <c r="HN165" i="5" s="1"/>
  <c r="HN164" i="5" s="1"/>
  <c r="HN163" i="5" s="1"/>
  <c r="HN162" i="5" s="1"/>
  <c r="HN161" i="5" s="1"/>
  <c r="HN160" i="5" s="1"/>
  <c r="HN159" i="5" s="1"/>
  <c r="HN158" i="5" s="1"/>
  <c r="HN157" i="5" s="1"/>
  <c r="HN156" i="5" s="1"/>
  <c r="HN155" i="5" s="1"/>
  <c r="HN154" i="5" s="1"/>
  <c r="HN153" i="5" s="1"/>
  <c r="HN152" i="5" s="1"/>
  <c r="HN151" i="5" s="1"/>
  <c r="HN150" i="5" s="1"/>
  <c r="HN149" i="5" s="1"/>
  <c r="HN148" i="5" s="1"/>
  <c r="HN147" i="5" s="1"/>
  <c r="HN146" i="5" s="1"/>
  <c r="HN145" i="5" s="1"/>
  <c r="HN144" i="5" s="1"/>
  <c r="HN143" i="5" s="1"/>
  <c r="HN142" i="5" s="1"/>
  <c r="HN141" i="5" s="1"/>
  <c r="HN140" i="5" s="1"/>
  <c r="HN139" i="5" s="1"/>
  <c r="HN138" i="5" s="1"/>
  <c r="HN137" i="5" s="1"/>
  <c r="HN136" i="5" s="1"/>
  <c r="HN135" i="5" s="1"/>
  <c r="HN134" i="5" s="1"/>
  <c r="HN133" i="5" s="1"/>
  <c r="HN132" i="5" s="1"/>
  <c r="HN131" i="5" s="1"/>
  <c r="HN130" i="5" s="1"/>
  <c r="HN129" i="5" s="1"/>
  <c r="HN128" i="5" s="1"/>
  <c r="HN127" i="5" s="1"/>
  <c r="HN126" i="5" s="1"/>
  <c r="HN125" i="5" s="1"/>
  <c r="HN124" i="5" s="1"/>
  <c r="HN123" i="5" s="1"/>
  <c r="HN122" i="5" s="1"/>
  <c r="HN121" i="5" s="1"/>
  <c r="HN120" i="5" s="1"/>
  <c r="HN119" i="5" s="1"/>
  <c r="HN118" i="5" s="1"/>
  <c r="HN117" i="5" s="1"/>
  <c r="HN116" i="5" s="1"/>
  <c r="HN115" i="5" s="1"/>
  <c r="HN114" i="5" s="1"/>
  <c r="HN113" i="5" s="1"/>
  <c r="HN112" i="5" s="1"/>
  <c r="HO213" i="5"/>
  <c r="HO212" i="5" s="1"/>
  <c r="HO211" i="5" s="1"/>
  <c r="HO210" i="5" s="1"/>
  <c r="HO209" i="5" s="1"/>
  <c r="HO208" i="5" s="1"/>
  <c r="HO207" i="5" s="1"/>
  <c r="HO206" i="5" s="1"/>
  <c r="HO205" i="5" s="1"/>
  <c r="HO204" i="5" s="1"/>
  <c r="HO203" i="5" s="1"/>
  <c r="HO202" i="5" s="1"/>
  <c r="HO201" i="5" s="1"/>
  <c r="HO200" i="5" s="1"/>
  <c r="HO199" i="5" s="1"/>
  <c r="HO198" i="5" s="1"/>
  <c r="HO197" i="5" s="1"/>
  <c r="HO196" i="5" s="1"/>
  <c r="HO195" i="5" s="1"/>
  <c r="HO194" i="5" s="1"/>
  <c r="HO193" i="5" s="1"/>
  <c r="HO192" i="5" s="1"/>
  <c r="HO191" i="5" s="1"/>
  <c r="HO190" i="5" s="1"/>
  <c r="HO189" i="5" s="1"/>
  <c r="HO188" i="5" s="1"/>
  <c r="HO187" i="5" s="1"/>
  <c r="HO186" i="5" s="1"/>
  <c r="HO185" i="5" s="1"/>
  <c r="HO184" i="5" s="1"/>
  <c r="HO183" i="5" s="1"/>
  <c r="HO182" i="5" s="1"/>
  <c r="HO181" i="5" s="1"/>
  <c r="HO180" i="5" s="1"/>
  <c r="HO179" i="5" s="1"/>
  <c r="HO178" i="5" s="1"/>
  <c r="HO177" i="5" s="1"/>
  <c r="HO176" i="5" s="1"/>
  <c r="HO175" i="5" s="1"/>
  <c r="HO174" i="5" s="1"/>
  <c r="HO173" i="5" s="1"/>
  <c r="HO172" i="5" s="1"/>
  <c r="HO171" i="5" s="1"/>
  <c r="HO170" i="5" s="1"/>
  <c r="HO169" i="5" s="1"/>
  <c r="HO168" i="5" s="1"/>
  <c r="HO167" i="5" s="1"/>
  <c r="HO166" i="5" s="1"/>
  <c r="HO165" i="5" s="1"/>
  <c r="HO164" i="5" s="1"/>
  <c r="HO163" i="5" s="1"/>
  <c r="HO162" i="5" s="1"/>
  <c r="HO161" i="5" s="1"/>
  <c r="HO160" i="5" s="1"/>
  <c r="HO159" i="5" s="1"/>
  <c r="HO158" i="5" s="1"/>
  <c r="HO157" i="5" s="1"/>
  <c r="HO156" i="5" s="1"/>
  <c r="HO155" i="5" s="1"/>
  <c r="HO154" i="5" s="1"/>
  <c r="HO153" i="5" s="1"/>
  <c r="HO152" i="5" s="1"/>
  <c r="HO151" i="5" s="1"/>
  <c r="HO150" i="5" s="1"/>
  <c r="HO149" i="5" s="1"/>
  <c r="HO148" i="5" s="1"/>
  <c r="HO147" i="5" s="1"/>
  <c r="HO146" i="5" s="1"/>
  <c r="HO145" i="5" s="1"/>
  <c r="HO144" i="5" s="1"/>
  <c r="HO143" i="5" s="1"/>
  <c r="HO142" i="5" s="1"/>
  <c r="HO141" i="5" s="1"/>
  <c r="HO140" i="5" s="1"/>
  <c r="HO139" i="5" s="1"/>
  <c r="HO138" i="5" s="1"/>
  <c r="HO137" i="5" s="1"/>
  <c r="HO136" i="5" s="1"/>
  <c r="HO135" i="5" s="1"/>
  <c r="HO134" i="5" s="1"/>
  <c r="HO133" i="5" s="1"/>
  <c r="HO132" i="5" s="1"/>
  <c r="HO131" i="5" s="1"/>
  <c r="HO130" i="5" s="1"/>
  <c r="HO129" i="5" s="1"/>
  <c r="HO128" i="5" s="1"/>
  <c r="HO127" i="5" s="1"/>
  <c r="HO126" i="5" s="1"/>
  <c r="HO125" i="5" s="1"/>
  <c r="HO124" i="5" s="1"/>
  <c r="HO123" i="5" s="1"/>
  <c r="HO122" i="5" s="1"/>
  <c r="HO121" i="5" s="1"/>
  <c r="HO120" i="5" s="1"/>
  <c r="HO119" i="5" s="1"/>
  <c r="HO118" i="5" s="1"/>
  <c r="HO117" i="5" s="1"/>
  <c r="HO116" i="5" s="1"/>
  <c r="HO115" i="5" s="1"/>
  <c r="HO114" i="5" s="1"/>
  <c r="HO113" i="5" s="1"/>
  <c r="HO112" i="5" s="1"/>
  <c r="HP213" i="5"/>
  <c r="HP212" i="5" s="1"/>
  <c r="HP211" i="5" s="1"/>
  <c r="HP210" i="5" s="1"/>
  <c r="HP209" i="5" s="1"/>
  <c r="HP208" i="5" s="1"/>
  <c r="HP207" i="5" s="1"/>
  <c r="HP206" i="5" s="1"/>
  <c r="HP205" i="5" s="1"/>
  <c r="HP204" i="5" s="1"/>
  <c r="HP203" i="5" s="1"/>
  <c r="HP202" i="5" s="1"/>
  <c r="HP201" i="5" s="1"/>
  <c r="HP200" i="5" s="1"/>
  <c r="HP199" i="5" s="1"/>
  <c r="HP198" i="5" s="1"/>
  <c r="HP197" i="5" s="1"/>
  <c r="HP196" i="5" s="1"/>
  <c r="HP195" i="5" s="1"/>
  <c r="HP194" i="5" s="1"/>
  <c r="HP193" i="5" s="1"/>
  <c r="HP192" i="5" s="1"/>
  <c r="HP191" i="5" s="1"/>
  <c r="HP190" i="5" s="1"/>
  <c r="HP189" i="5" s="1"/>
  <c r="HP188" i="5" s="1"/>
  <c r="HP187" i="5" s="1"/>
  <c r="HP186" i="5" s="1"/>
  <c r="HP185" i="5" s="1"/>
  <c r="HP184" i="5" s="1"/>
  <c r="HP183" i="5" s="1"/>
  <c r="HP182" i="5" s="1"/>
  <c r="HP181" i="5" s="1"/>
  <c r="HP180" i="5" s="1"/>
  <c r="HP179" i="5" s="1"/>
  <c r="HP178" i="5" s="1"/>
  <c r="HP177" i="5" s="1"/>
  <c r="HP176" i="5" s="1"/>
  <c r="HP175" i="5" s="1"/>
  <c r="HP174" i="5" s="1"/>
  <c r="HP173" i="5" s="1"/>
  <c r="HP172" i="5" s="1"/>
  <c r="HP171" i="5" s="1"/>
  <c r="HP170" i="5" s="1"/>
  <c r="HP169" i="5" s="1"/>
  <c r="HP168" i="5" s="1"/>
  <c r="HP167" i="5" s="1"/>
  <c r="HP166" i="5" s="1"/>
  <c r="HP165" i="5" s="1"/>
  <c r="HP164" i="5" s="1"/>
  <c r="HP163" i="5" s="1"/>
  <c r="HP162" i="5" s="1"/>
  <c r="HP161" i="5" s="1"/>
  <c r="HP160" i="5" s="1"/>
  <c r="HP159" i="5" s="1"/>
  <c r="HP158" i="5" s="1"/>
  <c r="HP157" i="5" s="1"/>
  <c r="HP156" i="5" s="1"/>
  <c r="HP155" i="5" s="1"/>
  <c r="HP154" i="5" s="1"/>
  <c r="HP153" i="5" s="1"/>
  <c r="HP152" i="5" s="1"/>
  <c r="HP151" i="5" s="1"/>
  <c r="HP150" i="5" s="1"/>
  <c r="HP149" i="5" s="1"/>
  <c r="HP148" i="5" s="1"/>
  <c r="HP147" i="5" s="1"/>
  <c r="HP146" i="5" s="1"/>
  <c r="HP145" i="5" s="1"/>
  <c r="HP144" i="5" s="1"/>
  <c r="HP143" i="5" s="1"/>
  <c r="HP142" i="5" s="1"/>
  <c r="HP141" i="5" s="1"/>
  <c r="HP140" i="5" s="1"/>
  <c r="HP139" i="5" s="1"/>
  <c r="HP138" i="5" s="1"/>
  <c r="HP137" i="5" s="1"/>
  <c r="HP136" i="5" s="1"/>
  <c r="HP135" i="5" s="1"/>
  <c r="HP134" i="5" s="1"/>
  <c r="HP133" i="5" s="1"/>
  <c r="HP132" i="5" s="1"/>
  <c r="HP131" i="5" s="1"/>
  <c r="HP130" i="5" s="1"/>
  <c r="HP129" i="5" s="1"/>
  <c r="HP128" i="5" s="1"/>
  <c r="HP127" i="5" s="1"/>
  <c r="HP126" i="5" s="1"/>
  <c r="HP125" i="5" s="1"/>
  <c r="HP124" i="5" s="1"/>
  <c r="HP123" i="5" s="1"/>
  <c r="HP122" i="5" s="1"/>
  <c r="HP121" i="5" s="1"/>
  <c r="HP120" i="5" s="1"/>
  <c r="HP119" i="5" s="1"/>
  <c r="HP118" i="5" s="1"/>
  <c r="HP117" i="5" s="1"/>
  <c r="HP116" i="5" s="1"/>
  <c r="HP115" i="5" s="1"/>
  <c r="HP114" i="5" s="1"/>
  <c r="HP113" i="5" s="1"/>
  <c r="HP112" i="5" s="1"/>
  <c r="HQ213" i="5"/>
  <c r="HQ212" i="5" s="1"/>
  <c r="HQ211" i="5" s="1"/>
  <c r="HQ210" i="5" s="1"/>
  <c r="HQ209" i="5" s="1"/>
  <c r="HQ208" i="5" s="1"/>
  <c r="HQ207" i="5" s="1"/>
  <c r="HQ206" i="5" s="1"/>
  <c r="HQ205" i="5" s="1"/>
  <c r="HQ204" i="5" s="1"/>
  <c r="HQ203" i="5" s="1"/>
  <c r="HQ202" i="5" s="1"/>
  <c r="HQ201" i="5" s="1"/>
  <c r="HQ200" i="5" s="1"/>
  <c r="HQ199" i="5" s="1"/>
  <c r="HQ198" i="5" s="1"/>
  <c r="HQ197" i="5" s="1"/>
  <c r="HQ196" i="5" s="1"/>
  <c r="HQ195" i="5" s="1"/>
  <c r="HQ194" i="5" s="1"/>
  <c r="HQ193" i="5" s="1"/>
  <c r="HQ192" i="5" s="1"/>
  <c r="HQ191" i="5" s="1"/>
  <c r="HQ190" i="5" s="1"/>
  <c r="HQ189" i="5" s="1"/>
  <c r="HQ188" i="5" s="1"/>
  <c r="HQ187" i="5" s="1"/>
  <c r="HQ186" i="5" s="1"/>
  <c r="HQ185" i="5" s="1"/>
  <c r="HQ184" i="5" s="1"/>
  <c r="HQ183" i="5" s="1"/>
  <c r="HQ182" i="5" s="1"/>
  <c r="HQ181" i="5" s="1"/>
  <c r="HQ180" i="5" s="1"/>
  <c r="HQ179" i="5" s="1"/>
  <c r="HQ178" i="5" s="1"/>
  <c r="HQ177" i="5" s="1"/>
  <c r="HQ176" i="5" s="1"/>
  <c r="HQ175" i="5" s="1"/>
  <c r="HQ174" i="5" s="1"/>
  <c r="HQ173" i="5" s="1"/>
  <c r="HQ172" i="5" s="1"/>
  <c r="HQ171" i="5" s="1"/>
  <c r="HQ170" i="5" s="1"/>
  <c r="HQ169" i="5" s="1"/>
  <c r="HQ168" i="5" s="1"/>
  <c r="HQ167" i="5" s="1"/>
  <c r="HQ166" i="5" s="1"/>
  <c r="HQ165" i="5" s="1"/>
  <c r="HQ164" i="5" s="1"/>
  <c r="HQ163" i="5" s="1"/>
  <c r="HQ162" i="5" s="1"/>
  <c r="HQ161" i="5" s="1"/>
  <c r="HQ160" i="5" s="1"/>
  <c r="HQ159" i="5" s="1"/>
  <c r="HQ158" i="5" s="1"/>
  <c r="HQ157" i="5" s="1"/>
  <c r="HQ156" i="5" s="1"/>
  <c r="HQ155" i="5" s="1"/>
  <c r="HQ154" i="5" s="1"/>
  <c r="HQ153" i="5" s="1"/>
  <c r="HQ152" i="5" s="1"/>
  <c r="HQ151" i="5" s="1"/>
  <c r="HQ150" i="5" s="1"/>
  <c r="HQ149" i="5" s="1"/>
  <c r="HQ148" i="5" s="1"/>
  <c r="HQ147" i="5" s="1"/>
  <c r="HQ146" i="5" s="1"/>
  <c r="HQ145" i="5" s="1"/>
  <c r="HQ144" i="5" s="1"/>
  <c r="HQ143" i="5" s="1"/>
  <c r="HQ142" i="5" s="1"/>
  <c r="HQ141" i="5" s="1"/>
  <c r="HQ140" i="5" s="1"/>
  <c r="HQ139" i="5" s="1"/>
  <c r="HQ138" i="5" s="1"/>
  <c r="HQ137" i="5" s="1"/>
  <c r="HQ136" i="5" s="1"/>
  <c r="HQ135" i="5" s="1"/>
  <c r="HQ134" i="5" s="1"/>
  <c r="HQ133" i="5" s="1"/>
  <c r="HQ132" i="5" s="1"/>
  <c r="HQ131" i="5" s="1"/>
  <c r="HQ130" i="5" s="1"/>
  <c r="HQ129" i="5" s="1"/>
  <c r="HQ128" i="5" s="1"/>
  <c r="HQ127" i="5" s="1"/>
  <c r="HQ126" i="5" s="1"/>
  <c r="HQ125" i="5" s="1"/>
  <c r="HQ124" i="5" s="1"/>
  <c r="HQ123" i="5" s="1"/>
  <c r="HQ122" i="5" s="1"/>
  <c r="HQ121" i="5" s="1"/>
  <c r="HQ120" i="5" s="1"/>
  <c r="HQ119" i="5" s="1"/>
  <c r="HQ118" i="5" s="1"/>
  <c r="HQ117" i="5" s="1"/>
  <c r="HQ116" i="5" s="1"/>
  <c r="HQ115" i="5" s="1"/>
  <c r="HQ114" i="5" s="1"/>
  <c r="HQ113" i="5" s="1"/>
  <c r="HQ112" i="5" s="1"/>
  <c r="D213" i="5"/>
  <c r="D212" i="5" s="1"/>
  <c r="D211" i="5" s="1"/>
  <c r="D210" i="5" s="1"/>
  <c r="D209" i="5" s="1"/>
  <c r="D208" i="5" s="1"/>
  <c r="D207" i="5" s="1"/>
  <c r="D206" i="5" s="1"/>
  <c r="D205" i="5" s="1"/>
  <c r="D204" i="5" s="1"/>
  <c r="D203" i="5" s="1"/>
  <c r="D202" i="5" s="1"/>
  <c r="D201" i="5" s="1"/>
  <c r="D200" i="5" s="1"/>
  <c r="D199" i="5" s="1"/>
  <c r="D198" i="5" s="1"/>
  <c r="D197" i="5" s="1"/>
  <c r="D196" i="5" s="1"/>
  <c r="D195" i="5" s="1"/>
  <c r="D194" i="5" s="1"/>
  <c r="D193" i="5" s="1"/>
  <c r="D192" i="5" s="1"/>
  <c r="D191" i="5" s="1"/>
  <c r="D190" i="5" s="1"/>
  <c r="D189" i="5" s="1"/>
  <c r="D188" i="5" s="1"/>
  <c r="D187" i="5" s="1"/>
  <c r="D186" i="5" s="1"/>
  <c r="D185" i="5" s="1"/>
  <c r="D184" i="5" s="1"/>
  <c r="D183" i="5" s="1"/>
  <c r="D182" i="5" s="1"/>
  <c r="D181" i="5" s="1"/>
  <c r="D180" i="5" s="1"/>
  <c r="D179" i="5" s="1"/>
  <c r="D178" i="5" s="1"/>
  <c r="D177" i="5" s="1"/>
  <c r="D176" i="5" s="1"/>
  <c r="D175" i="5" s="1"/>
  <c r="D174" i="5" s="1"/>
  <c r="D173" i="5" s="1"/>
  <c r="D172" i="5" s="1"/>
  <c r="D171" i="5" s="1"/>
  <c r="D170" i="5" s="1"/>
  <c r="D169" i="5" s="1"/>
  <c r="D168" i="5" s="1"/>
  <c r="D167" i="5" s="1"/>
  <c r="D166" i="5" s="1"/>
  <c r="D165" i="5" s="1"/>
  <c r="D164" i="5" s="1"/>
  <c r="D163" i="5" s="1"/>
  <c r="D162" i="5" s="1"/>
  <c r="D161" i="5" s="1"/>
  <c r="D160" i="5" s="1"/>
  <c r="D159" i="5" s="1"/>
  <c r="D158" i="5" s="1"/>
  <c r="D157" i="5" s="1"/>
  <c r="D156" i="5" s="1"/>
  <c r="D155" i="5" s="1"/>
  <c r="D154" i="5" s="1"/>
  <c r="D153" i="5" s="1"/>
  <c r="D152" i="5" s="1"/>
  <c r="D151" i="5" s="1"/>
  <c r="D150" i="5" s="1"/>
  <c r="D149" i="5" s="1"/>
  <c r="D148" i="5" s="1"/>
  <c r="D147" i="5" s="1"/>
  <c r="D146" i="5" s="1"/>
  <c r="D145" i="5" s="1"/>
  <c r="D144" i="5" s="1"/>
  <c r="D143" i="5" s="1"/>
  <c r="D142" i="5" s="1"/>
  <c r="D141" i="5" s="1"/>
  <c r="D140" i="5" s="1"/>
  <c r="D139" i="5" s="1"/>
  <c r="D138" i="5" s="1"/>
  <c r="D137" i="5" s="1"/>
  <c r="D136" i="5" s="1"/>
  <c r="D135" i="5" s="1"/>
  <c r="D134" i="5" s="1"/>
  <c r="D133" i="5" s="1"/>
  <c r="D132" i="5" s="1"/>
  <c r="D131" i="5" s="1"/>
  <c r="D130" i="5" s="1"/>
  <c r="D129" i="5" s="1"/>
  <c r="D128" i="5" s="1"/>
  <c r="D127" i="5" s="1"/>
  <c r="D126" i="5" s="1"/>
  <c r="D125" i="5" s="1"/>
  <c r="D124" i="5" s="1"/>
  <c r="D123" i="5" s="1"/>
  <c r="D122" i="5" s="1"/>
  <c r="D121" i="5" s="1"/>
  <c r="D120" i="5" s="1"/>
  <c r="D119" i="5" s="1"/>
  <c r="D118" i="5" s="1"/>
  <c r="D117" i="5" s="1"/>
  <c r="D116" i="5" s="1"/>
  <c r="D115" i="5" s="1"/>
  <c r="D114" i="5" s="1"/>
  <c r="E213" i="5"/>
  <c r="E212" i="5" s="1"/>
  <c r="E211" i="5" s="1"/>
  <c r="E210" i="5" s="1"/>
  <c r="E209" i="5" s="1"/>
  <c r="E208" i="5" s="1"/>
  <c r="E207" i="5" s="1"/>
  <c r="E206" i="5" s="1"/>
  <c r="E205" i="5" s="1"/>
  <c r="E204" i="5" s="1"/>
  <c r="E203" i="5" s="1"/>
  <c r="E202" i="5" s="1"/>
  <c r="E201" i="5" s="1"/>
  <c r="E200" i="5" s="1"/>
  <c r="E199" i="5" s="1"/>
  <c r="E198" i="5" s="1"/>
  <c r="E197" i="5" s="1"/>
  <c r="E196" i="5" s="1"/>
  <c r="E195" i="5" s="1"/>
  <c r="E194" i="5" s="1"/>
  <c r="E193" i="5" s="1"/>
  <c r="E192" i="5" s="1"/>
  <c r="E191" i="5" s="1"/>
  <c r="E190" i="5" s="1"/>
  <c r="E189" i="5" s="1"/>
  <c r="E188" i="5" s="1"/>
  <c r="E187" i="5" s="1"/>
  <c r="E186" i="5" s="1"/>
  <c r="E185" i="5" s="1"/>
  <c r="E184" i="5" s="1"/>
  <c r="E183" i="5" s="1"/>
  <c r="E182" i="5" s="1"/>
  <c r="E181" i="5" s="1"/>
  <c r="E180" i="5" s="1"/>
  <c r="E179" i="5" s="1"/>
  <c r="E178" i="5" s="1"/>
  <c r="E177" i="5" s="1"/>
  <c r="E176" i="5" s="1"/>
  <c r="E175" i="5" s="1"/>
  <c r="E174" i="5" s="1"/>
  <c r="E173" i="5" s="1"/>
  <c r="E172" i="5" s="1"/>
  <c r="E171" i="5" s="1"/>
  <c r="E170" i="5" s="1"/>
  <c r="E169" i="5" s="1"/>
  <c r="E168" i="5" s="1"/>
  <c r="E167" i="5" s="1"/>
  <c r="E166" i="5" s="1"/>
  <c r="E165" i="5" s="1"/>
  <c r="E164" i="5" s="1"/>
  <c r="E163" i="5" s="1"/>
  <c r="E162" i="5" s="1"/>
  <c r="E161" i="5" s="1"/>
  <c r="E160" i="5" s="1"/>
  <c r="E159" i="5" s="1"/>
  <c r="E158" i="5" s="1"/>
  <c r="E157" i="5" s="1"/>
  <c r="E156" i="5" s="1"/>
  <c r="E155" i="5" s="1"/>
  <c r="E154" i="5" s="1"/>
  <c r="E153" i="5" s="1"/>
  <c r="E152" i="5" s="1"/>
  <c r="E151" i="5" s="1"/>
  <c r="E150" i="5" s="1"/>
  <c r="E149" i="5" s="1"/>
  <c r="E148" i="5" s="1"/>
  <c r="E147" i="5" s="1"/>
  <c r="E146" i="5" s="1"/>
  <c r="E145" i="5" s="1"/>
  <c r="E144" i="5" s="1"/>
  <c r="E143" i="5" s="1"/>
  <c r="E142" i="5" s="1"/>
  <c r="E141" i="5" s="1"/>
  <c r="E140" i="5" s="1"/>
  <c r="E139" i="5" s="1"/>
  <c r="E138" i="5" s="1"/>
  <c r="E137" i="5" s="1"/>
  <c r="E136" i="5" s="1"/>
  <c r="E135" i="5" s="1"/>
  <c r="E134" i="5" s="1"/>
  <c r="E133" i="5" s="1"/>
  <c r="E132" i="5" s="1"/>
  <c r="E131" i="5" s="1"/>
  <c r="E130" i="5" s="1"/>
  <c r="E129" i="5" s="1"/>
  <c r="E128" i="5" s="1"/>
  <c r="E127" i="5" s="1"/>
  <c r="E126" i="5" s="1"/>
  <c r="E125" i="5" s="1"/>
  <c r="E124" i="5" s="1"/>
  <c r="E123" i="5" s="1"/>
  <c r="E122" i="5" s="1"/>
  <c r="E121" i="5" s="1"/>
  <c r="E120" i="5" s="1"/>
  <c r="E119" i="5" s="1"/>
  <c r="E118" i="5" s="1"/>
  <c r="E117" i="5" s="1"/>
  <c r="E116" i="5" s="1"/>
  <c r="E115" i="5" s="1"/>
  <c r="E114" i="5" s="1"/>
  <c r="E113" i="5" s="1"/>
  <c r="F213" i="5"/>
  <c r="F212" i="5" s="1"/>
  <c r="F211" i="5" s="1"/>
  <c r="F210" i="5" s="1"/>
  <c r="F209" i="5" s="1"/>
  <c r="F208" i="5" s="1"/>
  <c r="F207" i="5" s="1"/>
  <c r="F206" i="5" s="1"/>
  <c r="F205" i="5" s="1"/>
  <c r="F204" i="5" s="1"/>
  <c r="F203" i="5" s="1"/>
  <c r="F202" i="5" s="1"/>
  <c r="F201" i="5" s="1"/>
  <c r="F200" i="5" s="1"/>
  <c r="F199" i="5" s="1"/>
  <c r="F198" i="5" s="1"/>
  <c r="F197" i="5" s="1"/>
  <c r="F196" i="5" s="1"/>
  <c r="F195" i="5" s="1"/>
  <c r="F194" i="5" s="1"/>
  <c r="F193" i="5" s="1"/>
  <c r="F192" i="5" s="1"/>
  <c r="F191" i="5" s="1"/>
  <c r="F190" i="5" s="1"/>
  <c r="F189" i="5" s="1"/>
  <c r="F188" i="5" s="1"/>
  <c r="F187" i="5" s="1"/>
  <c r="F186" i="5" s="1"/>
  <c r="F185" i="5" s="1"/>
  <c r="F184" i="5" s="1"/>
  <c r="F183" i="5" s="1"/>
  <c r="F182" i="5" s="1"/>
  <c r="F181" i="5" s="1"/>
  <c r="F180" i="5" s="1"/>
  <c r="F179" i="5" s="1"/>
  <c r="F178" i="5" s="1"/>
  <c r="F177" i="5" s="1"/>
  <c r="F176" i="5" s="1"/>
  <c r="F175" i="5" s="1"/>
  <c r="F174" i="5" s="1"/>
  <c r="F173" i="5" s="1"/>
  <c r="F172" i="5" s="1"/>
  <c r="F171" i="5" s="1"/>
  <c r="F170" i="5" s="1"/>
  <c r="F169" i="5" s="1"/>
  <c r="F168" i="5" s="1"/>
  <c r="F167" i="5" s="1"/>
  <c r="F166" i="5" s="1"/>
  <c r="F165" i="5" s="1"/>
  <c r="F164" i="5" s="1"/>
  <c r="F163" i="5" s="1"/>
  <c r="F162" i="5" s="1"/>
  <c r="F161" i="5" s="1"/>
  <c r="F160" i="5" s="1"/>
  <c r="F159" i="5" s="1"/>
  <c r="F158" i="5" s="1"/>
  <c r="F157" i="5" s="1"/>
  <c r="F156" i="5" s="1"/>
  <c r="F155" i="5" s="1"/>
  <c r="F154" i="5" s="1"/>
  <c r="F153" i="5" s="1"/>
  <c r="F152" i="5" s="1"/>
  <c r="F151" i="5" s="1"/>
  <c r="F150" i="5" s="1"/>
  <c r="F149" i="5" s="1"/>
  <c r="F148" i="5" s="1"/>
  <c r="F147" i="5" s="1"/>
  <c r="F146" i="5" s="1"/>
  <c r="F145" i="5" s="1"/>
  <c r="F144" i="5" s="1"/>
  <c r="F143" i="5" s="1"/>
  <c r="F142" i="5" s="1"/>
  <c r="F141" i="5" s="1"/>
  <c r="F140" i="5" s="1"/>
  <c r="F139" i="5" s="1"/>
  <c r="F138" i="5" s="1"/>
  <c r="F137" i="5" s="1"/>
  <c r="F136" i="5" s="1"/>
  <c r="F135" i="5" s="1"/>
  <c r="F134" i="5" s="1"/>
  <c r="F133" i="5" s="1"/>
  <c r="F132" i="5" s="1"/>
  <c r="F131" i="5" s="1"/>
  <c r="F130" i="5" s="1"/>
  <c r="F129" i="5" s="1"/>
  <c r="F128" i="5" s="1"/>
  <c r="F127" i="5" s="1"/>
  <c r="F126" i="5" s="1"/>
  <c r="F125" i="5" s="1"/>
  <c r="F124" i="5" s="1"/>
  <c r="F123" i="5" s="1"/>
  <c r="F122" i="5" s="1"/>
  <c r="F121" i="5" s="1"/>
  <c r="F120" i="5" s="1"/>
  <c r="F119" i="5" s="1"/>
  <c r="F118" i="5" s="1"/>
  <c r="F117" i="5" s="1"/>
  <c r="F116" i="5" s="1"/>
  <c r="F115" i="5" s="1"/>
  <c r="F114" i="5" s="1"/>
  <c r="G213" i="5"/>
  <c r="G212" i="5" s="1"/>
  <c r="G211" i="5" s="1"/>
  <c r="G210" i="5" s="1"/>
  <c r="G209" i="5" s="1"/>
  <c r="G208" i="5" s="1"/>
  <c r="G207" i="5" s="1"/>
  <c r="G206" i="5" s="1"/>
  <c r="G205" i="5" s="1"/>
  <c r="G204" i="5" s="1"/>
  <c r="G203" i="5" s="1"/>
  <c r="G202" i="5" s="1"/>
  <c r="G201" i="5" s="1"/>
  <c r="G200" i="5" s="1"/>
  <c r="G199" i="5" s="1"/>
  <c r="G198" i="5" s="1"/>
  <c r="G197" i="5" s="1"/>
  <c r="G196" i="5" s="1"/>
  <c r="G195" i="5" s="1"/>
  <c r="G194" i="5" s="1"/>
  <c r="G193" i="5" s="1"/>
  <c r="G192" i="5" s="1"/>
  <c r="G191" i="5" s="1"/>
  <c r="G190" i="5" s="1"/>
  <c r="G189" i="5" s="1"/>
  <c r="G188" i="5" s="1"/>
  <c r="G187" i="5" s="1"/>
  <c r="G186" i="5" s="1"/>
  <c r="G185" i="5" s="1"/>
  <c r="G184" i="5" s="1"/>
  <c r="G183" i="5" s="1"/>
  <c r="G182" i="5" s="1"/>
  <c r="G181" i="5" s="1"/>
  <c r="G180" i="5" s="1"/>
  <c r="G179" i="5" s="1"/>
  <c r="G178" i="5" s="1"/>
  <c r="G177" i="5" s="1"/>
  <c r="G176" i="5" s="1"/>
  <c r="G175" i="5" s="1"/>
  <c r="G174" i="5" s="1"/>
  <c r="G173" i="5" s="1"/>
  <c r="G172" i="5" s="1"/>
  <c r="G171" i="5" s="1"/>
  <c r="G170" i="5" s="1"/>
  <c r="G169" i="5" s="1"/>
  <c r="G168" i="5" s="1"/>
  <c r="G167" i="5" s="1"/>
  <c r="G166" i="5" s="1"/>
  <c r="G165" i="5" s="1"/>
  <c r="G164" i="5" s="1"/>
  <c r="G163" i="5" s="1"/>
  <c r="G162" i="5" s="1"/>
  <c r="G161" i="5" s="1"/>
  <c r="G160" i="5" s="1"/>
  <c r="G159" i="5" s="1"/>
  <c r="G158" i="5" s="1"/>
  <c r="G157" i="5" s="1"/>
  <c r="G156" i="5" s="1"/>
  <c r="G155" i="5" s="1"/>
  <c r="G154" i="5" s="1"/>
  <c r="G153" i="5" s="1"/>
  <c r="G152" i="5" s="1"/>
  <c r="G151" i="5" s="1"/>
  <c r="G150" i="5" s="1"/>
  <c r="G149" i="5" s="1"/>
  <c r="G148" i="5" s="1"/>
  <c r="G147" i="5" s="1"/>
  <c r="G146" i="5" s="1"/>
  <c r="G145" i="5" s="1"/>
  <c r="G144" i="5" s="1"/>
  <c r="G143" i="5" s="1"/>
  <c r="G142" i="5" s="1"/>
  <c r="G141" i="5" s="1"/>
  <c r="G140" i="5" s="1"/>
  <c r="G139" i="5" s="1"/>
  <c r="G138" i="5" s="1"/>
  <c r="G137" i="5" s="1"/>
  <c r="G136" i="5" s="1"/>
  <c r="G135" i="5" s="1"/>
  <c r="G134" i="5" s="1"/>
  <c r="G133" i="5" s="1"/>
  <c r="G132" i="5" s="1"/>
  <c r="G131" i="5" s="1"/>
  <c r="G130" i="5" s="1"/>
  <c r="G129" i="5" s="1"/>
  <c r="G128" i="5" s="1"/>
  <c r="G127" i="5" s="1"/>
  <c r="G126" i="5" s="1"/>
  <c r="G125" i="5" s="1"/>
  <c r="G124" i="5" s="1"/>
  <c r="G123" i="5" s="1"/>
  <c r="G122" i="5" s="1"/>
  <c r="G121" i="5" s="1"/>
  <c r="G120" i="5" s="1"/>
  <c r="G119" i="5" s="1"/>
  <c r="G118" i="5" s="1"/>
  <c r="G117" i="5" s="1"/>
  <c r="G116" i="5" s="1"/>
  <c r="G115" i="5" s="1"/>
  <c r="G114" i="5" s="1"/>
  <c r="G113" i="5" s="1"/>
  <c r="H213" i="5"/>
  <c r="H212" i="5" s="1"/>
  <c r="H211" i="5" s="1"/>
  <c r="H210" i="5" s="1"/>
  <c r="H209" i="5" s="1"/>
  <c r="H208" i="5" s="1"/>
  <c r="H207" i="5" s="1"/>
  <c r="H206" i="5" s="1"/>
  <c r="H205" i="5" s="1"/>
  <c r="H204" i="5" s="1"/>
  <c r="H203" i="5" s="1"/>
  <c r="H202" i="5" s="1"/>
  <c r="H201" i="5" s="1"/>
  <c r="H200" i="5" s="1"/>
  <c r="H199" i="5" s="1"/>
  <c r="H198" i="5" s="1"/>
  <c r="H197" i="5" s="1"/>
  <c r="H196" i="5" s="1"/>
  <c r="H195" i="5" s="1"/>
  <c r="H194" i="5" s="1"/>
  <c r="H193" i="5" s="1"/>
  <c r="H192" i="5" s="1"/>
  <c r="H191" i="5" s="1"/>
  <c r="H190" i="5" s="1"/>
  <c r="H189" i="5" s="1"/>
  <c r="H188" i="5" s="1"/>
  <c r="H187" i="5" s="1"/>
  <c r="H186" i="5" s="1"/>
  <c r="H185" i="5" s="1"/>
  <c r="H184" i="5" s="1"/>
  <c r="H183" i="5" s="1"/>
  <c r="H182" i="5" s="1"/>
  <c r="H181" i="5" s="1"/>
  <c r="H180" i="5" s="1"/>
  <c r="H179" i="5" s="1"/>
  <c r="H178" i="5" s="1"/>
  <c r="H177" i="5" s="1"/>
  <c r="H176" i="5" s="1"/>
  <c r="H175" i="5" s="1"/>
  <c r="H174" i="5" s="1"/>
  <c r="H173" i="5" s="1"/>
  <c r="H172" i="5" s="1"/>
  <c r="H171" i="5" s="1"/>
  <c r="H170" i="5" s="1"/>
  <c r="H169" i="5" s="1"/>
  <c r="H168" i="5" s="1"/>
  <c r="H167" i="5" s="1"/>
  <c r="H166" i="5" s="1"/>
  <c r="H165" i="5" s="1"/>
  <c r="H164" i="5" s="1"/>
  <c r="H163" i="5" s="1"/>
  <c r="H162" i="5" s="1"/>
  <c r="H161" i="5" s="1"/>
  <c r="H160" i="5" s="1"/>
  <c r="H159" i="5" s="1"/>
  <c r="H158" i="5" s="1"/>
  <c r="H157" i="5" s="1"/>
  <c r="H156" i="5" s="1"/>
  <c r="H155" i="5" s="1"/>
  <c r="H154" i="5" s="1"/>
  <c r="H153" i="5" s="1"/>
  <c r="H152" i="5" s="1"/>
  <c r="H151" i="5" s="1"/>
  <c r="H150" i="5" s="1"/>
  <c r="H149" i="5" s="1"/>
  <c r="H148" i="5" s="1"/>
  <c r="H147" i="5" s="1"/>
  <c r="H146" i="5" s="1"/>
  <c r="H145" i="5" s="1"/>
  <c r="H144" i="5" s="1"/>
  <c r="H143" i="5" s="1"/>
  <c r="H142" i="5" s="1"/>
  <c r="H141" i="5" s="1"/>
  <c r="H140" i="5" s="1"/>
  <c r="H139" i="5" s="1"/>
  <c r="H138" i="5" s="1"/>
  <c r="H137" i="5" s="1"/>
  <c r="H136" i="5" s="1"/>
  <c r="H135" i="5" s="1"/>
  <c r="H134" i="5" s="1"/>
  <c r="H133" i="5" s="1"/>
  <c r="H132" i="5" s="1"/>
  <c r="H131" i="5" s="1"/>
  <c r="H130" i="5" s="1"/>
  <c r="H129" i="5" s="1"/>
  <c r="H128" i="5" s="1"/>
  <c r="H127" i="5" s="1"/>
  <c r="H126" i="5" s="1"/>
  <c r="H125" i="5" s="1"/>
  <c r="H124" i="5" s="1"/>
  <c r="H123" i="5" s="1"/>
  <c r="H122" i="5" s="1"/>
  <c r="H121" i="5" s="1"/>
  <c r="H120" i="5" s="1"/>
  <c r="H119" i="5" s="1"/>
  <c r="H118" i="5" s="1"/>
  <c r="H117" i="5" s="1"/>
  <c r="H116" i="5" s="1"/>
  <c r="H115" i="5" s="1"/>
  <c r="H114" i="5" s="1"/>
  <c r="H113" i="5" s="1"/>
  <c r="I213" i="5"/>
  <c r="I212" i="5" s="1"/>
  <c r="I211" i="5" s="1"/>
  <c r="I210" i="5" s="1"/>
  <c r="I209" i="5" s="1"/>
  <c r="I208" i="5" s="1"/>
  <c r="I207" i="5" s="1"/>
  <c r="I206" i="5" s="1"/>
  <c r="I205" i="5" s="1"/>
  <c r="I204" i="5" s="1"/>
  <c r="I203" i="5" s="1"/>
  <c r="I202" i="5" s="1"/>
  <c r="I201" i="5" s="1"/>
  <c r="I200" i="5" s="1"/>
  <c r="I199" i="5" s="1"/>
  <c r="I198" i="5" s="1"/>
  <c r="I197" i="5" s="1"/>
  <c r="I196" i="5" s="1"/>
  <c r="I195" i="5" s="1"/>
  <c r="I194" i="5" s="1"/>
  <c r="I193" i="5" s="1"/>
  <c r="I192" i="5" s="1"/>
  <c r="I191" i="5" s="1"/>
  <c r="I190" i="5" s="1"/>
  <c r="I189" i="5" s="1"/>
  <c r="I188" i="5" s="1"/>
  <c r="I187" i="5" s="1"/>
  <c r="I186" i="5" s="1"/>
  <c r="I185" i="5" s="1"/>
  <c r="I184" i="5" s="1"/>
  <c r="I183" i="5" s="1"/>
  <c r="I182" i="5" s="1"/>
  <c r="I181" i="5" s="1"/>
  <c r="I180" i="5" s="1"/>
  <c r="I179" i="5" s="1"/>
  <c r="I178" i="5" s="1"/>
  <c r="I177" i="5" s="1"/>
  <c r="I176" i="5" s="1"/>
  <c r="I175" i="5" s="1"/>
  <c r="I174" i="5" s="1"/>
  <c r="I173" i="5" s="1"/>
  <c r="I172" i="5" s="1"/>
  <c r="I171" i="5" s="1"/>
  <c r="I170" i="5" s="1"/>
  <c r="I169" i="5" s="1"/>
  <c r="I168" i="5" s="1"/>
  <c r="I167" i="5" s="1"/>
  <c r="I166" i="5" s="1"/>
  <c r="I165" i="5" s="1"/>
  <c r="I164" i="5" s="1"/>
  <c r="I163" i="5" s="1"/>
  <c r="I162" i="5" s="1"/>
  <c r="I161" i="5" s="1"/>
  <c r="I160" i="5" s="1"/>
  <c r="I159" i="5" s="1"/>
  <c r="I158" i="5" s="1"/>
  <c r="I157" i="5" s="1"/>
  <c r="I156" i="5" s="1"/>
  <c r="I155" i="5" s="1"/>
  <c r="I154" i="5" s="1"/>
  <c r="I153" i="5" s="1"/>
  <c r="I152" i="5" s="1"/>
  <c r="I151" i="5" s="1"/>
  <c r="I150" i="5" s="1"/>
  <c r="I149" i="5" s="1"/>
  <c r="I148" i="5" s="1"/>
  <c r="I147" i="5" s="1"/>
  <c r="I146" i="5" s="1"/>
  <c r="I145" i="5" s="1"/>
  <c r="I144" i="5" s="1"/>
  <c r="I143" i="5" s="1"/>
  <c r="I142" i="5" s="1"/>
  <c r="I141" i="5" s="1"/>
  <c r="I140" i="5" s="1"/>
  <c r="I139" i="5" s="1"/>
  <c r="I138" i="5" s="1"/>
  <c r="I137" i="5" s="1"/>
  <c r="I136" i="5" s="1"/>
  <c r="I135" i="5" s="1"/>
  <c r="I134" i="5" s="1"/>
  <c r="I133" i="5" s="1"/>
  <c r="I132" i="5" s="1"/>
  <c r="I131" i="5" s="1"/>
  <c r="I130" i="5" s="1"/>
  <c r="I129" i="5" s="1"/>
  <c r="I128" i="5" s="1"/>
  <c r="I127" i="5" s="1"/>
  <c r="I126" i="5" s="1"/>
  <c r="I125" i="5" s="1"/>
  <c r="I124" i="5" s="1"/>
  <c r="I123" i="5" s="1"/>
  <c r="I122" i="5" s="1"/>
  <c r="I121" i="5" s="1"/>
  <c r="I120" i="5" s="1"/>
  <c r="I119" i="5" s="1"/>
  <c r="I118" i="5" s="1"/>
  <c r="I117" i="5" s="1"/>
  <c r="I116" i="5" s="1"/>
  <c r="I115" i="5" s="1"/>
  <c r="I114" i="5" s="1"/>
  <c r="E41" i="2" l="1"/>
  <c r="F41" i="2"/>
  <c r="G41" i="2"/>
  <c r="H41" i="2"/>
  <c r="I41" i="2"/>
  <c r="J41" i="2"/>
  <c r="E42" i="2"/>
  <c r="F42" i="2"/>
  <c r="G42" i="2"/>
  <c r="H42" i="2"/>
  <c r="I42" i="2"/>
  <c r="J42" i="2"/>
  <c r="E43" i="2"/>
  <c r="F43" i="2"/>
  <c r="G43" i="2"/>
  <c r="H43" i="2"/>
  <c r="I43" i="2"/>
  <c r="J43" i="2"/>
  <c r="E44" i="2"/>
  <c r="F44" i="2"/>
  <c r="G44" i="2"/>
  <c r="H44" i="2"/>
  <c r="I44" i="2"/>
  <c r="J44" i="2"/>
  <c r="E45" i="2"/>
  <c r="F45" i="2"/>
  <c r="G45" i="2"/>
  <c r="H45" i="2"/>
  <c r="I45" i="2"/>
  <c r="J45" i="2"/>
  <c r="E46" i="2"/>
  <c r="F46" i="2"/>
  <c r="G46" i="2"/>
  <c r="H46" i="2"/>
  <c r="I46" i="2"/>
  <c r="J46" i="2"/>
  <c r="E47" i="2"/>
  <c r="F47" i="2"/>
  <c r="G47" i="2"/>
  <c r="H47" i="2"/>
  <c r="I47" i="2"/>
  <c r="J47" i="2"/>
  <c r="E48" i="2"/>
  <c r="F48" i="2"/>
  <c r="G48" i="2"/>
  <c r="H48" i="2"/>
  <c r="I48" i="2"/>
  <c r="J48" i="2"/>
  <c r="E49" i="2"/>
  <c r="F49" i="2"/>
  <c r="G49" i="2"/>
  <c r="H49" i="2"/>
  <c r="I49" i="2"/>
  <c r="J49" i="2"/>
  <c r="E50" i="2"/>
  <c r="F50" i="2"/>
  <c r="G50" i="2"/>
  <c r="H50" i="2"/>
  <c r="I50" i="2"/>
  <c r="J50" i="2"/>
  <c r="E51" i="2"/>
  <c r="F51" i="2"/>
  <c r="G51" i="2"/>
  <c r="H51" i="2"/>
  <c r="I51" i="2"/>
  <c r="J51" i="2"/>
  <c r="E52" i="2"/>
  <c r="F52" i="2"/>
  <c r="G52" i="2"/>
  <c r="H52" i="2"/>
  <c r="I52" i="2"/>
  <c r="J52" i="2"/>
  <c r="E53" i="2"/>
  <c r="F53" i="2"/>
  <c r="G53" i="2"/>
  <c r="H53" i="2"/>
  <c r="I53" i="2"/>
  <c r="J53" i="2"/>
  <c r="E54" i="2"/>
  <c r="F54" i="2"/>
  <c r="G54" i="2"/>
  <c r="H54" i="2"/>
  <c r="I54" i="2"/>
  <c r="J54" i="2"/>
  <c r="E55" i="2"/>
  <c r="F55" i="2"/>
  <c r="G55" i="2"/>
  <c r="H55" i="2"/>
  <c r="I55" i="2"/>
  <c r="J55" i="2"/>
  <c r="E56" i="2"/>
  <c r="F56" i="2"/>
  <c r="G56" i="2"/>
  <c r="H56" i="2"/>
  <c r="I56" i="2"/>
  <c r="J56" i="2"/>
  <c r="GN3" i="5"/>
  <c r="E36" i="2" s="1"/>
  <c r="GO3" i="5"/>
  <c r="F36" i="2" s="1"/>
  <c r="GP3" i="5"/>
  <c r="G36" i="2" s="1"/>
  <c r="GQ3" i="5"/>
  <c r="H36" i="2" s="1"/>
  <c r="GR3" i="5"/>
  <c r="I36" i="2" s="1"/>
  <c r="GS3" i="5"/>
  <c r="J36" i="2" s="1"/>
  <c r="GT3" i="5"/>
  <c r="E37" i="2" s="1"/>
  <c r="GU3" i="5"/>
  <c r="F37" i="2" s="1"/>
  <c r="GV3" i="5"/>
  <c r="G37" i="2" s="1"/>
  <c r="GW3" i="5"/>
  <c r="H37" i="2" s="1"/>
  <c r="GX3" i="5"/>
  <c r="I37" i="2" s="1"/>
  <c r="GY3" i="5"/>
  <c r="J37" i="2" s="1"/>
  <c r="GZ3" i="5"/>
  <c r="E38" i="2" s="1"/>
  <c r="HA3" i="5"/>
  <c r="F38" i="2" s="1"/>
  <c r="HB3" i="5"/>
  <c r="G38" i="2" s="1"/>
  <c r="HC3" i="5"/>
  <c r="H38" i="2" s="1"/>
  <c r="HD3" i="5"/>
  <c r="I38" i="2" s="1"/>
  <c r="HE3" i="5"/>
  <c r="J38" i="2" s="1"/>
  <c r="HF3" i="5"/>
  <c r="E39" i="2" s="1"/>
  <c r="HG3" i="5"/>
  <c r="F39" i="2" s="1"/>
  <c r="HH3" i="5"/>
  <c r="G39" i="2" s="1"/>
  <c r="HI3" i="5"/>
  <c r="H39" i="2" s="1"/>
  <c r="HJ3" i="5"/>
  <c r="I39" i="2" s="1"/>
  <c r="HK3" i="5"/>
  <c r="J39" i="2" s="1"/>
  <c r="HL3" i="5"/>
  <c r="E40" i="2" s="1"/>
  <c r="HM3" i="5"/>
  <c r="F40" i="2" s="1"/>
  <c r="HN3" i="5"/>
  <c r="G40" i="2" s="1"/>
  <c r="HO3" i="5"/>
  <c r="H40" i="2" s="1"/>
  <c r="HP3" i="5"/>
  <c r="I40" i="2" s="1"/>
  <c r="HQ3" i="5"/>
  <c r="J40" i="2" s="1"/>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4" i="2"/>
  <c r="AH3" i="5"/>
  <c r="E9" i="2" s="1"/>
  <c r="AI3" i="5"/>
  <c r="F9" i="2" s="1"/>
  <c r="AJ3" i="5"/>
  <c r="G9" i="2" s="1"/>
  <c r="AK3" i="5"/>
  <c r="H9" i="2" s="1"/>
  <c r="AL3" i="5"/>
  <c r="I9" i="2" s="1"/>
  <c r="AM3" i="5"/>
  <c r="J9" i="2" s="1"/>
  <c r="AN3" i="5"/>
  <c r="E10" i="2" s="1"/>
  <c r="AO3" i="5"/>
  <c r="F10" i="2" s="1"/>
  <c r="AP3" i="5"/>
  <c r="G10" i="2" s="1"/>
  <c r="AQ3" i="5"/>
  <c r="H10" i="2" s="1"/>
  <c r="AR3" i="5"/>
  <c r="I10" i="2" s="1"/>
  <c r="AS3" i="5"/>
  <c r="J10" i="2" s="1"/>
  <c r="AT3" i="5"/>
  <c r="E11" i="2" s="1"/>
  <c r="AU3" i="5"/>
  <c r="F11" i="2" s="1"/>
  <c r="AV3" i="5"/>
  <c r="G11" i="2" s="1"/>
  <c r="AW3" i="5"/>
  <c r="H11" i="2" s="1"/>
  <c r="AX3" i="5"/>
  <c r="I11" i="2" s="1"/>
  <c r="AY3" i="5"/>
  <c r="J11" i="2" s="1"/>
  <c r="AZ3" i="5"/>
  <c r="E12" i="2" s="1"/>
  <c r="BA3" i="5"/>
  <c r="F12" i="2" s="1"/>
  <c r="BB3" i="5"/>
  <c r="G12" i="2" s="1"/>
  <c r="BC3" i="5"/>
  <c r="H12" i="2" s="1"/>
  <c r="BD3" i="5"/>
  <c r="I12" i="2" s="1"/>
  <c r="BE3" i="5"/>
  <c r="J12" i="2" s="1"/>
  <c r="BF3" i="5"/>
  <c r="E13" i="2" s="1"/>
  <c r="BG3" i="5"/>
  <c r="F13" i="2" s="1"/>
  <c r="BH3" i="5"/>
  <c r="G13" i="2" s="1"/>
  <c r="BI3" i="5"/>
  <c r="H13" i="2" s="1"/>
  <c r="BJ3" i="5"/>
  <c r="I13" i="2" s="1"/>
  <c r="BK3" i="5"/>
  <c r="J13" i="2" s="1"/>
  <c r="BL3" i="5"/>
  <c r="E14" i="2" s="1"/>
  <c r="BM3" i="5"/>
  <c r="F14" i="2" s="1"/>
  <c r="BN3" i="5"/>
  <c r="G14" i="2" s="1"/>
  <c r="BO3" i="5"/>
  <c r="H14" i="2" s="1"/>
  <c r="BP3" i="5"/>
  <c r="I14" i="2" s="1"/>
  <c r="BQ3" i="5"/>
  <c r="J14" i="2" s="1"/>
  <c r="BR3" i="5"/>
  <c r="E15" i="2" s="1"/>
  <c r="BS3" i="5"/>
  <c r="F15" i="2" s="1"/>
  <c r="BT3" i="5"/>
  <c r="G15" i="2" s="1"/>
  <c r="BU3" i="5"/>
  <c r="H15" i="2" s="1"/>
  <c r="BV3" i="5"/>
  <c r="I15" i="2" s="1"/>
  <c r="BW3" i="5"/>
  <c r="J15" i="2" s="1"/>
  <c r="BX3" i="5"/>
  <c r="E16" i="2" s="1"/>
  <c r="BY3" i="5"/>
  <c r="F16" i="2" s="1"/>
  <c r="BZ3" i="5"/>
  <c r="G16" i="2" s="1"/>
  <c r="CA3" i="5"/>
  <c r="H16" i="2" s="1"/>
  <c r="CB3" i="5"/>
  <c r="I16" i="2" s="1"/>
  <c r="CC3" i="5"/>
  <c r="J16" i="2" s="1"/>
  <c r="CD3" i="5"/>
  <c r="E17" i="2" s="1"/>
  <c r="CE3" i="5"/>
  <c r="F17" i="2" s="1"/>
  <c r="CF3" i="5"/>
  <c r="G17" i="2" s="1"/>
  <c r="CG3" i="5"/>
  <c r="H17" i="2" s="1"/>
  <c r="CH3" i="5"/>
  <c r="I17" i="2" s="1"/>
  <c r="CI3" i="5"/>
  <c r="J17" i="2" s="1"/>
  <c r="CJ3" i="5"/>
  <c r="E18" i="2" s="1"/>
  <c r="CK3" i="5"/>
  <c r="F18" i="2" s="1"/>
  <c r="CL3" i="5"/>
  <c r="G18" i="2" s="1"/>
  <c r="CM3" i="5"/>
  <c r="H18" i="2" s="1"/>
  <c r="CN3" i="5"/>
  <c r="I18" i="2" s="1"/>
  <c r="CO3" i="5"/>
  <c r="J18" i="2" s="1"/>
  <c r="CP3" i="5"/>
  <c r="E19" i="2" s="1"/>
  <c r="CQ3" i="5"/>
  <c r="F19" i="2" s="1"/>
  <c r="CR3" i="5"/>
  <c r="G19" i="2" s="1"/>
  <c r="CS3" i="5"/>
  <c r="H19" i="2" s="1"/>
  <c r="CT3" i="5"/>
  <c r="I19" i="2" s="1"/>
  <c r="CU3" i="5"/>
  <c r="J19" i="2" s="1"/>
  <c r="CV3" i="5"/>
  <c r="E20" i="2" s="1"/>
  <c r="CW3" i="5"/>
  <c r="F20" i="2" s="1"/>
  <c r="CX3" i="5"/>
  <c r="G20" i="2" s="1"/>
  <c r="CY3" i="5"/>
  <c r="H20" i="2" s="1"/>
  <c r="CZ3" i="5"/>
  <c r="I20" i="2" s="1"/>
  <c r="DA3" i="5"/>
  <c r="J20" i="2" s="1"/>
  <c r="DB3" i="5"/>
  <c r="E21" i="2" s="1"/>
  <c r="DC3" i="5"/>
  <c r="F21" i="2" s="1"/>
  <c r="DD3" i="5"/>
  <c r="G21" i="2" s="1"/>
  <c r="DE3" i="5"/>
  <c r="H21" i="2" s="1"/>
  <c r="DF3" i="5"/>
  <c r="I21" i="2" s="1"/>
  <c r="DG3" i="5"/>
  <c r="J21" i="2" s="1"/>
  <c r="DH3" i="5"/>
  <c r="E22" i="2" s="1"/>
  <c r="DI3" i="5"/>
  <c r="F22" i="2" s="1"/>
  <c r="DJ3" i="5"/>
  <c r="G22" i="2" s="1"/>
  <c r="DK3" i="5"/>
  <c r="H22" i="2" s="1"/>
  <c r="DL3" i="5"/>
  <c r="I22" i="2" s="1"/>
  <c r="DM3" i="5"/>
  <c r="J22" i="2" s="1"/>
  <c r="DN3" i="5"/>
  <c r="E23" i="2" s="1"/>
  <c r="DO3" i="5"/>
  <c r="F23" i="2" s="1"/>
  <c r="DP3" i="5"/>
  <c r="G23" i="2" s="1"/>
  <c r="DQ3" i="5"/>
  <c r="H23" i="2" s="1"/>
  <c r="DR3" i="5"/>
  <c r="I23" i="2" s="1"/>
  <c r="DS3" i="5"/>
  <c r="J23" i="2" s="1"/>
  <c r="DT3" i="5"/>
  <c r="E24" i="2" s="1"/>
  <c r="DU3" i="5"/>
  <c r="F24" i="2" s="1"/>
  <c r="DV3" i="5"/>
  <c r="G24" i="2" s="1"/>
  <c r="DW3" i="5"/>
  <c r="H24" i="2" s="1"/>
  <c r="DX3" i="5"/>
  <c r="I24" i="2" s="1"/>
  <c r="DY3" i="5"/>
  <c r="J24" i="2" s="1"/>
  <c r="DZ3" i="5"/>
  <c r="E25" i="2" s="1"/>
  <c r="EA3" i="5"/>
  <c r="F25" i="2" s="1"/>
  <c r="EB3" i="5"/>
  <c r="G25" i="2" s="1"/>
  <c r="EC3" i="5"/>
  <c r="H25" i="2" s="1"/>
  <c r="ED3" i="5"/>
  <c r="I25" i="2" s="1"/>
  <c r="EE3" i="5"/>
  <c r="J25" i="2" s="1"/>
  <c r="EF3" i="5"/>
  <c r="E26" i="2" s="1"/>
  <c r="EG3" i="5"/>
  <c r="F26" i="2" s="1"/>
  <c r="EH3" i="5"/>
  <c r="G26" i="2" s="1"/>
  <c r="EI3" i="5"/>
  <c r="H26" i="2" s="1"/>
  <c r="EJ3" i="5"/>
  <c r="I26" i="2" s="1"/>
  <c r="EK3" i="5"/>
  <c r="J26" i="2" s="1"/>
  <c r="EL3" i="5"/>
  <c r="E27" i="2" s="1"/>
  <c r="EM3" i="5"/>
  <c r="F27" i="2" s="1"/>
  <c r="EN3" i="5"/>
  <c r="G27" i="2" s="1"/>
  <c r="EO3" i="5"/>
  <c r="H27" i="2" s="1"/>
  <c r="EP3" i="5"/>
  <c r="I27" i="2" s="1"/>
  <c r="EQ3" i="5"/>
  <c r="J27" i="2" s="1"/>
  <c r="ER3" i="5"/>
  <c r="E28" i="2" s="1"/>
  <c r="ES3" i="5"/>
  <c r="F28" i="2" s="1"/>
  <c r="ET3" i="5"/>
  <c r="G28" i="2" s="1"/>
  <c r="EU3" i="5"/>
  <c r="H28" i="2" s="1"/>
  <c r="EV3" i="5"/>
  <c r="I28" i="2" s="1"/>
  <c r="EW3" i="5"/>
  <c r="J28" i="2" s="1"/>
  <c r="EX3" i="5"/>
  <c r="E29" i="2" s="1"/>
  <c r="EY3" i="5"/>
  <c r="F29" i="2" s="1"/>
  <c r="EZ3" i="5"/>
  <c r="G29" i="2" s="1"/>
  <c r="FA3" i="5"/>
  <c r="H29" i="2" s="1"/>
  <c r="FB3" i="5"/>
  <c r="I29" i="2" s="1"/>
  <c r="FC3" i="5"/>
  <c r="J29" i="2" s="1"/>
  <c r="FD3" i="5"/>
  <c r="E30" i="2" s="1"/>
  <c r="FE3" i="5"/>
  <c r="F30" i="2" s="1"/>
  <c r="FF3" i="5"/>
  <c r="G30" i="2" s="1"/>
  <c r="FG3" i="5"/>
  <c r="H30" i="2" s="1"/>
  <c r="FH3" i="5"/>
  <c r="I30" i="2" s="1"/>
  <c r="FI3" i="5"/>
  <c r="J30" i="2" s="1"/>
  <c r="FJ3" i="5"/>
  <c r="E31" i="2" s="1"/>
  <c r="FK3" i="5"/>
  <c r="F31" i="2" s="1"/>
  <c r="FL3" i="5"/>
  <c r="G31" i="2" s="1"/>
  <c r="FM3" i="5"/>
  <c r="H31" i="2" s="1"/>
  <c r="FN3" i="5"/>
  <c r="I31" i="2" s="1"/>
  <c r="FO3" i="5"/>
  <c r="J31" i="2" s="1"/>
  <c r="FP3" i="5"/>
  <c r="E32" i="2" s="1"/>
  <c r="FQ3" i="5"/>
  <c r="F32" i="2" s="1"/>
  <c r="FR3" i="5"/>
  <c r="G32" i="2" s="1"/>
  <c r="FS3" i="5"/>
  <c r="H32" i="2" s="1"/>
  <c r="FT3" i="5"/>
  <c r="I32" i="2" s="1"/>
  <c r="FU3" i="5"/>
  <c r="J32" i="2" s="1"/>
  <c r="FV3" i="5"/>
  <c r="E33" i="2" s="1"/>
  <c r="FW3" i="5"/>
  <c r="F33" i="2" s="1"/>
  <c r="FX3" i="5"/>
  <c r="G33" i="2" s="1"/>
  <c r="FY3" i="5"/>
  <c r="H33" i="2" s="1"/>
  <c r="FZ3" i="5"/>
  <c r="I33" i="2" s="1"/>
  <c r="GA3" i="5"/>
  <c r="J33" i="2" s="1"/>
  <c r="GB3" i="5"/>
  <c r="E34" i="2" s="1"/>
  <c r="GC3" i="5"/>
  <c r="F34" i="2" s="1"/>
  <c r="GD3" i="5"/>
  <c r="G34" i="2" s="1"/>
  <c r="GE3" i="5"/>
  <c r="H34" i="2" s="1"/>
  <c r="GF3" i="5"/>
  <c r="I34" i="2" s="1"/>
  <c r="GG3" i="5"/>
  <c r="J34" i="2" s="1"/>
  <c r="GH3" i="5"/>
  <c r="E35" i="2" s="1"/>
  <c r="GI3" i="5"/>
  <c r="F35" i="2" s="1"/>
  <c r="GJ3" i="5"/>
  <c r="G35" i="2" s="1"/>
  <c r="GK3" i="5"/>
  <c r="H35" i="2" s="1"/>
  <c r="GL3" i="5"/>
  <c r="I35" i="2" s="1"/>
  <c r="GM3" i="5"/>
  <c r="J35" i="2" s="1"/>
  <c r="AB3" i="5"/>
  <c r="E8" i="2" s="1"/>
  <c r="AF3" i="5"/>
  <c r="I8" i="2" s="1"/>
  <c r="AC3" i="5"/>
  <c r="F8" i="2" s="1"/>
  <c r="AD3" i="5"/>
  <c r="G8" i="2" s="1"/>
  <c r="AE3" i="5"/>
  <c r="H8" i="2" s="1"/>
  <c r="AG3" i="5"/>
  <c r="J8" i="2" s="1"/>
  <c r="AA3" i="5"/>
  <c r="J7" i="2" s="1"/>
  <c r="Z3" i="5"/>
  <c r="I7" i="2" s="1"/>
  <c r="Y3" i="5"/>
  <c r="H7" i="2" s="1"/>
  <c r="X3" i="5"/>
  <c r="G7" i="2" s="1"/>
  <c r="W3" i="5"/>
  <c r="F7" i="2" s="1"/>
  <c r="V3" i="5"/>
  <c r="E7" i="2" s="1"/>
  <c r="R3" i="5"/>
  <c r="G6" i="2" s="1"/>
  <c r="S3" i="5"/>
  <c r="H6" i="2" s="1"/>
  <c r="T3" i="5"/>
  <c r="I6" i="2" s="1"/>
  <c r="U3" i="5"/>
  <c r="J6" i="2" s="1"/>
  <c r="Q3" i="5"/>
  <c r="F6" i="2" s="1"/>
  <c r="P3" i="5"/>
  <c r="E6" i="2" s="1"/>
  <c r="J3" i="5"/>
  <c r="E5" i="2" s="1"/>
  <c r="N3" i="5"/>
  <c r="I5" i="2" s="1"/>
  <c r="M3" i="5"/>
  <c r="H5" i="2" s="1"/>
  <c r="K3" i="5"/>
  <c r="F5" i="2" s="1"/>
  <c r="O3" i="5"/>
  <c r="J5" i="2" s="1"/>
  <c r="L3" i="5"/>
  <c r="G5" i="2" s="1"/>
  <c r="G112" i="5"/>
  <c r="G3" i="5" s="1"/>
  <c r="H4" i="2" s="1"/>
  <c r="H112" i="5"/>
  <c r="H3" i="5" s="1"/>
  <c r="I4" i="2" s="1"/>
  <c r="I113" i="5"/>
  <c r="I112" i="5" s="1"/>
  <c r="I3" i="5" s="1"/>
  <c r="J4" i="2" s="1"/>
  <c r="F113" i="5"/>
  <c r="F112" i="5" s="1"/>
  <c r="F3" i="5" s="1"/>
  <c r="G4" i="2" s="1"/>
  <c r="E112" i="5"/>
  <c r="E3" i="5" s="1"/>
  <c r="F4" i="2" s="1"/>
  <c r="D113" i="5"/>
  <c r="A114" i="5"/>
  <c r="B114" i="5"/>
  <c r="C114" i="5"/>
  <c r="A115" i="5"/>
  <c r="B115" i="5"/>
  <c r="C115" i="5"/>
  <c r="A116" i="5"/>
  <c r="B116" i="5"/>
  <c r="C116" i="5"/>
  <c r="A117" i="5"/>
  <c r="B117" i="5"/>
  <c r="C117" i="5"/>
  <c r="A118" i="5"/>
  <c r="B118" i="5"/>
  <c r="C118" i="5"/>
  <c r="A119" i="5"/>
  <c r="B119" i="5"/>
  <c r="C119" i="5"/>
  <c r="A120" i="5"/>
  <c r="B120" i="5"/>
  <c r="C120" i="5"/>
  <c r="A121" i="5"/>
  <c r="B121" i="5"/>
  <c r="C121" i="5"/>
  <c r="A122" i="5"/>
  <c r="B122" i="5"/>
  <c r="C122" i="5"/>
  <c r="A123" i="5"/>
  <c r="B123" i="5"/>
  <c r="C123" i="5"/>
  <c r="A124" i="5"/>
  <c r="B124" i="5"/>
  <c r="C124" i="5"/>
  <c r="A125" i="5"/>
  <c r="B125" i="5"/>
  <c r="C125" i="5"/>
  <c r="A126" i="5"/>
  <c r="B126" i="5"/>
  <c r="C126" i="5"/>
  <c r="A127" i="5"/>
  <c r="B127" i="5"/>
  <c r="C127" i="5"/>
  <c r="A128" i="5"/>
  <c r="B128" i="5"/>
  <c r="C128" i="5"/>
  <c r="A129" i="5"/>
  <c r="B129" i="5"/>
  <c r="C129" i="5"/>
  <c r="A130" i="5"/>
  <c r="B130" i="5"/>
  <c r="C130" i="5"/>
  <c r="A131" i="5"/>
  <c r="B131" i="5"/>
  <c r="C131" i="5"/>
  <c r="A132" i="5"/>
  <c r="B132" i="5"/>
  <c r="C132" i="5"/>
  <c r="A133" i="5"/>
  <c r="B133" i="5"/>
  <c r="C133" i="5"/>
  <c r="A134" i="5"/>
  <c r="B134" i="5"/>
  <c r="C134" i="5"/>
  <c r="A135" i="5"/>
  <c r="B135" i="5"/>
  <c r="C135" i="5"/>
  <c r="A136" i="5"/>
  <c r="B136" i="5"/>
  <c r="C136" i="5"/>
  <c r="A137" i="5"/>
  <c r="B137" i="5"/>
  <c r="C137" i="5"/>
  <c r="A138" i="5"/>
  <c r="B138" i="5"/>
  <c r="C138" i="5"/>
  <c r="A139" i="5"/>
  <c r="B139" i="5"/>
  <c r="C139" i="5"/>
  <c r="A140" i="5"/>
  <c r="B140" i="5"/>
  <c r="C140" i="5"/>
  <c r="A141" i="5"/>
  <c r="B141" i="5"/>
  <c r="C141" i="5"/>
  <c r="A142" i="5"/>
  <c r="B142" i="5"/>
  <c r="C142" i="5"/>
  <c r="A143" i="5"/>
  <c r="B143" i="5"/>
  <c r="C143" i="5"/>
  <c r="A144" i="5"/>
  <c r="B144" i="5"/>
  <c r="C144" i="5"/>
  <c r="A145" i="5"/>
  <c r="B145" i="5"/>
  <c r="C145" i="5"/>
  <c r="A146" i="5"/>
  <c r="B146" i="5"/>
  <c r="C146" i="5"/>
  <c r="A147" i="5"/>
  <c r="B147" i="5"/>
  <c r="C147" i="5"/>
  <c r="A148" i="5"/>
  <c r="B148" i="5"/>
  <c r="C148" i="5"/>
  <c r="A149" i="5"/>
  <c r="B149" i="5"/>
  <c r="C149" i="5"/>
  <c r="A150" i="5"/>
  <c r="B150" i="5"/>
  <c r="C150" i="5"/>
  <c r="A151" i="5"/>
  <c r="B151" i="5"/>
  <c r="C151" i="5"/>
  <c r="A152" i="5"/>
  <c r="B152" i="5"/>
  <c r="C152" i="5"/>
  <c r="A153" i="5"/>
  <c r="B153" i="5"/>
  <c r="C153" i="5"/>
  <c r="A154" i="5"/>
  <c r="B154" i="5"/>
  <c r="C154" i="5"/>
  <c r="A155" i="5"/>
  <c r="B155" i="5"/>
  <c r="C155" i="5"/>
  <c r="A156" i="5"/>
  <c r="B156" i="5"/>
  <c r="C156" i="5"/>
  <c r="A157" i="5"/>
  <c r="B157" i="5"/>
  <c r="C157" i="5"/>
  <c r="A158" i="5"/>
  <c r="B158" i="5"/>
  <c r="C158" i="5"/>
  <c r="A159" i="5"/>
  <c r="B159" i="5"/>
  <c r="C159" i="5"/>
  <c r="A160" i="5"/>
  <c r="B160" i="5"/>
  <c r="C160" i="5"/>
  <c r="A161" i="5"/>
  <c r="B161" i="5"/>
  <c r="C161" i="5"/>
  <c r="A162" i="5"/>
  <c r="B162" i="5"/>
  <c r="C162" i="5"/>
  <c r="A163" i="5"/>
  <c r="B163" i="5"/>
  <c r="C163" i="5"/>
  <c r="A164" i="5"/>
  <c r="B164" i="5"/>
  <c r="C164" i="5"/>
  <c r="A165" i="5"/>
  <c r="B165" i="5"/>
  <c r="C165" i="5"/>
  <c r="A166" i="5"/>
  <c r="B166" i="5"/>
  <c r="C166" i="5"/>
  <c r="A167" i="5"/>
  <c r="B167" i="5"/>
  <c r="C167" i="5"/>
  <c r="A168" i="5"/>
  <c r="B168" i="5"/>
  <c r="C168" i="5"/>
  <c r="A169" i="5"/>
  <c r="B169" i="5"/>
  <c r="C169" i="5"/>
  <c r="A170" i="5"/>
  <c r="B170" i="5"/>
  <c r="C170" i="5"/>
  <c r="A171" i="5"/>
  <c r="B171" i="5"/>
  <c r="C171" i="5"/>
  <c r="A172" i="5"/>
  <c r="B172" i="5"/>
  <c r="C172" i="5"/>
  <c r="A173" i="5"/>
  <c r="B173" i="5"/>
  <c r="C173" i="5"/>
  <c r="A174" i="5"/>
  <c r="B174" i="5"/>
  <c r="C174" i="5"/>
  <c r="A175" i="5"/>
  <c r="B175" i="5"/>
  <c r="C175" i="5"/>
  <c r="A176" i="5"/>
  <c r="B176" i="5"/>
  <c r="C176" i="5"/>
  <c r="A177" i="5"/>
  <c r="B177" i="5"/>
  <c r="C177" i="5"/>
  <c r="A178" i="5"/>
  <c r="B178" i="5"/>
  <c r="C178" i="5"/>
  <c r="A179" i="5"/>
  <c r="B179" i="5"/>
  <c r="C179" i="5"/>
  <c r="A180" i="5"/>
  <c r="B180" i="5"/>
  <c r="C180" i="5"/>
  <c r="A181" i="5"/>
  <c r="B181" i="5"/>
  <c r="C181" i="5"/>
  <c r="A182" i="5"/>
  <c r="B182" i="5"/>
  <c r="C182" i="5"/>
  <c r="A183" i="5"/>
  <c r="B183" i="5"/>
  <c r="C183" i="5"/>
  <c r="A184" i="5"/>
  <c r="B184" i="5"/>
  <c r="C184" i="5"/>
  <c r="A185" i="5"/>
  <c r="B185" i="5"/>
  <c r="C185" i="5"/>
  <c r="A186" i="5"/>
  <c r="B186" i="5"/>
  <c r="C186" i="5"/>
  <c r="A187" i="5"/>
  <c r="B187" i="5"/>
  <c r="C187" i="5"/>
  <c r="A188" i="5"/>
  <c r="B188" i="5"/>
  <c r="C188" i="5"/>
  <c r="A189" i="5"/>
  <c r="B189" i="5"/>
  <c r="C189" i="5"/>
  <c r="A190" i="5"/>
  <c r="B190" i="5"/>
  <c r="C190" i="5"/>
  <c r="A191" i="5"/>
  <c r="B191" i="5"/>
  <c r="C191" i="5"/>
  <c r="A192" i="5"/>
  <c r="B192" i="5"/>
  <c r="C192" i="5"/>
  <c r="A193" i="5"/>
  <c r="B193" i="5"/>
  <c r="C193" i="5"/>
  <c r="A194" i="5"/>
  <c r="B194" i="5"/>
  <c r="C194" i="5"/>
  <c r="A195" i="5"/>
  <c r="B195" i="5"/>
  <c r="C195" i="5"/>
  <c r="A196" i="5"/>
  <c r="B196" i="5"/>
  <c r="C196" i="5"/>
  <c r="A197" i="5"/>
  <c r="B197" i="5"/>
  <c r="C197" i="5"/>
  <c r="A198" i="5"/>
  <c r="B198" i="5"/>
  <c r="C198" i="5"/>
  <c r="A199" i="5"/>
  <c r="B199" i="5"/>
  <c r="C199" i="5"/>
  <c r="A200" i="5"/>
  <c r="B200" i="5"/>
  <c r="C200" i="5"/>
  <c r="A201" i="5"/>
  <c r="B201" i="5"/>
  <c r="C201" i="5"/>
  <c r="A202" i="5"/>
  <c r="B202" i="5"/>
  <c r="C202" i="5"/>
  <c r="A203" i="5"/>
  <c r="B203" i="5"/>
  <c r="C203" i="5"/>
  <c r="A204" i="5"/>
  <c r="B204" i="5"/>
  <c r="C204" i="5"/>
  <c r="A205" i="5"/>
  <c r="B205" i="5"/>
  <c r="C205" i="5"/>
  <c r="A206" i="5"/>
  <c r="B206" i="5"/>
  <c r="C206" i="5"/>
  <c r="A207" i="5"/>
  <c r="B207" i="5"/>
  <c r="C207" i="5"/>
  <c r="A208" i="5"/>
  <c r="B208" i="5"/>
  <c r="C208" i="5"/>
  <c r="A209" i="5"/>
  <c r="B209" i="5"/>
  <c r="C209" i="5"/>
  <c r="A210" i="5"/>
  <c r="B210" i="5"/>
  <c r="C210" i="5"/>
  <c r="A211" i="5"/>
  <c r="B211" i="5"/>
  <c r="C211" i="5"/>
  <c r="A212" i="5"/>
  <c r="B212" i="5"/>
  <c r="C212" i="5"/>
  <c r="A213" i="5"/>
  <c r="B213" i="5"/>
  <c r="C213" i="5"/>
  <c r="B113" i="5"/>
  <c r="C113" i="5"/>
  <c r="A113" i="5"/>
  <c r="O111" i="5"/>
  <c r="U111" i="5" s="1"/>
  <c r="AA111" i="5" s="1"/>
  <c r="AG111" i="5" s="1"/>
  <c r="AM111" i="5" s="1"/>
  <c r="AS111" i="5" s="1"/>
  <c r="AY111" i="5" s="1"/>
  <c r="BE111" i="5" s="1"/>
  <c r="BK111" i="5" s="1"/>
  <c r="BQ111" i="5" s="1"/>
  <c r="BW111" i="5" s="1"/>
  <c r="CC111" i="5" s="1"/>
  <c r="CI111" i="5" s="1"/>
  <c r="CO111" i="5" s="1"/>
  <c r="CU111" i="5" s="1"/>
  <c r="DA111" i="5" s="1"/>
  <c r="DG111" i="5" s="1"/>
  <c r="DM111" i="5" s="1"/>
  <c r="DS111" i="5" s="1"/>
  <c r="DY111" i="5" s="1"/>
  <c r="EE111" i="5" s="1"/>
  <c r="EK111" i="5" s="1"/>
  <c r="EQ111" i="5" s="1"/>
  <c r="EW111" i="5" s="1"/>
  <c r="FC111" i="5" s="1"/>
  <c r="FI111" i="5" s="1"/>
  <c r="FO111" i="5" s="1"/>
  <c r="FU111" i="5" s="1"/>
  <c r="GA111" i="5" s="1"/>
  <c r="GG111" i="5" s="1"/>
  <c r="GM111" i="5" s="1"/>
  <c r="GS111" i="5" s="1"/>
  <c r="GY111" i="5" s="1"/>
  <c r="HE111" i="5" s="1"/>
  <c r="HK111" i="5" s="1"/>
  <c r="HQ111" i="5" s="1"/>
  <c r="N111" i="5"/>
  <c r="T111" i="5" s="1"/>
  <c r="Z111" i="5" s="1"/>
  <c r="AF111" i="5" s="1"/>
  <c r="AL111" i="5" s="1"/>
  <c r="AR111" i="5" s="1"/>
  <c r="AX111" i="5" s="1"/>
  <c r="BD111" i="5" s="1"/>
  <c r="BJ111" i="5" s="1"/>
  <c r="BP111" i="5" s="1"/>
  <c r="BV111" i="5" s="1"/>
  <c r="CB111" i="5" s="1"/>
  <c r="CH111" i="5" s="1"/>
  <c r="CN111" i="5" s="1"/>
  <c r="CT111" i="5" s="1"/>
  <c r="CZ111" i="5" s="1"/>
  <c r="DF111" i="5" s="1"/>
  <c r="DL111" i="5" s="1"/>
  <c r="DR111" i="5" s="1"/>
  <c r="DX111" i="5" s="1"/>
  <c r="ED111" i="5" s="1"/>
  <c r="EJ111" i="5" s="1"/>
  <c r="EP111" i="5" s="1"/>
  <c r="EV111" i="5" s="1"/>
  <c r="FB111" i="5" s="1"/>
  <c r="FH111" i="5" s="1"/>
  <c r="FN111" i="5" s="1"/>
  <c r="FT111" i="5" s="1"/>
  <c r="FZ111" i="5" s="1"/>
  <c r="GF111" i="5" s="1"/>
  <c r="GL111" i="5" s="1"/>
  <c r="GR111" i="5" s="1"/>
  <c r="GX111" i="5" s="1"/>
  <c r="HD111" i="5" s="1"/>
  <c r="HJ111" i="5" s="1"/>
  <c r="HP111" i="5" s="1"/>
  <c r="M111" i="5"/>
  <c r="S111" i="5" s="1"/>
  <c r="Y111" i="5" s="1"/>
  <c r="AE111" i="5" s="1"/>
  <c r="AK111" i="5" s="1"/>
  <c r="AQ111" i="5" s="1"/>
  <c r="AW111" i="5" s="1"/>
  <c r="BC111" i="5" s="1"/>
  <c r="BI111" i="5" s="1"/>
  <c r="BO111" i="5" s="1"/>
  <c r="BU111" i="5" s="1"/>
  <c r="CA111" i="5" s="1"/>
  <c r="CG111" i="5" s="1"/>
  <c r="CM111" i="5" s="1"/>
  <c r="CS111" i="5" s="1"/>
  <c r="CY111" i="5" s="1"/>
  <c r="DE111" i="5" s="1"/>
  <c r="DK111" i="5" s="1"/>
  <c r="DQ111" i="5" s="1"/>
  <c r="DW111" i="5" s="1"/>
  <c r="EC111" i="5" s="1"/>
  <c r="EI111" i="5" s="1"/>
  <c r="EO111" i="5" s="1"/>
  <c r="EU111" i="5" s="1"/>
  <c r="FA111" i="5" s="1"/>
  <c r="FG111" i="5" s="1"/>
  <c r="FM111" i="5" s="1"/>
  <c r="FS111" i="5" s="1"/>
  <c r="FY111" i="5" s="1"/>
  <c r="GE111" i="5" s="1"/>
  <c r="GK111" i="5" s="1"/>
  <c r="GQ111" i="5" s="1"/>
  <c r="GW111" i="5" s="1"/>
  <c r="HC111" i="5" s="1"/>
  <c r="HI111" i="5" s="1"/>
  <c r="HO111" i="5" s="1"/>
  <c r="L111" i="5"/>
  <c r="R111" i="5" s="1"/>
  <c r="X111" i="5" s="1"/>
  <c r="AD111" i="5" s="1"/>
  <c r="AJ111" i="5" s="1"/>
  <c r="AP111" i="5" s="1"/>
  <c r="AV111" i="5" s="1"/>
  <c r="BB111" i="5" s="1"/>
  <c r="BH111" i="5" s="1"/>
  <c r="BN111" i="5" s="1"/>
  <c r="BT111" i="5" s="1"/>
  <c r="BZ111" i="5" s="1"/>
  <c r="CF111" i="5" s="1"/>
  <c r="CL111" i="5" s="1"/>
  <c r="CR111" i="5" s="1"/>
  <c r="CX111" i="5" s="1"/>
  <c r="DD111" i="5" s="1"/>
  <c r="DJ111" i="5" s="1"/>
  <c r="DP111" i="5" s="1"/>
  <c r="DV111" i="5" s="1"/>
  <c r="EB111" i="5" s="1"/>
  <c r="EH111" i="5" s="1"/>
  <c r="EN111" i="5" s="1"/>
  <c r="ET111" i="5" s="1"/>
  <c r="EZ111" i="5" s="1"/>
  <c r="FF111" i="5" s="1"/>
  <c r="FL111" i="5" s="1"/>
  <c r="FR111" i="5" s="1"/>
  <c r="FX111" i="5" s="1"/>
  <c r="GD111" i="5" s="1"/>
  <c r="GJ111" i="5" s="1"/>
  <c r="GP111" i="5" s="1"/>
  <c r="GV111" i="5" s="1"/>
  <c r="HB111" i="5" s="1"/>
  <c r="HH111" i="5" s="1"/>
  <c r="HN111" i="5" s="1"/>
  <c r="K111" i="5"/>
  <c r="Q111" i="5" s="1"/>
  <c r="W111" i="5" s="1"/>
  <c r="AC111" i="5" s="1"/>
  <c r="AI111" i="5" s="1"/>
  <c r="AO111" i="5" s="1"/>
  <c r="AU111" i="5" s="1"/>
  <c r="BA111" i="5" s="1"/>
  <c r="BG111" i="5" s="1"/>
  <c r="BM111" i="5" s="1"/>
  <c r="BS111" i="5" s="1"/>
  <c r="BY111" i="5" s="1"/>
  <c r="CE111" i="5" s="1"/>
  <c r="CK111" i="5" s="1"/>
  <c r="CQ111" i="5" s="1"/>
  <c r="CW111" i="5" s="1"/>
  <c r="DC111" i="5" s="1"/>
  <c r="DI111" i="5" s="1"/>
  <c r="DO111" i="5" s="1"/>
  <c r="DU111" i="5" s="1"/>
  <c r="EA111" i="5" s="1"/>
  <c r="EG111" i="5" s="1"/>
  <c r="EM111" i="5" s="1"/>
  <c r="ES111" i="5" s="1"/>
  <c r="EY111" i="5" s="1"/>
  <c r="FE111" i="5" s="1"/>
  <c r="FK111" i="5" s="1"/>
  <c r="FQ111" i="5" s="1"/>
  <c r="FW111" i="5" s="1"/>
  <c r="GC111" i="5" s="1"/>
  <c r="GI111" i="5" s="1"/>
  <c r="GO111" i="5" s="1"/>
  <c r="GU111" i="5" s="1"/>
  <c r="HA111" i="5" s="1"/>
  <c r="HG111" i="5" s="1"/>
  <c r="HM111" i="5" s="1"/>
  <c r="J111" i="5"/>
  <c r="P111" i="5" s="1"/>
  <c r="V111" i="5" s="1"/>
  <c r="AB111" i="5" s="1"/>
  <c r="AH111" i="5" s="1"/>
  <c r="AN111" i="5" s="1"/>
  <c r="AT111" i="5" s="1"/>
  <c r="AZ111" i="5" s="1"/>
  <c r="BF111" i="5" s="1"/>
  <c r="BL111" i="5" s="1"/>
  <c r="BR111" i="5" s="1"/>
  <c r="BX111" i="5" s="1"/>
  <c r="CD111" i="5" s="1"/>
  <c r="CJ111" i="5" s="1"/>
  <c r="CP111" i="5" s="1"/>
  <c r="CV111" i="5" s="1"/>
  <c r="DB111" i="5" s="1"/>
  <c r="DH111" i="5" s="1"/>
  <c r="DN111" i="5" s="1"/>
  <c r="DT111" i="5" s="1"/>
  <c r="DZ111" i="5" s="1"/>
  <c r="EF111" i="5" s="1"/>
  <c r="EL111" i="5" s="1"/>
  <c r="ER111" i="5" s="1"/>
  <c r="EX111" i="5" s="1"/>
  <c r="FD111" i="5" s="1"/>
  <c r="FJ111" i="5" s="1"/>
  <c r="FP111" i="5" s="1"/>
  <c r="FV111" i="5" s="1"/>
  <c r="GB111" i="5" s="1"/>
  <c r="GH111" i="5" s="1"/>
  <c r="GN111" i="5" s="1"/>
  <c r="GT111" i="5" s="1"/>
  <c r="GZ111" i="5" s="1"/>
  <c r="HF111" i="5" s="1"/>
  <c r="HL111" i="5" s="1"/>
  <c r="O4" i="5"/>
  <c r="U4" i="5" s="1"/>
  <c r="AA4" i="5" s="1"/>
  <c r="AG4" i="5" s="1"/>
  <c r="AM4" i="5" s="1"/>
  <c r="AS4" i="5" s="1"/>
  <c r="AY4" i="5" s="1"/>
  <c r="BE4" i="5" s="1"/>
  <c r="BK4" i="5" s="1"/>
  <c r="BQ4" i="5" s="1"/>
  <c r="BW4" i="5" s="1"/>
  <c r="CC4" i="5" s="1"/>
  <c r="CI4" i="5" s="1"/>
  <c r="CO4" i="5" s="1"/>
  <c r="CU4" i="5" s="1"/>
  <c r="DA4" i="5" s="1"/>
  <c r="DG4" i="5" s="1"/>
  <c r="DM4" i="5" s="1"/>
  <c r="DS4" i="5" s="1"/>
  <c r="DY4" i="5" s="1"/>
  <c r="EE4" i="5" s="1"/>
  <c r="EK4" i="5" s="1"/>
  <c r="EQ4" i="5" s="1"/>
  <c r="EW4" i="5" s="1"/>
  <c r="FC4" i="5" s="1"/>
  <c r="FI4" i="5" s="1"/>
  <c r="FO4" i="5" s="1"/>
  <c r="FU4" i="5" s="1"/>
  <c r="GA4" i="5" s="1"/>
  <c r="GG4" i="5" s="1"/>
  <c r="GM4" i="5" s="1"/>
  <c r="GS4" i="5" s="1"/>
  <c r="GY4" i="5" s="1"/>
  <c r="HE4" i="5" s="1"/>
  <c r="HK4" i="5" s="1"/>
  <c r="HQ4" i="5" s="1"/>
  <c r="N4" i="5"/>
  <c r="T4" i="5" s="1"/>
  <c r="Z4" i="5" s="1"/>
  <c r="AF4" i="5" s="1"/>
  <c r="AL4" i="5" s="1"/>
  <c r="AR4" i="5" s="1"/>
  <c r="AX4" i="5" s="1"/>
  <c r="BD4" i="5" s="1"/>
  <c r="BJ4" i="5" s="1"/>
  <c r="BP4" i="5" s="1"/>
  <c r="BV4" i="5" s="1"/>
  <c r="CB4" i="5" s="1"/>
  <c r="CH4" i="5" s="1"/>
  <c r="CN4" i="5" s="1"/>
  <c r="CT4" i="5" s="1"/>
  <c r="CZ4" i="5" s="1"/>
  <c r="DF4" i="5" s="1"/>
  <c r="DL4" i="5" s="1"/>
  <c r="DR4" i="5" s="1"/>
  <c r="DX4" i="5" s="1"/>
  <c r="ED4" i="5" s="1"/>
  <c r="EJ4" i="5" s="1"/>
  <c r="EP4" i="5" s="1"/>
  <c r="EV4" i="5" s="1"/>
  <c r="FB4" i="5" s="1"/>
  <c r="FH4" i="5" s="1"/>
  <c r="FN4" i="5" s="1"/>
  <c r="FT4" i="5" s="1"/>
  <c r="FZ4" i="5" s="1"/>
  <c r="GF4" i="5" s="1"/>
  <c r="GL4" i="5" s="1"/>
  <c r="GR4" i="5" s="1"/>
  <c r="GX4" i="5" s="1"/>
  <c r="HD4" i="5" s="1"/>
  <c r="HJ4" i="5" s="1"/>
  <c r="HP4" i="5" s="1"/>
  <c r="M4" i="5"/>
  <c r="S4" i="5" s="1"/>
  <c r="Y4" i="5" s="1"/>
  <c r="AE4" i="5" s="1"/>
  <c r="AK4" i="5" s="1"/>
  <c r="AQ4" i="5" s="1"/>
  <c r="AW4" i="5" s="1"/>
  <c r="BC4" i="5" s="1"/>
  <c r="BI4" i="5" s="1"/>
  <c r="BO4" i="5" s="1"/>
  <c r="BU4" i="5" s="1"/>
  <c r="CA4" i="5" s="1"/>
  <c r="CG4" i="5" s="1"/>
  <c r="CM4" i="5" s="1"/>
  <c r="CS4" i="5" s="1"/>
  <c r="CY4" i="5" s="1"/>
  <c r="DE4" i="5" s="1"/>
  <c r="DK4" i="5" s="1"/>
  <c r="DQ4" i="5" s="1"/>
  <c r="DW4" i="5" s="1"/>
  <c r="EC4" i="5" s="1"/>
  <c r="EI4" i="5" s="1"/>
  <c r="EO4" i="5" s="1"/>
  <c r="EU4" i="5" s="1"/>
  <c r="FA4" i="5" s="1"/>
  <c r="FG4" i="5" s="1"/>
  <c r="FM4" i="5" s="1"/>
  <c r="FS4" i="5" s="1"/>
  <c r="FY4" i="5" s="1"/>
  <c r="GE4" i="5" s="1"/>
  <c r="GK4" i="5" s="1"/>
  <c r="GQ4" i="5" s="1"/>
  <c r="GW4" i="5" s="1"/>
  <c r="HC4" i="5" s="1"/>
  <c r="HI4" i="5" s="1"/>
  <c r="HO4" i="5" s="1"/>
  <c r="L4" i="5"/>
  <c r="R4" i="5" s="1"/>
  <c r="X4" i="5" s="1"/>
  <c r="AD4" i="5" s="1"/>
  <c r="AJ4" i="5" s="1"/>
  <c r="AP4" i="5" s="1"/>
  <c r="AV4" i="5" s="1"/>
  <c r="BB4" i="5" s="1"/>
  <c r="BH4" i="5" s="1"/>
  <c r="BN4" i="5" s="1"/>
  <c r="BT4" i="5" s="1"/>
  <c r="BZ4" i="5" s="1"/>
  <c r="CF4" i="5" s="1"/>
  <c r="CL4" i="5" s="1"/>
  <c r="CR4" i="5" s="1"/>
  <c r="CX4" i="5" s="1"/>
  <c r="DD4" i="5" s="1"/>
  <c r="DJ4" i="5" s="1"/>
  <c r="DP4" i="5" s="1"/>
  <c r="DV4" i="5" s="1"/>
  <c r="EB4" i="5" s="1"/>
  <c r="EH4" i="5" s="1"/>
  <c r="EN4" i="5" s="1"/>
  <c r="ET4" i="5" s="1"/>
  <c r="EZ4" i="5" s="1"/>
  <c r="FF4" i="5" s="1"/>
  <c r="FL4" i="5" s="1"/>
  <c r="FR4" i="5" s="1"/>
  <c r="FX4" i="5" s="1"/>
  <c r="GD4" i="5" s="1"/>
  <c r="GJ4" i="5" s="1"/>
  <c r="GP4" i="5" s="1"/>
  <c r="GV4" i="5" s="1"/>
  <c r="HB4" i="5" s="1"/>
  <c r="HH4" i="5" s="1"/>
  <c r="HN4" i="5" s="1"/>
  <c r="K4" i="5"/>
  <c r="Q4" i="5" s="1"/>
  <c r="W4" i="5" s="1"/>
  <c r="AC4" i="5" s="1"/>
  <c r="AI4" i="5" s="1"/>
  <c r="AO4" i="5" s="1"/>
  <c r="AU4" i="5" s="1"/>
  <c r="BA4" i="5" s="1"/>
  <c r="BG4" i="5" s="1"/>
  <c r="BM4" i="5" s="1"/>
  <c r="BS4" i="5" s="1"/>
  <c r="BY4" i="5" s="1"/>
  <c r="CE4" i="5" s="1"/>
  <c r="CK4" i="5" s="1"/>
  <c r="CQ4" i="5" s="1"/>
  <c r="CW4" i="5" s="1"/>
  <c r="DC4" i="5" s="1"/>
  <c r="DI4" i="5" s="1"/>
  <c r="DO4" i="5" s="1"/>
  <c r="DU4" i="5" s="1"/>
  <c r="EA4" i="5" s="1"/>
  <c r="EG4" i="5" s="1"/>
  <c r="EM4" i="5" s="1"/>
  <c r="ES4" i="5" s="1"/>
  <c r="EY4" i="5" s="1"/>
  <c r="FE4" i="5" s="1"/>
  <c r="FK4" i="5" s="1"/>
  <c r="FQ4" i="5" s="1"/>
  <c r="FW4" i="5" s="1"/>
  <c r="GC4" i="5" s="1"/>
  <c r="GI4" i="5" s="1"/>
  <c r="GO4" i="5" s="1"/>
  <c r="GU4" i="5" s="1"/>
  <c r="HA4" i="5" s="1"/>
  <c r="HG4" i="5" s="1"/>
  <c r="HM4" i="5" s="1"/>
  <c r="J4" i="5"/>
  <c r="P4" i="5" s="1"/>
  <c r="V4" i="5" s="1"/>
  <c r="AB4" i="5" s="1"/>
  <c r="AH4" i="5" s="1"/>
  <c r="AN4" i="5" s="1"/>
  <c r="AT4" i="5" s="1"/>
  <c r="AZ4" i="5" s="1"/>
  <c r="BF4" i="5" s="1"/>
  <c r="BL4" i="5" s="1"/>
  <c r="BR4" i="5" s="1"/>
  <c r="BX4" i="5" s="1"/>
  <c r="CD4" i="5" s="1"/>
  <c r="CJ4" i="5" s="1"/>
  <c r="CP4" i="5" s="1"/>
  <c r="CV4" i="5" s="1"/>
  <c r="DB4" i="5" s="1"/>
  <c r="DH4" i="5" s="1"/>
  <c r="DN4" i="5" s="1"/>
  <c r="DT4" i="5" s="1"/>
  <c r="DZ4" i="5" s="1"/>
  <c r="EF4" i="5" s="1"/>
  <c r="EL4" i="5" s="1"/>
  <c r="ER4" i="5" s="1"/>
  <c r="EX4" i="5" s="1"/>
  <c r="FD4" i="5" s="1"/>
  <c r="FJ4" i="5" s="1"/>
  <c r="FP4" i="5" s="1"/>
  <c r="FV4" i="5" s="1"/>
  <c r="GB4" i="5" s="1"/>
  <c r="GH4" i="5" s="1"/>
  <c r="GN4" i="5" s="1"/>
  <c r="GT4" i="5" s="1"/>
  <c r="GZ4" i="5" s="1"/>
  <c r="HF4" i="5" s="1"/>
  <c r="HL4" i="5" s="1"/>
  <c r="D112" i="5" l="1"/>
  <c r="D3" i="5" s="1"/>
  <c r="E4" i="2" s="1"/>
  <c r="W9" i="3"/>
  <c r="V5" i="3"/>
  <c r="A1" i="3" s="1"/>
  <c r="B8" i="3" l="1"/>
  <c r="C4" i="3"/>
  <c r="B7" i="3"/>
  <c r="B4" i="3"/>
  <c r="B9" i="3"/>
  <c r="B5" i="3"/>
  <c r="B2" i="3"/>
  <c r="E1" i="3"/>
  <c r="F2" i="3" l="1"/>
  <c r="F7" i="3"/>
  <c r="G4" i="3"/>
  <c r="F9" i="3"/>
  <c r="F4" i="3"/>
  <c r="F5" i="3"/>
  <c r="F8" i="3"/>
  <c r="I1" i="3"/>
  <c r="J7" i="3" l="1"/>
  <c r="J4" i="3"/>
  <c r="J9" i="3"/>
  <c r="J5" i="3"/>
  <c r="J2" i="3"/>
  <c r="J8" i="3"/>
  <c r="K4" i="3"/>
  <c r="M1" i="3"/>
  <c r="N9" i="3" l="1"/>
  <c r="N5" i="3"/>
  <c r="N2" i="3"/>
  <c r="N8" i="3"/>
  <c r="O4" i="3"/>
  <c r="N7" i="3"/>
  <c r="N4" i="3"/>
  <c r="Q1" i="3"/>
  <c r="R8" i="3" l="1"/>
  <c r="S4" i="3"/>
  <c r="R7" i="3"/>
  <c r="R4" i="3"/>
  <c r="R9" i="3"/>
  <c r="R5" i="3"/>
  <c r="R2" i="3"/>
  <c r="A11" i="3"/>
  <c r="B17" i="3" l="1"/>
  <c r="B14" i="3"/>
  <c r="B19" i="3"/>
  <c r="B15" i="3"/>
  <c r="B12" i="3"/>
  <c r="B18" i="3"/>
  <c r="C14" i="3"/>
  <c r="E11" i="3"/>
  <c r="F19" i="3" l="1"/>
  <c r="F15" i="3"/>
  <c r="F12" i="3"/>
  <c r="F18" i="3"/>
  <c r="G14" i="3"/>
  <c r="F17" i="3"/>
  <c r="F14" i="3"/>
  <c r="I11" i="3"/>
  <c r="J18" i="3" l="1"/>
  <c r="K14" i="3"/>
  <c r="J17" i="3"/>
  <c r="J14" i="3"/>
  <c r="J19" i="3"/>
  <c r="J15" i="3"/>
  <c r="J12" i="3"/>
  <c r="M11" i="3"/>
  <c r="N17" i="3" l="1"/>
  <c r="N14" i="3"/>
  <c r="N19" i="3"/>
  <c r="N15" i="3"/>
  <c r="N12" i="3"/>
  <c r="N18" i="3"/>
  <c r="O14" i="3"/>
  <c r="Q11" i="3"/>
  <c r="R19" i="3" l="1"/>
  <c r="R15" i="3"/>
  <c r="R12" i="3"/>
  <c r="R18" i="3"/>
  <c r="S14" i="3"/>
  <c r="R17" i="3"/>
  <c r="R14" i="3"/>
</calcChain>
</file>

<file path=xl/sharedStrings.xml><?xml version="1.0" encoding="utf-8"?>
<sst xmlns="http://schemas.openxmlformats.org/spreadsheetml/2006/main" count="512" uniqueCount="212">
  <si>
    <t>title</t>
    <phoneticPr fontId="18"/>
  </si>
  <si>
    <t>Effects</t>
  </si>
  <si>
    <t>picture</t>
    <phoneticPr fontId="18"/>
  </si>
  <si>
    <r>
      <t>Eff</t>
    </r>
    <r>
      <rPr>
        <sz val="10"/>
        <rFont val="Arial"/>
        <family val="2"/>
      </rPr>
      <t xml:space="preserve">s. </t>
    </r>
    <r>
      <rPr>
        <sz val="10"/>
        <rFont val="Arial"/>
        <family val="2"/>
      </rPr>
      <t>%</t>
    </r>
    <phoneticPr fontId="23"/>
  </si>
  <si>
    <t xml:space="preserve">Required </t>
  </si>
  <si>
    <t>Resources</t>
  </si>
  <si>
    <t>Card Title</t>
  </si>
  <si>
    <t xml:space="preserve">ID No. </t>
  </si>
  <si>
    <t>Action Cards Data</t>
  </si>
  <si>
    <t xml:space="preserve"> </t>
    <phoneticPr fontId="18"/>
  </si>
  <si>
    <t>Effs. %</t>
  </si>
  <si>
    <t>Bonus cond</t>
  </si>
  <si>
    <t>B Effs</t>
  </si>
  <si>
    <t>B Effs%</t>
  </si>
  <si>
    <t>↑ページ指定</t>
    <rPh sb="4" eb="6">
      <t>シテイ</t>
    </rPh>
    <phoneticPr fontId="18"/>
  </si>
  <si>
    <t xml:space="preserve">Required </t>
    <phoneticPr fontId="23"/>
  </si>
  <si>
    <t>Extra cond</t>
    <phoneticPr fontId="23"/>
  </si>
  <si>
    <t>E Effs</t>
    <phoneticPr fontId="23"/>
  </si>
  <si>
    <t>E Effs%</t>
    <phoneticPr fontId="23"/>
  </si>
  <si>
    <t>C:\Users\take\Desktop\RwandaCard\EventCard\pic\1.png</t>
    <phoneticPr fontId="18"/>
  </si>
  <si>
    <t>C:\Users\take\Desktop\RwandaCard\EventCard\pic\2.png</t>
  </si>
  <si>
    <t>C:\Users\take\Desktop\RwandaCard\EventCard\pic\3.png</t>
  </si>
  <si>
    <t>C:\Users\take\Desktop\RwandaCard\EventCard\pic\4.png</t>
  </si>
  <si>
    <t>C:\Users\take\Desktop\RwandaCard\EventCard\pic\5.png</t>
  </si>
  <si>
    <t>C:\Users\take\Desktop\RwandaCard\EventCard\pic\6.png</t>
  </si>
  <si>
    <t>C:\Users\take\Desktop\RwandaCard\EventCard\pic\7.png</t>
  </si>
  <si>
    <t>C:\Users\take\Desktop\RwandaCard\EventCard\pic\8.png</t>
  </si>
  <si>
    <t>C:\Users\take\Desktop\RwandaCard\EventCard\pic\9.png</t>
  </si>
  <si>
    <t>C:\Users\take\Desktop\RwandaCard\EventCard\pic\10.png</t>
  </si>
  <si>
    <t>C:\Users\take\Desktop\RwandaCard\EventCard\pic\11.png</t>
  </si>
  <si>
    <t>C:\Users\take\Desktop\RwandaCard\EventCard\pic\12.png</t>
  </si>
  <si>
    <t>C:\Users\take\Desktop\RwandaCard\EventCard\pic\13.png</t>
  </si>
  <si>
    <t>C:\Users\take\Desktop\RwandaCard\EventCard\pic\14.png</t>
  </si>
  <si>
    <t>C:\Users\take\Desktop\RwandaCard\EventCard\pic\15.png</t>
  </si>
  <si>
    <t>C:\Users\take\Desktop\RwandaCard\EventCard\pic\16.png</t>
  </si>
  <si>
    <t>C:\Users\take\Desktop\RwandaCard\EventCard\pic\17.png</t>
  </si>
  <si>
    <t>C:\Users\take\Desktop\RwandaCard\EventCard\pic\18.png</t>
  </si>
  <si>
    <t>C:\Users\take\Desktop\RwandaCard\EventCard\pic\19.png</t>
  </si>
  <si>
    <t>C:\Users\take\Desktop\RwandaCard\EventCard\pic\20.png</t>
  </si>
  <si>
    <t>C:\Users\take\Desktop\RwandaCard\EventCard\pic\21.png</t>
  </si>
  <si>
    <t>C:\Users\take\Desktop\RwandaCard\EventCard\pic\22.png</t>
  </si>
  <si>
    <t>C:\Users\take\Desktop\RwandaCard\EventCard\pic\23.png</t>
  </si>
  <si>
    <t>C:\Users\take\Desktop\RwandaCard\EventCard\pic\24.png</t>
  </si>
  <si>
    <t>C:\Users\take\Desktop\RwandaCard\EventCard\pic\25.png</t>
  </si>
  <si>
    <t>C:\Users\take\Desktop\RwandaCard\EventCard\pic\26.png</t>
  </si>
  <si>
    <t>C:\Users\take\Desktop\RwandaCard\EventCard\pic\27.png</t>
  </si>
  <si>
    <t>C:\Users\take\Desktop\RwandaCard\EventCard\pic\28.png</t>
  </si>
  <si>
    <t>C:\Users\take\Desktop\RwandaCard\EventCard\pic\29.png</t>
  </si>
  <si>
    <t>C:\Users\take\Desktop\RwandaCard\EventCard\pic\30.png</t>
  </si>
  <si>
    <t>C:\Users\take\Desktop\RwandaCard\EventCard\pic\31.png</t>
  </si>
  <si>
    <t>C:\Users\take\Desktop\RwandaCard\EventCard\pic\32.png</t>
  </si>
  <si>
    <t>C:\Users\take\Desktop\RwandaCard\EventCard\pic\33.png</t>
  </si>
  <si>
    <t>C:\Users\take\Desktop\RwandaCard\EventCard\pic\34.png</t>
  </si>
  <si>
    <t>C:\Users\take\Desktop\RwandaCard\EventCard\pic\35.png</t>
  </si>
  <si>
    <t>C:\Users\take\Desktop\RwandaCard\EventCard\pic\36.png</t>
  </si>
  <si>
    <t>C:\Users\take\Desktop\RwandaCard\EventCard\pic\37.png</t>
  </si>
  <si>
    <t>C:\Users\take\Desktop\RwandaCard\EventCard\pic\38.png</t>
  </si>
  <si>
    <t>C:\Users\take\Desktop\RwandaCard\EventCard\pic\39.png</t>
  </si>
  <si>
    <t>C:\Users\take\Desktop\RwandaCard\EventCard\pic\40.png</t>
  </si>
  <si>
    <t>C:\Users\take\Desktop\RwandaCard\EventCard\pic\41.png</t>
  </si>
  <si>
    <t>C:\Users\take\Desktop\RwandaCard\EventCard\pic\42.png</t>
  </si>
  <si>
    <t>C:\Users\take\Desktop\RwandaCard\EventCard\pic\43.png</t>
  </si>
  <si>
    <t>C:\Users\take\Desktop\RwandaCard\EventCard\pic\44.png</t>
  </si>
  <si>
    <t>C:\Users\take\Desktop\RwandaCard\EventCard\pic\45.png</t>
  </si>
  <si>
    <t>C:\Users\take\Desktop\RwandaCard\EventCard\pic\46.png</t>
  </si>
  <si>
    <t>C:\Users\take\Desktop\RwandaCard\EventCard\pic\47.png</t>
  </si>
  <si>
    <t>C:\Users\take\Desktop\RwandaCard\EventCard\pic\48.png</t>
  </si>
  <si>
    <t>C:\Users\take\Desktop\RwandaCard\EventCard\pic\49.png</t>
  </si>
  <si>
    <t>C:\Users\take\Desktop\RwandaCard\EventCard\pic\50.png</t>
  </si>
  <si>
    <t>C:\Users\take\Desktop\RwandaCard\EventCard\pic\51.png</t>
  </si>
  <si>
    <t>C:\Users\take\Desktop\RwandaCard\EventCard\pic\52.png</t>
  </si>
  <si>
    <t>C:\Users\take\Desktop\RwandaCard\EventCard\pic\53.png</t>
  </si>
  <si>
    <t>facilities wear and tear</t>
  </si>
  <si>
    <t>Winning a business dev grant</t>
  </si>
  <si>
    <t>Winning a business aid grant</t>
  </si>
  <si>
    <t>Entering a contest</t>
  </si>
  <si>
    <t>Visiting labs</t>
  </si>
  <si>
    <t>Hosting vistis from schools and learning groups</t>
  </si>
  <si>
    <t>Networking with suppliers and service providers</t>
  </si>
  <si>
    <t>Networking with tech experts</t>
  </si>
  <si>
    <t>Networking with non profits</t>
  </si>
  <si>
    <t xml:space="preserve">Networking with local businesses </t>
  </si>
  <si>
    <t>Hosting an event introducing the lab to non-profits</t>
  </si>
  <si>
    <t>Hosting an event introducing the lab to businesses</t>
  </si>
  <si>
    <t>Hosting public lecture events with external experts on tech and innovation</t>
  </si>
  <si>
    <t>Hosting public lecture events with technologists</t>
  </si>
  <si>
    <t>Hosting intensive tech seminars (web and mobile service)</t>
  </si>
  <si>
    <t>Hosting intensive tech seminars (IoT)</t>
  </si>
  <si>
    <t>Hosting intensive tech seminars (AI)</t>
  </si>
  <si>
    <t>Hosting intensive tech seminars (fintech)</t>
  </si>
  <si>
    <t>Hosting intensive tech seminars (health tech)</t>
  </si>
  <si>
    <t>Hosting intensive tech seminars (materials processing)</t>
  </si>
  <si>
    <t>Hosting intensive tech seminars (ed tech)</t>
  </si>
  <si>
    <t>Hosting intensive tech seminars (agri tech)</t>
  </si>
  <si>
    <t>Hosting intensive tech seminars (smart home appliances)</t>
  </si>
  <si>
    <t>Hosting letensive tech seminars (smart office furnitures)</t>
  </si>
  <si>
    <t>Hosting intensive tech seminars (User Interface&amp; User Experience)</t>
  </si>
  <si>
    <t>Organizing an innovation contest (mobile app)</t>
  </si>
  <si>
    <t>financial</t>
  </si>
  <si>
    <t>budget</t>
  </si>
  <si>
    <t>disposable money</t>
  </si>
  <si>
    <t>profit-loss</t>
  </si>
  <si>
    <t>asset-debt</t>
  </si>
  <si>
    <t>credit</t>
  </si>
  <si>
    <t>facilities</t>
  </si>
  <si>
    <t>software</t>
  </si>
  <si>
    <t>servers</t>
  </si>
  <si>
    <t>wood</t>
  </si>
  <si>
    <t>metal</t>
  </si>
  <si>
    <t>plastic</t>
  </si>
  <si>
    <t>electronics</t>
  </si>
  <si>
    <t>fabric</t>
  </si>
  <si>
    <t>lab members</t>
  </si>
  <si>
    <t>scale</t>
  </si>
  <si>
    <t>enthusiasm</t>
  </si>
  <si>
    <t>learning capacities</t>
  </si>
  <si>
    <t>field knowledge</t>
  </si>
  <si>
    <t>engineering knowledge</t>
  </si>
  <si>
    <t>network among members</t>
  </si>
  <si>
    <t>gifted leader</t>
  </si>
  <si>
    <t>gifted assistant</t>
  </si>
  <si>
    <t>gifted programmer</t>
  </si>
  <si>
    <t>gifted designer</t>
  </si>
  <si>
    <t>gifted business strategist</t>
  </si>
  <si>
    <t>lab staff</t>
  </si>
  <si>
    <t>agility</t>
  </si>
  <si>
    <t>ambition</t>
  </si>
  <si>
    <t>attention to details</t>
  </si>
  <si>
    <t>fun-ness</t>
  </si>
  <si>
    <t>seriousness</t>
  </si>
  <si>
    <t>initiative</t>
  </si>
  <si>
    <t>leader</t>
  </si>
  <si>
    <t>community manager</t>
  </si>
  <si>
    <t>PR</t>
  </si>
  <si>
    <t>finance</t>
  </si>
  <si>
    <t>administrator</t>
  </si>
  <si>
    <t>board</t>
  </si>
  <si>
    <t>fame</t>
  </si>
  <si>
    <t>network</t>
  </si>
  <si>
    <t>level of understanding</t>
  </si>
  <si>
    <t>knowledge</t>
  </si>
  <si>
    <t>networks</t>
  </si>
  <si>
    <t>local biz</t>
  </si>
  <si>
    <t>biz group</t>
  </si>
  <si>
    <t>govt</t>
  </si>
  <si>
    <t>investors</t>
  </si>
  <si>
    <t>media</t>
  </si>
  <si>
    <t>entrepreneurs</t>
  </si>
  <si>
    <t>technologists</t>
  </si>
  <si>
    <t>suppliers</t>
  </si>
  <si>
    <t>non-profits</t>
  </si>
  <si>
    <t>lab</t>
  </si>
  <si>
    <t>spaciousness</t>
  </si>
  <si>
    <t>ease of access</t>
  </si>
  <si>
    <t>reputation</t>
  </si>
  <si>
    <t>efficiency</t>
  </si>
  <si>
    <t>portfolio</t>
  </si>
  <si>
    <t>user rules and manuals</t>
  </si>
  <si>
    <t>organizational rules and manuals</t>
  </si>
  <si>
    <t>advanced skills: org</t>
  </si>
  <si>
    <t>law</t>
  </si>
  <si>
    <t>business model</t>
  </si>
  <si>
    <t>marketing</t>
  </si>
  <si>
    <t>team building</t>
  </si>
  <si>
    <t>project management</t>
  </si>
  <si>
    <t>social media</t>
  </si>
  <si>
    <t>negotiation</t>
  </si>
  <si>
    <t>web</t>
  </si>
  <si>
    <t>infrastructrue</t>
  </si>
  <si>
    <t>database</t>
  </si>
  <si>
    <t>mobile apps</t>
  </si>
  <si>
    <t>sensors</t>
  </si>
  <si>
    <t>security</t>
  </si>
  <si>
    <t>AI</t>
  </si>
  <si>
    <t>mobile comm</t>
  </si>
  <si>
    <t>VR&amp;AR</t>
  </si>
  <si>
    <t>fab</t>
  </si>
  <si>
    <t>wood processing</t>
  </si>
  <si>
    <t>metal processing</t>
  </si>
  <si>
    <t>plastic processing</t>
  </si>
  <si>
    <t>design</t>
  </si>
  <si>
    <t>aesthetics</t>
  </si>
  <si>
    <t>functions</t>
  </si>
  <si>
    <t>safety</t>
  </si>
  <si>
    <t>interaction</t>
  </si>
  <si>
    <t>achievements:soc</t>
  </si>
  <si>
    <t>social project</t>
  </si>
  <si>
    <t>social innovation</t>
  </si>
  <si>
    <t>non-profit biz</t>
  </si>
  <si>
    <t>commercial</t>
  </si>
  <si>
    <t>biz project</t>
  </si>
  <si>
    <t>biz enhancement</t>
  </si>
  <si>
    <t>job creation</t>
  </si>
  <si>
    <t>business</t>
  </si>
  <si>
    <t>start-up</t>
  </si>
  <si>
    <t>start-up with mvp</t>
  </si>
  <si>
    <t>start-up with customers</t>
  </si>
  <si>
    <t>education&amp; learning</t>
  </si>
  <si>
    <t>for basic literacy</t>
  </si>
  <si>
    <t>for the elites</t>
  </si>
  <si>
    <t>for entrepreneurs</t>
  </si>
  <si>
    <t>(Event card [ID#]: [type])</t>
    <phoneticPr fontId="18"/>
  </si>
  <si>
    <t>troubles in a staff member's private life</t>
  </si>
  <si>
    <t>troubles in a key lab member's private life</t>
  </si>
  <si>
    <t>brown outs</t>
  </si>
  <si>
    <t>fire incident</t>
  </si>
  <si>
    <t>complaints from neighbors</t>
  </si>
  <si>
    <t>troubles among staffs</t>
  </si>
  <si>
    <t>troubles among members</t>
  </si>
  <si>
    <t>Description</t>
    <phoneticPr fontId="18"/>
  </si>
  <si>
    <t>↓Descriptionだけはここに直に書いてください</t>
    <rPh sb="18" eb="19">
      <t>ジカ</t>
    </rPh>
    <rPh sb="20" eb="21">
      <t>カ</t>
    </rPh>
    <phoneticPr fontId="18"/>
  </si>
  <si>
    <t>hogehoge</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</si>
</sst>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游ゴシック"/>
      <family val="2"/>
      <charset val="128"/>
      <scheme val="minor"/>
    </font>
    <font>
      <sz val="12"/>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2"/>
      <color rgb="FF006100"/>
      <name val="游ゴシック"/>
      <family val="2"/>
      <charset val="128"/>
      <scheme val="minor"/>
    </font>
    <font>
      <sz val="12"/>
      <color rgb="FF9C0006"/>
      <name val="游ゴシック"/>
      <family val="2"/>
      <charset val="128"/>
      <scheme val="minor"/>
    </font>
    <font>
      <sz val="12"/>
      <color rgb="FF9C5700"/>
      <name val="游ゴシック"/>
      <family val="2"/>
      <charset val="128"/>
      <scheme val="minor"/>
    </font>
    <font>
      <sz val="12"/>
      <color rgb="FF3F3F76"/>
      <name val="游ゴシック"/>
      <family val="2"/>
      <charset val="128"/>
      <scheme val="minor"/>
    </font>
    <font>
      <b/>
      <sz val="12"/>
      <color rgb="FF3F3F3F"/>
      <name val="游ゴシック"/>
      <family val="2"/>
      <charset val="128"/>
      <scheme val="minor"/>
    </font>
    <font>
      <b/>
      <sz val="12"/>
      <color rgb="FFFA7D00"/>
      <name val="游ゴシック"/>
      <family val="2"/>
      <charset val="128"/>
      <scheme val="minor"/>
    </font>
    <font>
      <sz val="12"/>
      <color rgb="FFFA7D00"/>
      <name val="游ゴシック"/>
      <family val="2"/>
      <charset val="128"/>
      <scheme val="minor"/>
    </font>
    <font>
      <b/>
      <sz val="12"/>
      <color theme="0"/>
      <name val="游ゴシック"/>
      <family val="2"/>
      <charset val="128"/>
      <scheme val="minor"/>
    </font>
    <font>
      <sz val="12"/>
      <color rgb="FFFF0000"/>
      <name val="游ゴシック"/>
      <family val="2"/>
      <charset val="128"/>
      <scheme val="minor"/>
    </font>
    <font>
      <i/>
      <sz val="12"/>
      <color rgb="FF7F7F7F"/>
      <name val="游ゴシック"/>
      <family val="2"/>
      <charset val="128"/>
      <scheme val="minor"/>
    </font>
    <font>
      <b/>
      <sz val="12"/>
      <color theme="1"/>
      <name val="游ゴシック"/>
      <family val="2"/>
      <charset val="128"/>
      <scheme val="minor"/>
    </font>
    <font>
      <sz val="12"/>
      <color theme="0"/>
      <name val="游ゴシック"/>
      <family val="2"/>
      <charset val="128"/>
      <scheme val="minor"/>
    </font>
    <font>
      <sz val="6"/>
      <name val="游ゴシック"/>
      <family val="2"/>
      <charset val="128"/>
      <scheme val="minor"/>
    </font>
    <font>
      <u/>
      <sz val="12"/>
      <color theme="10"/>
      <name val="游ゴシック"/>
      <family val="2"/>
      <charset val="128"/>
      <scheme val="minor"/>
    </font>
    <font>
      <sz val="14"/>
      <color theme="1"/>
      <name val="游ゴシック"/>
      <family val="3"/>
      <charset val="128"/>
      <scheme val="minor"/>
    </font>
    <font>
      <sz val="10"/>
      <color rgb="FF000000"/>
      <name val="Arial"/>
      <family val="2"/>
    </font>
    <font>
      <sz val="10"/>
      <name val="Arial"/>
      <family val="2"/>
    </font>
    <font>
      <sz val="6"/>
      <name val="HGGothicE"/>
      <family val="3"/>
      <charset val="128"/>
    </font>
    <font>
      <b/>
      <sz val="10"/>
      <name val="Arial"/>
      <family val="2"/>
    </font>
    <font>
      <b/>
      <sz val="10"/>
      <color theme="1"/>
      <name val="游ゴシック"/>
      <family val="2"/>
      <charset val="128"/>
      <scheme val="minor"/>
    </font>
    <font>
      <b/>
      <sz val="4"/>
      <color theme="1"/>
      <name val="Verdana"/>
      <family val="2"/>
    </font>
    <font>
      <b/>
      <sz val="12"/>
      <color theme="0"/>
      <name val="Verdana"/>
      <family val="2"/>
    </font>
    <font>
      <b/>
      <sz val="12"/>
      <color theme="1"/>
      <name val="Verdana"/>
      <family val="2"/>
    </font>
    <font>
      <b/>
      <sz val="10"/>
      <color theme="1"/>
      <name val="Verdana"/>
      <family val="2"/>
    </font>
    <font>
      <b/>
      <sz val="6"/>
      <color theme="0"/>
      <name val="Verdana"/>
      <family val="2"/>
    </font>
    <font>
      <sz val="14"/>
      <color rgb="FFFF0000"/>
      <name val="游ゴシック"/>
      <family val="3"/>
      <charset val="128"/>
      <scheme val="minor"/>
    </font>
    <font>
      <sz val="12"/>
      <name val="游ゴシック"/>
      <family val="2"/>
      <charset val="128"/>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1"/>
        <bgColor indexed="64"/>
      </patternFill>
    </fill>
    <fill>
      <patternFill patternType="solid">
        <fgColor theme="8"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right/>
      <top/>
      <bottom style="double">
        <color indexed="64"/>
      </bottom>
      <diagonal/>
    </border>
    <border>
      <left/>
      <right style="thin">
        <color indexed="64"/>
      </right>
      <top/>
      <bottom style="double">
        <color indexed="64"/>
      </bottom>
      <diagonal/>
    </border>
    <border>
      <left/>
      <right style="thin">
        <color indexed="64"/>
      </right>
      <top/>
      <bottom style="thin">
        <color indexed="64"/>
      </bottom>
      <diagonal/>
    </border>
    <border>
      <left/>
      <right/>
      <top style="thin">
        <color indexed="64"/>
      </top>
      <bottom/>
      <diagonal/>
    </border>
  </borders>
  <cellStyleXfs count="44">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9" fillId="0" borderId="0" applyNumberFormat="0" applyFill="0" applyBorder="0" applyAlignment="0" applyProtection="0">
      <alignment vertical="center"/>
    </xf>
    <xf numFmtId="0" fontId="21" fillId="0" borderId="0"/>
  </cellStyleXfs>
  <cellXfs count="43">
    <xf numFmtId="0" fontId="0" fillId="0" borderId="0" xfId="0">
      <alignment vertical="center"/>
    </xf>
    <xf numFmtId="0" fontId="0" fillId="0" borderId="10" xfId="0" applyBorder="1">
      <alignment vertical="center"/>
    </xf>
    <xf numFmtId="0" fontId="0" fillId="0" borderId="0" xfId="0" applyAlignment="1">
      <alignment horizontal="left" vertical="center"/>
    </xf>
    <xf numFmtId="0" fontId="19" fillId="0" borderId="10" xfId="42" applyBorder="1">
      <alignment vertical="center"/>
    </xf>
    <xf numFmtId="0" fontId="20" fillId="33" borderId="10" xfId="0" applyFont="1" applyFill="1" applyBorder="1" applyAlignment="1">
      <alignment horizontal="center" vertical="center"/>
    </xf>
    <xf numFmtId="0" fontId="0" fillId="0" borderId="0" xfId="0" applyAlignment="1">
      <alignment vertical="top"/>
    </xf>
    <xf numFmtId="0" fontId="0" fillId="0" borderId="0" xfId="0" applyAlignment="1">
      <alignment horizontal="left" vertical="top"/>
    </xf>
    <xf numFmtId="0" fontId="21" fillId="0" borderId="0" xfId="43"/>
    <xf numFmtId="0" fontId="21" fillId="0" borderId="11" xfId="43" applyBorder="1"/>
    <xf numFmtId="0" fontId="22" fillId="0" borderId="0" xfId="43" applyFont="1"/>
    <xf numFmtId="0" fontId="22" fillId="34" borderId="0" xfId="43" applyFont="1" applyFill="1"/>
    <xf numFmtId="0" fontId="22" fillId="0" borderId="11" xfId="43" applyFont="1" applyBorder="1"/>
    <xf numFmtId="0" fontId="24" fillId="0" borderId="0" xfId="43" applyFont="1"/>
    <xf numFmtId="0" fontId="21" fillId="0" borderId="12" xfId="43" applyBorder="1"/>
    <xf numFmtId="0" fontId="21" fillId="0" borderId="0" xfId="43" applyNumberFormat="1" applyAlignment="1">
      <alignment wrapText="1"/>
    </xf>
    <xf numFmtId="0" fontId="0" fillId="0" borderId="0" xfId="0" applyAlignment="1">
      <alignment vertical="center" wrapText="1"/>
    </xf>
    <xf numFmtId="0" fontId="20" fillId="33" borderId="10" xfId="0" applyFont="1" applyFill="1" applyBorder="1" applyAlignment="1">
      <alignment horizontal="left" vertical="center"/>
    </xf>
    <xf numFmtId="0" fontId="0" fillId="35" borderId="0" xfId="0" applyFill="1">
      <alignment vertical="center"/>
    </xf>
    <xf numFmtId="0" fontId="25" fillId="0" borderId="0" xfId="0" applyFont="1" applyAlignment="1">
      <alignment horizontal="left" vertical="center" wrapText="1"/>
    </xf>
    <xf numFmtId="0" fontId="16" fillId="0" borderId="0" xfId="0" applyFont="1" applyAlignment="1">
      <alignment vertical="center" wrapText="1"/>
    </xf>
    <xf numFmtId="0" fontId="22" fillId="36" borderId="0" xfId="43" applyFont="1" applyFill="1"/>
    <xf numFmtId="0" fontId="21" fillId="36" borderId="0" xfId="43" applyFill="1"/>
    <xf numFmtId="0" fontId="21" fillId="0" borderId="13" xfId="43" applyBorder="1"/>
    <xf numFmtId="0" fontId="21" fillId="37" borderId="0" xfId="43" applyNumberFormat="1" applyFill="1" applyAlignment="1">
      <alignment wrapText="1"/>
    </xf>
    <xf numFmtId="0" fontId="22" fillId="36" borderId="11" xfId="43" applyFont="1" applyFill="1" applyBorder="1"/>
    <xf numFmtId="0" fontId="21" fillId="0" borderId="14" xfId="43" applyBorder="1"/>
    <xf numFmtId="0" fontId="21" fillId="37" borderId="11" xfId="43" applyNumberFormat="1" applyFill="1" applyBorder="1" applyAlignment="1">
      <alignment wrapText="1"/>
    </xf>
    <xf numFmtId="0" fontId="21" fillId="0" borderId="11" xfId="43" applyNumberFormat="1" applyBorder="1" applyAlignment="1">
      <alignment wrapText="1"/>
    </xf>
    <xf numFmtId="0" fontId="21" fillId="0" borderId="15" xfId="43" applyBorder="1"/>
    <xf numFmtId="0" fontId="21" fillId="0" borderId="0" xfId="43" applyAlignment="1">
      <alignment wrapText="1"/>
    </xf>
    <xf numFmtId="0" fontId="26" fillId="0" borderId="0" xfId="0" applyFont="1" applyBorder="1" applyAlignment="1">
      <alignment horizontal="left" vertical="top" wrapText="1"/>
    </xf>
    <xf numFmtId="0" fontId="28" fillId="0" borderId="0" xfId="0" applyFont="1" applyBorder="1" applyAlignment="1">
      <alignment horizontal="center" vertical="center" wrapText="1"/>
    </xf>
    <xf numFmtId="0" fontId="29" fillId="0" borderId="0" xfId="0" applyFont="1" applyAlignment="1">
      <alignment horizontal="left" vertical="center" wrapText="1"/>
    </xf>
    <xf numFmtId="0" fontId="28" fillId="0" borderId="0" xfId="0" applyFont="1" applyAlignment="1">
      <alignment vertical="center" wrapText="1"/>
    </xf>
    <xf numFmtId="0" fontId="31" fillId="34" borderId="10" xfId="0" applyFont="1" applyFill="1" applyBorder="1" applyAlignment="1">
      <alignment horizontal="center" vertical="center"/>
    </xf>
    <xf numFmtId="0" fontId="32" fillId="39" borderId="10" xfId="42" applyFont="1" applyFill="1" applyBorder="1">
      <alignment vertical="center"/>
    </xf>
    <xf numFmtId="0" fontId="26" fillId="0" borderId="0" xfId="0" applyFont="1" applyBorder="1" applyAlignment="1">
      <alignment horizontal="center" vertical="center" wrapText="1"/>
    </xf>
    <xf numFmtId="0" fontId="26" fillId="0" borderId="0" xfId="0" applyFont="1" applyAlignment="1">
      <alignment horizontal="center" vertical="center" wrapText="1"/>
    </xf>
    <xf numFmtId="0" fontId="30" fillId="38" borderId="0" xfId="0" applyFont="1" applyFill="1" applyBorder="1" applyAlignment="1">
      <alignment horizontal="center" vertical="center" wrapText="1"/>
    </xf>
    <xf numFmtId="0" fontId="26" fillId="0" borderId="16" xfId="0" applyFont="1" applyBorder="1" applyAlignment="1">
      <alignment vertical="top" wrapText="1"/>
    </xf>
    <xf numFmtId="0" fontId="27" fillId="0" borderId="0" xfId="0" applyFont="1" applyBorder="1" applyAlignment="1">
      <alignment horizontal="center" vertical="center" wrapText="1"/>
    </xf>
    <xf numFmtId="0" fontId="26" fillId="0" borderId="16" xfId="0" applyFont="1" applyBorder="1" applyAlignment="1">
      <alignment horizontal="left" vertical="top" wrapText="1"/>
    </xf>
    <xf numFmtId="0" fontId="0" fillId="0" borderId="12" xfId="0" applyBorder="1" applyAlignment="1">
      <alignment horizontal="left" vertical="top" wrapText="1"/>
    </xf>
  </cellXfs>
  <cellStyles count="44">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7AC6E37E-CF4E-4A1C-A33F-6B25FFB009C1}"/>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file:///C:\Users\take\Desktop\RwandaCard\EventCard\pic\8.png" TargetMode="External"/><Relationship Id="rId3" Type="http://schemas.openxmlformats.org/officeDocument/2006/relationships/image" Target="file:///C:\Users\take\Desktop\RwandaCard\EventCard\pic\3.png" TargetMode="External"/><Relationship Id="rId7" Type="http://schemas.openxmlformats.org/officeDocument/2006/relationships/image" Target="file:///C:\Users\take\Desktop\RwandaCard\EventCard\pic\7.png" TargetMode="External"/><Relationship Id="rId2" Type="http://schemas.openxmlformats.org/officeDocument/2006/relationships/image" Target="file:///C:\Users\take\Desktop\RwandaCard\EventCard\pic\2.png" TargetMode="External"/><Relationship Id="rId1" Type="http://schemas.openxmlformats.org/officeDocument/2006/relationships/image" Target="file:///C:\Users\take\Desktop\RwandaCard\EventCard\pic\1.png" TargetMode="External"/><Relationship Id="rId6" Type="http://schemas.openxmlformats.org/officeDocument/2006/relationships/image" Target="file:///C:\Users\take\Desktop\RwandaCard\EventCard\pic\6.png" TargetMode="External"/><Relationship Id="rId5" Type="http://schemas.openxmlformats.org/officeDocument/2006/relationships/image" Target="file:///C:\Users\take\Desktop\RwandaCard\EventCard\pic\5.png" TargetMode="External"/><Relationship Id="rId10" Type="http://schemas.openxmlformats.org/officeDocument/2006/relationships/image" Target="file:///C:\Users\take\Desktop\RwandaCard\EventCard\pic\10.png" TargetMode="External"/><Relationship Id="rId4" Type="http://schemas.openxmlformats.org/officeDocument/2006/relationships/image" Target="file:///C:\Users\take\Desktop\RwandaCard\EventCard\pic\4.png" TargetMode="External"/><Relationship Id="rId9" Type="http://schemas.openxmlformats.org/officeDocument/2006/relationships/image" Target="file:///C:\Users\take\Desktop\RwandaCard\EventCard\pic\9.png" TargetMode="External"/></Relationships>
</file>

<file path=xl/drawings/drawing1.xml><?xml version="1.0" encoding="utf-8"?>
<xdr:wsDr xmlns:xdr="http://schemas.openxmlformats.org/drawingml/2006/spreadsheetDrawing" xmlns:a="http://schemas.openxmlformats.org/drawingml/2006/main">
  <xdr:twoCellAnchor editAs="oneCell">
    <xdr:from>
      <xdr:col>2</xdr:col>
      <xdr:colOff>311943</xdr:colOff>
      <xdr:row>3</xdr:row>
      <xdr:rowOff>311944</xdr:rowOff>
    </xdr:from>
    <xdr:to>
      <xdr:col>2</xdr:col>
      <xdr:colOff>935831</xdr:colOff>
      <xdr:row>4</xdr:row>
      <xdr:rowOff>194549</xdr:rowOff>
    </xdr:to>
    <xdr:pic>
      <xdr:nvPicPr>
        <xdr:cNvPr id="113" name="図 112">
          <a:extLst>
            <a:ext uri="{FF2B5EF4-FFF2-40B4-BE49-F238E27FC236}">
              <a16:creationId xmlns:a16="http://schemas.microsoft.com/office/drawing/2014/main" id="{372BC924-7BCD-4BA8-9294-ED6F17EB9A7D}"/>
            </a:ext>
          </a:extLst>
        </xdr:cNvPr>
        <xdr:cNvPicPr>
          <a:picLocks noChangeAspect="1"/>
        </xdr:cNvPicPr>
      </xdr:nvPicPr>
      <xdr:blipFill>
        <a:blip xmlns:r="http://schemas.openxmlformats.org/officeDocument/2006/relationships" r:link="rId1"/>
        <a:stretch>
          <a:fillRect/>
        </a:stretch>
      </xdr:blipFill>
      <xdr:spPr>
        <a:xfrm>
          <a:off x="950118" y="759619"/>
          <a:ext cx="623888" cy="530305"/>
        </a:xfrm>
        <a:prstGeom prst="rect">
          <a:avLst/>
        </a:prstGeom>
      </xdr:spPr>
    </xdr:pic>
    <xdr:clientData/>
  </xdr:twoCellAnchor>
  <xdr:twoCellAnchor editAs="oneCell">
    <xdr:from>
      <xdr:col>6</xdr:col>
      <xdr:colOff>311943</xdr:colOff>
      <xdr:row>3</xdr:row>
      <xdr:rowOff>311944</xdr:rowOff>
    </xdr:from>
    <xdr:to>
      <xdr:col>6</xdr:col>
      <xdr:colOff>935831</xdr:colOff>
      <xdr:row>4</xdr:row>
      <xdr:rowOff>262491</xdr:rowOff>
    </xdr:to>
    <xdr:pic>
      <xdr:nvPicPr>
        <xdr:cNvPr id="115" name="図 114">
          <a:extLst>
            <a:ext uri="{FF2B5EF4-FFF2-40B4-BE49-F238E27FC236}">
              <a16:creationId xmlns:a16="http://schemas.microsoft.com/office/drawing/2014/main" id="{193007F8-79E9-41CE-ADC9-105F98AB3911}"/>
            </a:ext>
          </a:extLst>
        </xdr:cNvPr>
        <xdr:cNvPicPr>
          <a:picLocks noChangeAspect="1"/>
        </xdr:cNvPicPr>
      </xdr:nvPicPr>
      <xdr:blipFill>
        <a:blip xmlns:r="http://schemas.openxmlformats.org/officeDocument/2006/relationships" r:link="rId2"/>
        <a:stretch>
          <a:fillRect/>
        </a:stretch>
      </xdr:blipFill>
      <xdr:spPr>
        <a:xfrm>
          <a:off x="2921793" y="759619"/>
          <a:ext cx="623888" cy="598247"/>
        </a:xfrm>
        <a:prstGeom prst="rect">
          <a:avLst/>
        </a:prstGeom>
      </xdr:spPr>
    </xdr:pic>
    <xdr:clientData/>
  </xdr:twoCellAnchor>
  <xdr:twoCellAnchor editAs="oneCell">
    <xdr:from>
      <xdr:col>10</xdr:col>
      <xdr:colOff>311944</xdr:colOff>
      <xdr:row>3</xdr:row>
      <xdr:rowOff>311943</xdr:rowOff>
    </xdr:from>
    <xdr:to>
      <xdr:col>10</xdr:col>
      <xdr:colOff>935832</xdr:colOff>
      <xdr:row>5</xdr:row>
      <xdr:rowOff>84681</xdr:rowOff>
    </xdr:to>
    <xdr:pic>
      <xdr:nvPicPr>
        <xdr:cNvPr id="117" name="図 116">
          <a:extLst>
            <a:ext uri="{FF2B5EF4-FFF2-40B4-BE49-F238E27FC236}">
              <a16:creationId xmlns:a16="http://schemas.microsoft.com/office/drawing/2014/main" id="{CB8BB84D-8CAE-4718-8169-0C6F8A670ADE}"/>
            </a:ext>
          </a:extLst>
        </xdr:cNvPr>
        <xdr:cNvPicPr>
          <a:picLocks noChangeAspect="1"/>
        </xdr:cNvPicPr>
      </xdr:nvPicPr>
      <xdr:blipFill>
        <a:blip xmlns:r="http://schemas.openxmlformats.org/officeDocument/2006/relationships" r:link="rId3"/>
        <a:stretch>
          <a:fillRect/>
        </a:stretch>
      </xdr:blipFill>
      <xdr:spPr>
        <a:xfrm>
          <a:off x="4893469" y="759618"/>
          <a:ext cx="623888" cy="744288"/>
        </a:xfrm>
        <a:prstGeom prst="rect">
          <a:avLst/>
        </a:prstGeom>
      </xdr:spPr>
    </xdr:pic>
    <xdr:clientData/>
  </xdr:twoCellAnchor>
  <xdr:twoCellAnchor editAs="oneCell">
    <xdr:from>
      <xdr:col>14</xdr:col>
      <xdr:colOff>311944</xdr:colOff>
      <xdr:row>3</xdr:row>
      <xdr:rowOff>311943</xdr:rowOff>
    </xdr:from>
    <xdr:to>
      <xdr:col>14</xdr:col>
      <xdr:colOff>935832</xdr:colOff>
      <xdr:row>5</xdr:row>
      <xdr:rowOff>164393</xdr:rowOff>
    </xdr:to>
    <xdr:pic>
      <xdr:nvPicPr>
        <xdr:cNvPr id="119" name="図 118">
          <a:extLst>
            <a:ext uri="{FF2B5EF4-FFF2-40B4-BE49-F238E27FC236}">
              <a16:creationId xmlns:a16="http://schemas.microsoft.com/office/drawing/2014/main" id="{B95AE2C0-982A-41BA-86B8-A9D36B778171}"/>
            </a:ext>
          </a:extLst>
        </xdr:cNvPr>
        <xdr:cNvPicPr>
          <a:picLocks noChangeAspect="1"/>
        </xdr:cNvPicPr>
      </xdr:nvPicPr>
      <xdr:blipFill>
        <a:blip xmlns:r="http://schemas.openxmlformats.org/officeDocument/2006/relationships" r:link="rId4"/>
        <a:stretch>
          <a:fillRect/>
        </a:stretch>
      </xdr:blipFill>
      <xdr:spPr>
        <a:xfrm>
          <a:off x="6865144" y="759618"/>
          <a:ext cx="623888" cy="824000"/>
        </a:xfrm>
        <a:prstGeom prst="rect">
          <a:avLst/>
        </a:prstGeom>
      </xdr:spPr>
    </xdr:pic>
    <xdr:clientData/>
  </xdr:twoCellAnchor>
  <xdr:twoCellAnchor editAs="oneCell">
    <xdr:from>
      <xdr:col>18</xdr:col>
      <xdr:colOff>311944</xdr:colOff>
      <xdr:row>3</xdr:row>
      <xdr:rowOff>311944</xdr:rowOff>
    </xdr:from>
    <xdr:to>
      <xdr:col>18</xdr:col>
      <xdr:colOff>935832</xdr:colOff>
      <xdr:row>5</xdr:row>
      <xdr:rowOff>201359</xdr:rowOff>
    </xdr:to>
    <xdr:pic>
      <xdr:nvPicPr>
        <xdr:cNvPr id="121" name="図 120">
          <a:extLst>
            <a:ext uri="{FF2B5EF4-FFF2-40B4-BE49-F238E27FC236}">
              <a16:creationId xmlns:a16="http://schemas.microsoft.com/office/drawing/2014/main" id="{3B08B299-117A-4F8D-8D81-69EF366E3E78}"/>
            </a:ext>
          </a:extLst>
        </xdr:cNvPr>
        <xdr:cNvPicPr>
          <a:picLocks noChangeAspect="1"/>
        </xdr:cNvPicPr>
      </xdr:nvPicPr>
      <xdr:blipFill>
        <a:blip xmlns:r="http://schemas.openxmlformats.org/officeDocument/2006/relationships" r:link="rId5"/>
        <a:stretch>
          <a:fillRect/>
        </a:stretch>
      </xdr:blipFill>
      <xdr:spPr>
        <a:xfrm>
          <a:off x="8836819" y="759619"/>
          <a:ext cx="623888" cy="860965"/>
        </a:xfrm>
        <a:prstGeom prst="rect">
          <a:avLst/>
        </a:prstGeom>
      </xdr:spPr>
    </xdr:pic>
    <xdr:clientData/>
  </xdr:twoCellAnchor>
  <xdr:twoCellAnchor editAs="oneCell">
    <xdr:from>
      <xdr:col>2</xdr:col>
      <xdr:colOff>311943</xdr:colOff>
      <xdr:row>13</xdr:row>
      <xdr:rowOff>311944</xdr:rowOff>
    </xdr:from>
    <xdr:to>
      <xdr:col>2</xdr:col>
      <xdr:colOff>935831</xdr:colOff>
      <xdr:row>14</xdr:row>
      <xdr:rowOff>297306</xdr:rowOff>
    </xdr:to>
    <xdr:pic>
      <xdr:nvPicPr>
        <xdr:cNvPr id="123" name="図 122">
          <a:extLst>
            <a:ext uri="{FF2B5EF4-FFF2-40B4-BE49-F238E27FC236}">
              <a16:creationId xmlns:a16="http://schemas.microsoft.com/office/drawing/2014/main" id="{EFE3920C-04C4-4D8F-95DD-CF177F2D3E44}"/>
            </a:ext>
          </a:extLst>
        </xdr:cNvPr>
        <xdr:cNvPicPr>
          <a:picLocks noChangeAspect="1"/>
        </xdr:cNvPicPr>
      </xdr:nvPicPr>
      <xdr:blipFill>
        <a:blip xmlns:r="http://schemas.openxmlformats.org/officeDocument/2006/relationships" r:link="rId6"/>
        <a:stretch>
          <a:fillRect/>
        </a:stretch>
      </xdr:blipFill>
      <xdr:spPr>
        <a:xfrm>
          <a:off x="950118" y="3931444"/>
          <a:ext cx="623888" cy="633062"/>
        </a:xfrm>
        <a:prstGeom prst="rect">
          <a:avLst/>
        </a:prstGeom>
      </xdr:spPr>
    </xdr:pic>
    <xdr:clientData/>
  </xdr:twoCellAnchor>
  <xdr:twoCellAnchor editAs="oneCell">
    <xdr:from>
      <xdr:col>6</xdr:col>
      <xdr:colOff>311944</xdr:colOff>
      <xdr:row>13</xdr:row>
      <xdr:rowOff>311944</xdr:rowOff>
    </xdr:from>
    <xdr:to>
      <xdr:col>6</xdr:col>
      <xdr:colOff>935832</xdr:colOff>
      <xdr:row>15</xdr:row>
      <xdr:rowOff>2673</xdr:rowOff>
    </xdr:to>
    <xdr:pic>
      <xdr:nvPicPr>
        <xdr:cNvPr id="125" name="図 124">
          <a:extLst>
            <a:ext uri="{FF2B5EF4-FFF2-40B4-BE49-F238E27FC236}">
              <a16:creationId xmlns:a16="http://schemas.microsoft.com/office/drawing/2014/main" id="{1331280B-4035-4A6A-AE77-16E9033033DC}"/>
            </a:ext>
          </a:extLst>
        </xdr:cNvPr>
        <xdr:cNvPicPr>
          <a:picLocks noChangeAspect="1"/>
        </xdr:cNvPicPr>
      </xdr:nvPicPr>
      <xdr:blipFill>
        <a:blip xmlns:r="http://schemas.openxmlformats.org/officeDocument/2006/relationships" r:link="rId7"/>
        <a:stretch>
          <a:fillRect/>
        </a:stretch>
      </xdr:blipFill>
      <xdr:spPr>
        <a:xfrm>
          <a:off x="2921794" y="3931444"/>
          <a:ext cx="623888" cy="662279"/>
        </a:xfrm>
        <a:prstGeom prst="rect">
          <a:avLst/>
        </a:prstGeom>
      </xdr:spPr>
    </xdr:pic>
    <xdr:clientData/>
  </xdr:twoCellAnchor>
  <xdr:twoCellAnchor editAs="oneCell">
    <xdr:from>
      <xdr:col>10</xdr:col>
      <xdr:colOff>311944</xdr:colOff>
      <xdr:row>13</xdr:row>
      <xdr:rowOff>311944</xdr:rowOff>
    </xdr:from>
    <xdr:to>
      <xdr:col>10</xdr:col>
      <xdr:colOff>935832</xdr:colOff>
      <xdr:row>14</xdr:row>
      <xdr:rowOff>288132</xdr:rowOff>
    </xdr:to>
    <xdr:pic>
      <xdr:nvPicPr>
        <xdr:cNvPr id="127" name="図 126">
          <a:extLst>
            <a:ext uri="{FF2B5EF4-FFF2-40B4-BE49-F238E27FC236}">
              <a16:creationId xmlns:a16="http://schemas.microsoft.com/office/drawing/2014/main" id="{93EFE31B-D1A2-4CD6-99B2-68A6AD4B3F83}"/>
            </a:ext>
          </a:extLst>
        </xdr:cNvPr>
        <xdr:cNvPicPr>
          <a:picLocks noChangeAspect="1"/>
        </xdr:cNvPicPr>
      </xdr:nvPicPr>
      <xdr:blipFill>
        <a:blip xmlns:r="http://schemas.openxmlformats.org/officeDocument/2006/relationships" r:link="rId8"/>
        <a:stretch>
          <a:fillRect/>
        </a:stretch>
      </xdr:blipFill>
      <xdr:spPr>
        <a:xfrm>
          <a:off x="4893469" y="3931444"/>
          <a:ext cx="623888" cy="623888"/>
        </a:xfrm>
        <a:prstGeom prst="rect">
          <a:avLst/>
        </a:prstGeom>
      </xdr:spPr>
    </xdr:pic>
    <xdr:clientData/>
  </xdr:twoCellAnchor>
  <xdr:twoCellAnchor editAs="oneCell">
    <xdr:from>
      <xdr:col>14</xdr:col>
      <xdr:colOff>311944</xdr:colOff>
      <xdr:row>13</xdr:row>
      <xdr:rowOff>311944</xdr:rowOff>
    </xdr:from>
    <xdr:to>
      <xdr:col>14</xdr:col>
      <xdr:colOff>935832</xdr:colOff>
      <xdr:row>14</xdr:row>
      <xdr:rowOff>288132</xdr:rowOff>
    </xdr:to>
    <xdr:pic>
      <xdr:nvPicPr>
        <xdr:cNvPr id="129" name="図 128">
          <a:extLst>
            <a:ext uri="{FF2B5EF4-FFF2-40B4-BE49-F238E27FC236}">
              <a16:creationId xmlns:a16="http://schemas.microsoft.com/office/drawing/2014/main" id="{6992C2ED-9788-49C0-B95F-AD9E964394D4}"/>
            </a:ext>
          </a:extLst>
        </xdr:cNvPr>
        <xdr:cNvPicPr>
          <a:picLocks noChangeAspect="1"/>
        </xdr:cNvPicPr>
      </xdr:nvPicPr>
      <xdr:blipFill>
        <a:blip xmlns:r="http://schemas.openxmlformats.org/officeDocument/2006/relationships" r:link="rId9"/>
        <a:stretch>
          <a:fillRect/>
        </a:stretch>
      </xdr:blipFill>
      <xdr:spPr>
        <a:xfrm>
          <a:off x="6865144" y="3931444"/>
          <a:ext cx="623888" cy="623888"/>
        </a:xfrm>
        <a:prstGeom prst="rect">
          <a:avLst/>
        </a:prstGeom>
      </xdr:spPr>
    </xdr:pic>
    <xdr:clientData/>
  </xdr:twoCellAnchor>
  <xdr:twoCellAnchor editAs="oneCell">
    <xdr:from>
      <xdr:col>18</xdr:col>
      <xdr:colOff>311943</xdr:colOff>
      <xdr:row>13</xdr:row>
      <xdr:rowOff>311943</xdr:rowOff>
    </xdr:from>
    <xdr:to>
      <xdr:col>18</xdr:col>
      <xdr:colOff>935831</xdr:colOff>
      <xdr:row>14</xdr:row>
      <xdr:rowOff>288131</xdr:rowOff>
    </xdr:to>
    <xdr:pic>
      <xdr:nvPicPr>
        <xdr:cNvPr id="131" name="図 130">
          <a:extLst>
            <a:ext uri="{FF2B5EF4-FFF2-40B4-BE49-F238E27FC236}">
              <a16:creationId xmlns:a16="http://schemas.microsoft.com/office/drawing/2014/main" id="{77AB6654-72C4-45FE-979A-33080B306A3D}"/>
            </a:ext>
          </a:extLst>
        </xdr:cNvPr>
        <xdr:cNvPicPr>
          <a:picLocks noChangeAspect="1"/>
        </xdr:cNvPicPr>
      </xdr:nvPicPr>
      <xdr:blipFill>
        <a:blip xmlns:r="http://schemas.openxmlformats.org/officeDocument/2006/relationships" r:link="rId10"/>
        <a:stretch>
          <a:fillRect/>
        </a:stretch>
      </xdr:blipFill>
      <xdr:spPr>
        <a:xfrm>
          <a:off x="8836818" y="3931443"/>
          <a:ext cx="623888" cy="623888"/>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W22"/>
  <sheetViews>
    <sheetView tabSelected="1" showWhiteSpace="0" view="pageLayout" zoomScaleNormal="100" workbookViewId="0">
      <selection activeCell="V3" sqref="V3"/>
    </sheetView>
  </sheetViews>
  <sheetFormatPr defaultColWidth="11.44140625" defaultRowHeight="19.5"/>
  <cols>
    <col min="1" max="1" width="1" customWidth="1"/>
    <col min="2" max="2" width="6.5546875" style="15" customWidth="1"/>
    <col min="3" max="3" width="14.77734375" style="15" customWidth="1"/>
    <col min="4" max="5" width="1" style="15" customWidth="1"/>
    <col min="6" max="6" width="6.5546875" style="15" customWidth="1"/>
    <col min="7" max="7" width="14.77734375" style="15" customWidth="1"/>
    <col min="8" max="9" width="1" style="15" customWidth="1"/>
    <col min="10" max="10" width="6.5546875" style="15" customWidth="1"/>
    <col min="11" max="11" width="14.77734375" style="15" customWidth="1"/>
    <col min="12" max="13" width="1" style="15" customWidth="1"/>
    <col min="14" max="14" width="6.5546875" style="15" customWidth="1"/>
    <col min="15" max="15" width="14.77734375" style="15" customWidth="1"/>
    <col min="16" max="17" width="1" style="15" customWidth="1"/>
    <col min="18" max="18" width="6.5546875" style="15" customWidth="1"/>
    <col min="19" max="19" width="14.77734375" style="15" customWidth="1"/>
    <col min="20" max="20" width="1" customWidth="1"/>
    <col min="21" max="21" width="5.6640625" customWidth="1"/>
    <col min="22" max="22" width="5" customWidth="1"/>
  </cols>
  <sheetData>
    <row r="1" spans="1:23" ht="2.85" customHeight="1">
      <c r="A1">
        <f>V5</f>
        <v>1</v>
      </c>
      <c r="E1" s="15">
        <f>A1+1</f>
        <v>2</v>
      </c>
      <c r="I1" s="15">
        <f>E1+1</f>
        <v>3</v>
      </c>
      <c r="M1" s="15">
        <f>I1+1</f>
        <v>4</v>
      </c>
      <c r="Q1" s="15">
        <f>M1+1</f>
        <v>5</v>
      </c>
      <c r="U1" s="5">
        <v>1</v>
      </c>
    </row>
    <row r="2" spans="1:23" ht="27.75" customHeight="1">
      <c r="B2" s="38" t="str">
        <f>VLOOKUP(A1,data!$A$3:$J$85,1,FALSE) &amp; ". "&amp;VLOOKUP(A1,data!$A$3:$J$85,2,FALSE)</f>
        <v>1. facilities wear and tear</v>
      </c>
      <c r="C2" s="38"/>
      <c r="D2" s="31"/>
      <c r="E2" s="31"/>
      <c r="F2" s="38" t="str">
        <f>VLOOKUP(E1,data!$A$3:$J$85,1,FALSE) &amp; ". "&amp;VLOOKUP(E1,data!$A$3:$J$85,2,FALSE)</f>
        <v>2. troubles in a staff member's private life</v>
      </c>
      <c r="G2" s="38"/>
      <c r="H2" s="31"/>
      <c r="I2" s="31"/>
      <c r="J2" s="38" t="str">
        <f>VLOOKUP(I1,data!$A$3:$J$85,1,FALSE) &amp; ". "&amp;VLOOKUP(I1,data!$A$3:$J$85,2,FALSE)</f>
        <v>3. troubles in a key lab member's private life</v>
      </c>
      <c r="K2" s="38"/>
      <c r="L2" s="31"/>
      <c r="M2" s="31"/>
      <c r="N2" s="38" t="str">
        <f>VLOOKUP(M1,data!$A$3:$J$85,1,FALSE) &amp; ". "&amp;VLOOKUP(M1,data!$A$3:$J$85,2,FALSE)</f>
        <v>4. brown outs</v>
      </c>
      <c r="O2" s="38"/>
      <c r="P2" s="31"/>
      <c r="Q2" s="31"/>
      <c r="R2" s="38" t="str">
        <f>VLOOKUP(Q1,data!$A$3:$J$85,1,FALSE) &amp; ". "&amp;VLOOKUP(Q1,data!$A$3:$J$85,2,FALSE)</f>
        <v>5. fire incident</v>
      </c>
      <c r="S2" s="38"/>
      <c r="U2" s="5">
        <v>10</v>
      </c>
      <c r="V2" s="17">
        <v>1</v>
      </c>
    </row>
    <row r="3" spans="1:23" ht="5.85" customHeight="1">
      <c r="B3" s="36" t="s">
        <v>201</v>
      </c>
      <c r="C3" s="37"/>
      <c r="D3" s="31"/>
      <c r="E3" s="31"/>
      <c r="F3" s="36" t="s">
        <v>201</v>
      </c>
      <c r="G3" s="37"/>
      <c r="H3" s="31"/>
      <c r="I3" s="31"/>
      <c r="J3" s="36" t="s">
        <v>201</v>
      </c>
      <c r="K3" s="37"/>
      <c r="L3" s="31"/>
      <c r="M3" s="31"/>
      <c r="N3" s="36" t="s">
        <v>201</v>
      </c>
      <c r="O3" s="37"/>
      <c r="P3" s="31"/>
      <c r="Q3" s="31"/>
      <c r="R3" s="36" t="s">
        <v>201</v>
      </c>
      <c r="S3" s="37"/>
      <c r="U3" s="5">
        <v>2</v>
      </c>
    </row>
    <row r="4" spans="1:23" ht="51" customHeight="1">
      <c r="B4" s="30" t="str">
        <f>VLOOKUP(A1,data!$A$3:$J$85,5,FALSE)</f>
        <v xml:space="preserve">Required 
software(1)
 </v>
      </c>
      <c r="C4" s="40" t="str">
        <f>VLOOKUP(A1,data!$A$3:$J$85,3,FALSE)</f>
        <v>C:\Users\take\Desktop\RwandaCard\EventCard\pic\1.png</v>
      </c>
      <c r="D4" s="31"/>
      <c r="E4" s="31"/>
      <c r="F4" s="30" t="str">
        <f>VLOOKUP(E1,data!$A$3:$J$85,5,FALSE)</f>
        <v xml:space="preserve">Required 
scale(1)
enthusiasm(1)
 </v>
      </c>
      <c r="G4" s="40" t="str">
        <f>VLOOKUP(E1,data!$A$3:$J$85,3,FALSE)</f>
        <v>C:\Users\take\Desktop\RwandaCard\EventCard\pic\2.png</v>
      </c>
      <c r="H4" s="31"/>
      <c r="I4" s="31"/>
      <c r="J4" s="30" t="str">
        <f>VLOOKUP(I1,data!$A$3:$J$85,5,FALSE)</f>
        <v xml:space="preserve">Required 
scale(1)
enthusiasm(1)
 </v>
      </c>
      <c r="K4" s="40" t="str">
        <f>VLOOKUP(I1,data!$A$3:$J$85,3,FALSE)</f>
        <v>C:\Users\take\Desktop\RwandaCard\EventCard\pic\3.png</v>
      </c>
      <c r="L4" s="31"/>
      <c r="M4" s="31"/>
      <c r="N4" s="30" t="str">
        <f>VLOOKUP(M1,data!$A$3:$J$85,5,FALSE)</f>
        <v xml:space="preserve">Required 
scale(1)
scale(1)
 </v>
      </c>
      <c r="O4" s="40" t="str">
        <f>VLOOKUP(M1,data!$A$3:$J$85,3,FALSE)</f>
        <v>C:\Users\take\Desktop\RwandaCard\EventCard\pic\4.png</v>
      </c>
      <c r="P4" s="31"/>
      <c r="Q4" s="31"/>
      <c r="R4" s="30" t="str">
        <f>VLOOKUP(Q1,data!$A$3:$J$85,5,FALSE)</f>
        <v xml:space="preserve">Required 
 </v>
      </c>
      <c r="S4" s="40" t="str">
        <f>VLOOKUP(Q1,data!$A$3:$J$85,3,FALSE)</f>
        <v>C:\Users\take\Desktop\RwandaCard\EventCard\pic\5.png</v>
      </c>
      <c r="U4" s="5">
        <v>18</v>
      </c>
      <c r="V4" t="s">
        <v>14</v>
      </c>
    </row>
    <row r="5" spans="1:23" ht="25.5" customHeight="1">
      <c r="B5" s="41" t="str">
        <f>VLOOKUP(A1,data!$A$3:$J$85,6,FALSE)</f>
        <v xml:space="preserve">Effects
 </v>
      </c>
      <c r="C5" s="40"/>
      <c r="D5" s="31"/>
      <c r="E5" s="31"/>
      <c r="F5" s="41" t="str">
        <f>VLOOKUP(E1,data!$A$3:$J$85,6,FALSE)</f>
        <v xml:space="preserve">Effects
scale(-1,12.5%), enthusiasm(-1,25%),  </v>
      </c>
      <c r="G5" s="40"/>
      <c r="H5" s="31"/>
      <c r="I5" s="31"/>
      <c r="J5" s="41" t="str">
        <f>VLOOKUP(I1,data!$A$3:$J$85,6,FALSE)</f>
        <v xml:space="preserve">Effects
enthusiasm(-1,50%), gifted leader(-1,25%), gifted programmer(-1,25%), gifted designer(-1,25%),  </v>
      </c>
      <c r="K5" s="40"/>
      <c r="L5" s="31"/>
      <c r="M5" s="31"/>
      <c r="N5" s="41" t="str">
        <f>VLOOKUP(M1,data!$A$3:$J$85,6,FALSE)</f>
        <v xml:space="preserve">Effects
enthusiasm(-1,25%), enthusiasm(-1,25%), efficiency(-1,25%),  </v>
      </c>
      <c r="O5" s="40"/>
      <c r="P5" s="31"/>
      <c r="Q5" s="31"/>
      <c r="R5" s="41" t="str">
        <f>VLOOKUP(Q1,data!$A$3:$J$85,6,FALSE)</f>
        <v xml:space="preserve">Effects
 </v>
      </c>
      <c r="S5" s="40"/>
      <c r="U5" s="5">
        <v>9</v>
      </c>
      <c r="V5">
        <f>10*V2-9</f>
        <v>1</v>
      </c>
    </row>
    <row r="6" spans="1:23" ht="25.5" customHeight="1">
      <c r="B6" s="42"/>
      <c r="C6" s="40"/>
      <c r="D6" s="31"/>
      <c r="E6" s="31"/>
      <c r="F6" s="42"/>
      <c r="G6" s="40"/>
      <c r="H6" s="31"/>
      <c r="I6" s="31"/>
      <c r="J6" s="42"/>
      <c r="K6" s="40"/>
      <c r="L6" s="31"/>
      <c r="M6" s="31"/>
      <c r="N6" s="42"/>
      <c r="O6" s="40"/>
      <c r="P6" s="31"/>
      <c r="Q6" s="31"/>
      <c r="R6" s="42"/>
      <c r="S6" s="40"/>
      <c r="U6" s="5">
        <v>9</v>
      </c>
    </row>
    <row r="7" spans="1:23" s="2" customFormat="1" ht="36.75" customHeight="1">
      <c r="B7" s="39" t="str">
        <f>"Description"&amp;CHAR(10)&amp;VLOOKUP(A1,data!$A$3:$J$85,4,FALSE)</f>
        <v>Description
hogehoge</v>
      </c>
      <c r="C7" s="39"/>
      <c r="D7" s="32"/>
      <c r="E7" s="32"/>
      <c r="F7" s="39" t="str">
        <f>"Description"&amp;CHAR(10)&amp;VLOOKUP(E1,data!$A$3:$J$85,4,FALSE)</f>
        <v>Description
hogehoge</v>
      </c>
      <c r="G7" s="39"/>
      <c r="H7" s="32"/>
      <c r="I7" s="32"/>
      <c r="J7" s="39" t="str">
        <f>"Description"&amp;CHAR(10)&amp;VLOOKUP(I1,data!$A$3:$J$85,4,FALSE)</f>
        <v>Description
hogehoge</v>
      </c>
      <c r="K7" s="39"/>
      <c r="L7" s="32"/>
      <c r="M7" s="32"/>
      <c r="N7" s="39" t="str">
        <f>"Description"&amp;CHAR(10)&amp;VLOOKUP(M1,data!$A$3:$J$85,4,FALSE)</f>
        <v>Description
hogehoge</v>
      </c>
      <c r="O7" s="39"/>
      <c r="P7" s="32"/>
      <c r="Q7" s="32"/>
      <c r="R7" s="39" t="str">
        <f>"Description"&amp;CHAR(10)&amp;VLOOKUP(Q1,data!$A$3:$J$85,4,FALSE)</f>
        <v>Description
hogehoge</v>
      </c>
      <c r="S7" s="39"/>
      <c r="U7" s="6">
        <v>13</v>
      </c>
    </row>
    <row r="8" spans="1:23" s="2" customFormat="1" ht="36.75" customHeight="1">
      <c r="B8" s="39" t="str">
        <f>VLOOKUP(A1,data!$A$3:$J$85,8,FALSE)</f>
        <v xml:space="preserve">Extra cond
disposable money(1), servers(1), wood(1), metal(1), plastic(1), electronics(1), fabric(1), scale(1), attention to details(1.1), efficiency(1), user rules and manuals(2.1), organizational rules and manuals(2.1),  </v>
      </c>
      <c r="C8" s="39"/>
      <c r="D8" s="32"/>
      <c r="E8" s="32"/>
      <c r="F8" s="39" t="str">
        <f>VLOOKUP(E1,data!$A$3:$J$85,8,FALSE)</f>
        <v xml:space="preserve">Extra cond
disposable money(1.1), scale(1.1), efficiency(0.1), organizational rules and manuals(1.1),  </v>
      </c>
      <c r="G8" s="39"/>
      <c r="H8" s="32"/>
      <c r="I8" s="32"/>
      <c r="J8" s="39" t="str">
        <f>VLOOKUP(I1,data!$A$3:$J$85,8,FALSE)</f>
        <v xml:space="preserve">Extra cond
scale(1), network among members(0.1), gifted leader(1), gifted programmer(1), gifted designer(1), ambition(1), attention to details(0.1), community manager(0.1), team building(0.1),  </v>
      </c>
      <c r="K8" s="39"/>
      <c r="L8" s="32"/>
      <c r="M8" s="32"/>
      <c r="N8" s="39" t="str">
        <f>VLOOKUP(M1,data!$A$3:$J$85,8,FALSE)</f>
        <v xml:space="preserve">Extra cond
community manager(0.1), administrator(0.1), spaciousness(1), ease of access(3), reputation(2), user rules and manuals(0.1), project management(0.1), negotiation(0.1),  </v>
      </c>
      <c r="O8" s="39"/>
      <c r="P8" s="32"/>
      <c r="Q8" s="32"/>
      <c r="R8" s="39" t="str">
        <f>VLOOKUP(Q1,data!$A$3:$J$85,8,FALSE)</f>
        <v xml:space="preserve">Extra cond
scale(3), network among members(0.1), scale(1.1), attention to details(0.1), seriousness(0.1), initiative(0.1), spaciousness(1), user rules and manuals(1.1), organizational rules and manuals(1.1),  </v>
      </c>
      <c r="S8" s="39"/>
      <c r="U8" s="6">
        <v>13</v>
      </c>
    </row>
    <row r="9" spans="1:23" s="2" customFormat="1" ht="36.75" customHeight="1">
      <c r="B9" s="39" t="str">
        <f>VLOOKUP(A1,data!$A$3:$J$85,9,FALSE)</f>
        <v xml:space="preserve">E Effs
disposable money(-1,6.25%), servers(-1,6.25%), wood(-1,6.25%), metal(-1,6.25%), plastic(-1,6.25%), electronics(-1,6.25%), fabric(-1,6.25%), scale(-1,6.25%), efficiency(-1,6.25%),  </v>
      </c>
      <c r="C9" s="39"/>
      <c r="D9" s="32"/>
      <c r="E9" s="32"/>
      <c r="F9" s="39" t="str">
        <f>VLOOKUP(E1,data!$A$3:$J$85,9,FALSE)</f>
        <v xml:space="preserve">E Effs
disposable money(-1,6.75%), agility(-1,6.75%), ambition(-1,6.75%), fun-ness(-1,6.75%), initiative(-1,6.75%),  </v>
      </c>
      <c r="G9" s="39"/>
      <c r="H9" s="32"/>
      <c r="I9" s="32"/>
      <c r="J9" s="39" t="str">
        <f>VLOOKUP(I1,data!$A$3:$J$85,9,FALSE)</f>
        <v xml:space="preserve">E Effs
ambition(-1,%), business model(-1,6.25%), web(-1,6.25%), mobile apps(-1,6.25%), aesthetics(-1,6.25%),  </v>
      </c>
      <c r="K9" s="39"/>
      <c r="L9" s="32"/>
      <c r="M9" s="32"/>
      <c r="N9" s="39" t="str">
        <f>VLOOKUP(M1,data!$A$3:$J$85,9,FALSE)</f>
        <v xml:space="preserve">E Effs
scale(-1,6.25%), reputation(-1,%),  </v>
      </c>
      <c r="O9" s="39"/>
      <c r="P9" s="32"/>
      <c r="Q9" s="32"/>
      <c r="R9" s="39" t="str">
        <f>VLOOKUP(Q1,data!$A$3:$J$85,9,FALSE)</f>
        <v xml:space="preserve">E Effs
disposable money(-1,6.25%), wood(-1,6.25%), fabric(-1,6.25%), enthusiasm(-1,6.25%), enthusiasm(-1,%), local biz(-1,6.25%), investors(-1,6.25%), non-profits(-1,6.25%), efficiency(-1,6.25%),  </v>
      </c>
      <c r="S9" s="39"/>
      <c r="U9" s="6">
        <v>13</v>
      </c>
      <c r="W9" s="2">
        <f>SUM(U1:U10)</f>
        <v>89</v>
      </c>
    </row>
    <row r="10" spans="1:23" s="2" customFormat="1" ht="2.85" customHeight="1">
      <c r="B10" s="32"/>
      <c r="C10" s="32"/>
      <c r="D10" s="32"/>
      <c r="E10" s="32"/>
      <c r="F10" s="32"/>
      <c r="G10" s="32"/>
      <c r="H10" s="32"/>
      <c r="I10" s="32"/>
      <c r="J10" s="32"/>
      <c r="K10" s="32"/>
      <c r="L10" s="32"/>
      <c r="M10" s="32"/>
      <c r="N10" s="32"/>
      <c r="O10" s="32"/>
      <c r="P10" s="32"/>
      <c r="Q10" s="32"/>
      <c r="R10" s="32"/>
      <c r="S10" s="18"/>
      <c r="U10" s="6">
        <v>1</v>
      </c>
    </row>
    <row r="11" spans="1:23" ht="2.85" customHeight="1">
      <c r="A11">
        <f>Q1+1</f>
        <v>6</v>
      </c>
      <c r="B11" s="33"/>
      <c r="C11" s="33"/>
      <c r="D11" s="33"/>
      <c r="E11" s="33">
        <f>A11+1</f>
        <v>7</v>
      </c>
      <c r="F11" s="33"/>
      <c r="G11" s="33"/>
      <c r="H11" s="33"/>
      <c r="I11" s="33">
        <f>E11+1</f>
        <v>8</v>
      </c>
      <c r="J11" s="33"/>
      <c r="K11" s="33"/>
      <c r="L11" s="33"/>
      <c r="M11" s="33">
        <f>I11+1</f>
        <v>9</v>
      </c>
      <c r="N11" s="33"/>
      <c r="O11" s="33"/>
      <c r="P11" s="33"/>
      <c r="Q11" s="33">
        <f>M11+1</f>
        <v>10</v>
      </c>
      <c r="R11" s="33"/>
      <c r="S11" s="19"/>
      <c r="U11" s="5">
        <v>1</v>
      </c>
    </row>
    <row r="12" spans="1:23" ht="28.35" customHeight="1">
      <c r="B12" s="38" t="str">
        <f>VLOOKUP(A11,data!$A$3:$J$85,1,FALSE) &amp; ". "&amp;VLOOKUP(A11,data!$A$3:$J$85,2,FALSE)</f>
        <v>6. complaints from neighbors</v>
      </c>
      <c r="C12" s="38"/>
      <c r="D12" s="31"/>
      <c r="E12" s="31"/>
      <c r="F12" s="38" t="str">
        <f>VLOOKUP(E11,data!$A$3:$J$85,1,FALSE) &amp; ". "&amp;VLOOKUP(E11,data!$A$3:$J$85,2,FALSE)</f>
        <v>7. troubles among staffs</v>
      </c>
      <c r="G12" s="38"/>
      <c r="H12" s="31"/>
      <c r="I12" s="31"/>
      <c r="J12" s="38" t="str">
        <f>VLOOKUP(I11,data!$A$3:$J$85,1,FALSE) &amp; ". "&amp;VLOOKUP(I11,data!$A$3:$J$85,2,FALSE)</f>
        <v>8. troubles among members</v>
      </c>
      <c r="K12" s="38"/>
      <c r="L12" s="31"/>
      <c r="M12" s="31"/>
      <c r="N12" s="38" t="str">
        <f>VLOOKUP(M11,data!$A$3:$J$85,1,FALSE) &amp; ". "&amp;VLOOKUP(M11,data!$A$3:$J$85,2,FALSE)</f>
        <v>9. 0</v>
      </c>
      <c r="O12" s="38"/>
      <c r="P12" s="31"/>
      <c r="Q12" s="31"/>
      <c r="R12" s="38" t="str">
        <f>VLOOKUP(Q11,data!$A$3:$J$85,1,FALSE) &amp; ". "&amp;VLOOKUP(Q11,data!$A$3:$J$85,2,FALSE)</f>
        <v>10. Winning a business dev grant</v>
      </c>
      <c r="S12" s="38"/>
      <c r="U12" s="5">
        <v>10</v>
      </c>
      <c r="V12">
        <v>1</v>
      </c>
    </row>
    <row r="13" spans="1:23" ht="5.85" customHeight="1">
      <c r="B13" s="36" t="s">
        <v>201</v>
      </c>
      <c r="C13" s="37"/>
      <c r="D13" s="31"/>
      <c r="E13" s="31"/>
      <c r="F13" s="36" t="s">
        <v>201</v>
      </c>
      <c r="G13" s="37"/>
      <c r="H13" s="31"/>
      <c r="I13" s="31"/>
      <c r="J13" s="36" t="s">
        <v>201</v>
      </c>
      <c r="K13" s="37"/>
      <c r="L13" s="31"/>
      <c r="M13" s="31"/>
      <c r="N13" s="36" t="s">
        <v>201</v>
      </c>
      <c r="O13" s="37"/>
      <c r="P13" s="31"/>
      <c r="Q13" s="31"/>
      <c r="R13" s="36" t="s">
        <v>201</v>
      </c>
      <c r="S13" s="37"/>
      <c r="U13" s="5">
        <v>2</v>
      </c>
    </row>
    <row r="14" spans="1:23" ht="51" customHeight="1">
      <c r="B14" s="30" t="str">
        <f>VLOOKUP(A11,data!$A$3:$J$85,5,FALSE)</f>
        <v xml:space="preserve">Required 
scale(1)
enthusiasm(2)
fun-ness(1)
ease of access(1)
reputation(1)
 </v>
      </c>
      <c r="C14" s="40" t="str">
        <f>VLOOKUP(A11,data!$A$3:$J$85,3,FALSE)</f>
        <v>C:\Users\take\Desktop\RwandaCard\EventCard\pic\6.png</v>
      </c>
      <c r="D14" s="31"/>
      <c r="E14" s="31"/>
      <c r="F14" s="30" t="str">
        <f>VLOOKUP(E11,data!$A$3:$J$85,5,FALSE)</f>
        <v xml:space="preserve">Required 
scale(1)
fun-ness(1)
seriousness(1)
 </v>
      </c>
      <c r="G14" s="40" t="str">
        <f>VLOOKUP(E11,data!$A$3:$J$85,3,FALSE)</f>
        <v>C:\Users\take\Desktop\RwandaCard\EventCard\pic\7.png</v>
      </c>
      <c r="H14" s="31"/>
      <c r="I14" s="31"/>
      <c r="J14" s="30" t="str">
        <f>VLOOKUP(I11,data!$A$3:$J$85,5,FALSE)</f>
        <v xml:space="preserve">Required 
scale(1)
enthusiasm(1)
network among members(3.1)
 </v>
      </c>
      <c r="K14" s="40" t="str">
        <f>VLOOKUP(I11,data!$A$3:$J$85,3,FALSE)</f>
        <v>C:\Users\take\Desktop\RwandaCard\EventCard\pic\8.png</v>
      </c>
      <c r="L14" s="31"/>
      <c r="M14" s="31"/>
      <c r="N14" s="30" t="str">
        <f>VLOOKUP(M11,data!$A$3:$J$85,5,FALSE)</f>
        <v xml:space="preserve">Required 
disposable money(1)
wood(1)
scale(1)
 </v>
      </c>
      <c r="O14" s="40" t="str">
        <f>VLOOKUP(M11,data!$A$3:$J$85,3,FALSE)</f>
        <v>C:\Users\take\Desktop\RwandaCard\EventCard\pic\9.png</v>
      </c>
      <c r="P14" s="31"/>
      <c r="Q14" s="31"/>
      <c r="R14" s="30" t="str">
        <f>VLOOKUP(Q11,data!$A$3:$J$85,5,FALSE)</f>
        <v xml:space="preserve">Required 
disposable money(1)
 </v>
      </c>
      <c r="S14" s="40" t="str">
        <f>VLOOKUP(Q11,data!$A$3:$J$85,3,FALSE)</f>
        <v>C:\Users\take\Desktop\RwandaCard\EventCard\pic\10.png</v>
      </c>
      <c r="U14" s="5">
        <v>18</v>
      </c>
    </row>
    <row r="15" spans="1:23" ht="25.5" customHeight="1">
      <c r="B15" s="41" t="str">
        <f>VLOOKUP(A11,data!$A$3:$J$85,6,FALSE)</f>
        <v xml:space="preserve">Effects
enthusiasm(-1,25%),  </v>
      </c>
      <c r="C15" s="40"/>
      <c r="D15" s="31"/>
      <c r="E15" s="31"/>
      <c r="F15" s="41" t="str">
        <f>VLOOKUP(E11,data!$A$3:$J$85,6,FALSE)</f>
        <v xml:space="preserve">Effects
scale(-1,25%), enthusiasm(-1,25%), enthusiasm(-1,25%),  </v>
      </c>
      <c r="G15" s="40"/>
      <c r="H15" s="31"/>
      <c r="I15" s="31"/>
      <c r="J15" s="41" t="str">
        <f>VLOOKUP(I11,data!$A$3:$J$85,6,FALSE)</f>
        <v xml:space="preserve">Effects
scale(-1,25%), enthusiasm(-1,25%),  </v>
      </c>
      <c r="K15" s="40"/>
      <c r="L15" s="31"/>
      <c r="M15" s="31"/>
      <c r="N15" s="41" t="str">
        <f>VLOOKUP(M11,data!$A$3:$J$85,6,FALSE)</f>
        <v xml:space="preserve">Effects
disposable money(-1,12.5%), enthusiasm(-1,12.5%), attention to details(1,12.5%), fun-ness(-1,12.5%), seriousness(1,12.5%), efficiency(-1,12.5%), user rules and manuals(1,25%),  </v>
      </c>
      <c r="O15" s="40"/>
      <c r="P15" s="31"/>
      <c r="Q15" s="31"/>
      <c r="R15" s="41" t="str">
        <f>VLOOKUP(Q11,data!$A$3:$J$85,6,FALSE)</f>
        <v xml:space="preserve">Effects
disposable money(-1,25%), plastic(-1,25%), enthusiasm(-1,25%), enthusiasm(-1,25%), attention to details(1,25%), fun-ness(-1,25%), seriousness(1,25%), user rules and manuals(1,25%), organizational rules and manuals(1,25%),  </v>
      </c>
      <c r="S15" s="40"/>
      <c r="U15" s="5">
        <v>9</v>
      </c>
    </row>
    <row r="16" spans="1:23" s="2" customFormat="1" ht="25.5" customHeight="1">
      <c r="B16" s="42"/>
      <c r="C16" s="40"/>
      <c r="D16" s="32"/>
      <c r="E16" s="32"/>
      <c r="F16" s="42"/>
      <c r="G16" s="40"/>
      <c r="H16" s="32"/>
      <c r="I16" s="32"/>
      <c r="J16" s="42"/>
      <c r="K16" s="40"/>
      <c r="L16" s="32"/>
      <c r="M16" s="32"/>
      <c r="N16" s="42"/>
      <c r="O16" s="40"/>
      <c r="P16" s="32"/>
      <c r="Q16" s="32"/>
      <c r="R16" s="42"/>
      <c r="S16" s="40"/>
      <c r="U16" s="5">
        <v>9</v>
      </c>
    </row>
    <row r="17" spans="1:21" s="2" customFormat="1" ht="36.75" customHeight="1">
      <c r="B17" s="39" t="str">
        <f>"Description"&amp;CHAR(10)&amp;VLOOKUP(A11,data!$A$3:$J$85,4,FALSE)</f>
        <v>Description
hogehoge</v>
      </c>
      <c r="C17" s="39"/>
      <c r="D17" s="32"/>
      <c r="E17" s="32"/>
      <c r="F17" s="39" t="str">
        <f>"Description"&amp;CHAR(10)&amp;VLOOKUP(E11,data!$A$3:$J$85,4,FALSE)</f>
        <v>Description
hogehoge</v>
      </c>
      <c r="G17" s="39"/>
      <c r="H17" s="32"/>
      <c r="I17" s="32"/>
      <c r="J17" s="39" t="str">
        <f>"Description"&amp;CHAR(10)&amp;VLOOKUP(I11,data!$A$3:$J$85,4,FALSE)</f>
        <v>Description
hogehoge</v>
      </c>
      <c r="K17" s="39"/>
      <c r="L17" s="32"/>
      <c r="M17" s="32"/>
      <c r="N17" s="39" t="str">
        <f>"Description"&amp;CHAR(10)&amp;VLOOKUP(M11,data!$A$3:$J$85,4,FALSE)</f>
        <v>Description
hogehoge</v>
      </c>
      <c r="O17" s="39"/>
      <c r="P17" s="32"/>
      <c r="Q17" s="32"/>
      <c r="R17" s="39" t="str">
        <f>"Description"&amp;CHAR(10)&amp;VLOOKUP(Q11,data!$A$3:$J$85,4,FALSE)</f>
        <v>Description
hogehoge</v>
      </c>
      <c r="S17" s="39"/>
      <c r="U17" s="6">
        <v>13</v>
      </c>
    </row>
    <row r="18" spans="1:21" s="2" customFormat="1" ht="36.75" customHeight="1">
      <c r="B18" s="39" t="str">
        <f>VLOOKUP(A11,data!$A$3:$J$85,8,FALSE)</f>
        <v xml:space="preserve">Extra cond
scale(2), enthusiasm(2), scale(3.1), attention to details(2.1), seriousness(2.1), community manager(2.1), administrator(2.1), spaciousness(1), ease of access(1), reputation(2), user rules and manuals(2.1), organizational rules and manuals(2.1), law(1.1), negotiation(1.1),  </v>
      </c>
      <c r="C18" s="39"/>
      <c r="D18" s="32"/>
      <c r="E18" s="32"/>
      <c r="F18" s="39" t="str">
        <f>VLOOKUP(E11,data!$A$3:$J$85,8,FALSE)</f>
        <v xml:space="preserve">Extra cond
scale(1), fun-ness(1), spaciousness(2.1), reputation(3), organizational rules and manuals(2.1), team building(2.1),  </v>
      </c>
      <c r="G18" s="39"/>
      <c r="H18" s="32"/>
      <c r="I18" s="32"/>
      <c r="J18" s="39" t="str">
        <f>VLOOKUP(I11,data!$A$3:$J$85,8,FALSE)</f>
        <v xml:space="preserve">Extra cond
scale(1), enthusiasm(1), attention to details(3.1), fun-ness(3.1), seriousness(3.1), initiative(2.1), leader(2.1), community manager(2.1), user rules and manuals(2.1), team building(2.1),  </v>
      </c>
      <c r="K18" s="39"/>
      <c r="L18" s="32"/>
      <c r="M18" s="32"/>
      <c r="N18" s="39" t="str">
        <f>VLOOKUP(M11,data!$A$3:$J$85,8,FALSE)</f>
        <v xml:space="preserve">Extra cond
wood(1), scale(1), agility(1.1), attention to details(1.1), seriousness(1.1), community manager(1.1), administrator(1.1), user rules and manuals(2.1), organizational rules and manuals(2.1),  </v>
      </c>
      <c r="O18" s="39"/>
      <c r="P18" s="32"/>
      <c r="Q18" s="32"/>
      <c r="R18" s="39" t="str">
        <f>VLOOKUP(Q11,data!$A$3:$J$85,8,FALSE)</f>
        <v xml:space="preserve">Extra cond
enthusiasm(1), engineering knowledge(1.1), enthusiasm(1), fun-ness(1), seriousness(2.1), community manager(1.1), administrator(1.1),  </v>
      </c>
      <c r="S18" s="39"/>
      <c r="U18" s="6">
        <v>13</v>
      </c>
    </row>
    <row r="19" spans="1:21" s="2" customFormat="1" ht="36.75" customHeight="1">
      <c r="B19" s="39" t="str">
        <f>VLOOKUP(A11,data!$A$3:$J$85,9,FALSE)</f>
        <v xml:space="preserve">E Effs
scale(-1,6.25%), enthusiasm(-1,6.25%), govt(-1,6.25%), non-profits(-1,6.25%), reputation(-1,6.25%),  </v>
      </c>
      <c r="C19" s="39"/>
      <c r="D19" s="32"/>
      <c r="E19" s="32"/>
      <c r="F19" s="39" t="str">
        <f>VLOOKUP(E11,data!$A$3:$J$85,9,FALSE)</f>
        <v xml:space="preserve">E Effs
enthusiasm(-1,12.5%), fun-ness(-1,6.25%), reputation(-1,6.25%), efficiency(-1,6.25%),  </v>
      </c>
      <c r="G19" s="39"/>
      <c r="H19" s="32"/>
      <c r="I19" s="32"/>
      <c r="J19" s="39" t="str">
        <f>VLOOKUP(I11,data!$A$3:$J$85,9,FALSE)</f>
        <v xml:space="preserve">E Effs
field knowledge(-1,6.25%), network among members(-1,6.25%), gifted assistant(-1,6.25%),  </v>
      </c>
      <c r="K19" s="39"/>
      <c r="L19" s="32"/>
      <c r="M19" s="32"/>
      <c r="N19" s="39" t="str">
        <f>VLOOKUP(M11,data!$A$3:$J$85,9,FALSE)</f>
        <v xml:space="preserve">E Effs
wood(-1,6.25%), scale(-1,6.25%), enthusiasm(-1,6.25%), reputation(-1,6.25%),  </v>
      </c>
      <c r="O19" s="39"/>
      <c r="P19" s="32"/>
      <c r="Q19" s="32"/>
      <c r="R19" s="39" t="str">
        <f>VLOOKUP(Q11,data!$A$3:$J$85,9,FALSE)</f>
        <v xml:space="preserve">E Effs
reputation(-1,6.25%), efficiency(-1,25%),  </v>
      </c>
      <c r="S19" s="39"/>
      <c r="U19" s="6">
        <v>13</v>
      </c>
    </row>
    <row r="20" spans="1:21" ht="2.85" customHeight="1">
      <c r="U20" s="5">
        <v>1</v>
      </c>
    </row>
    <row r="21" spans="1:21">
      <c r="A21">
        <v>0.24</v>
      </c>
      <c r="B21" s="15">
        <v>1.56</v>
      </c>
      <c r="C21" s="15">
        <v>3.47</v>
      </c>
      <c r="D21" s="15">
        <v>0.24</v>
      </c>
      <c r="U21" s="5"/>
    </row>
    <row r="22" spans="1:21">
      <c r="C22" s="15">
        <f>SUM(A21:D21)</f>
        <v>5.5100000000000007</v>
      </c>
    </row>
  </sheetData>
  <mergeCells count="70">
    <mergeCell ref="R19:S19"/>
    <mergeCell ref="R17:S17"/>
    <mergeCell ref="R18:S18"/>
    <mergeCell ref="J19:K19"/>
    <mergeCell ref="O14:O16"/>
    <mergeCell ref="N17:O17"/>
    <mergeCell ref="N19:O19"/>
    <mergeCell ref="N18:O18"/>
    <mergeCell ref="J17:K17"/>
    <mergeCell ref="J18:K18"/>
    <mergeCell ref="K14:K16"/>
    <mergeCell ref="S14:S16"/>
    <mergeCell ref="J15:J16"/>
    <mergeCell ref="N15:N16"/>
    <mergeCell ref="R15:R16"/>
    <mergeCell ref="B19:C19"/>
    <mergeCell ref="G14:G16"/>
    <mergeCell ref="F17:G17"/>
    <mergeCell ref="F19:G19"/>
    <mergeCell ref="F18:G18"/>
    <mergeCell ref="B17:C17"/>
    <mergeCell ref="B18:C18"/>
    <mergeCell ref="F15:F16"/>
    <mergeCell ref="N9:O9"/>
    <mergeCell ref="S4:S6"/>
    <mergeCell ref="R7:S7"/>
    <mergeCell ref="R8:S8"/>
    <mergeCell ref="R9:S9"/>
    <mergeCell ref="N7:O7"/>
    <mergeCell ref="N8:O8"/>
    <mergeCell ref="O4:O6"/>
    <mergeCell ref="N5:N6"/>
    <mergeCell ref="R5:R6"/>
    <mergeCell ref="F9:G9"/>
    <mergeCell ref="K4:K6"/>
    <mergeCell ref="J7:K7"/>
    <mergeCell ref="J8:K8"/>
    <mergeCell ref="J9:K9"/>
    <mergeCell ref="F7:G7"/>
    <mergeCell ref="F8:G8"/>
    <mergeCell ref="G4:G6"/>
    <mergeCell ref="F5:F6"/>
    <mergeCell ref="J5:J6"/>
    <mergeCell ref="B7:C7"/>
    <mergeCell ref="B8:C8"/>
    <mergeCell ref="B9:C9"/>
    <mergeCell ref="C4:C6"/>
    <mergeCell ref="C14:C16"/>
    <mergeCell ref="B13:C13"/>
    <mergeCell ref="B5:B6"/>
    <mergeCell ref="B15:B16"/>
    <mergeCell ref="B3:C3"/>
    <mergeCell ref="R3:S3"/>
    <mergeCell ref="N3:O3"/>
    <mergeCell ref="J3:K3"/>
    <mergeCell ref="F3:G3"/>
    <mergeCell ref="B2:C2"/>
    <mergeCell ref="F2:G2"/>
    <mergeCell ref="J2:K2"/>
    <mergeCell ref="N2:O2"/>
    <mergeCell ref="R2:S2"/>
    <mergeCell ref="F13:G13"/>
    <mergeCell ref="J13:K13"/>
    <mergeCell ref="N13:O13"/>
    <mergeCell ref="R13:S13"/>
    <mergeCell ref="B12:C12"/>
    <mergeCell ref="F12:G12"/>
    <mergeCell ref="J12:K12"/>
    <mergeCell ref="N12:O12"/>
    <mergeCell ref="R12:S12"/>
  </mergeCells>
  <phoneticPr fontId="18"/>
  <pageMargins left="0.43307086614173229" right="0.43307086614173229" top="0.55118110236220474" bottom="0.55118110236220474" header="0" footer="0"/>
  <pageSetup paperSize="9" orientation="landscape" horizontalDpi="1200" verticalDpi="1200" r:id="rId1"/>
  <headerFooter>
    <oddHeader xml:space="preserve">&amp;L </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56"/>
  <sheetViews>
    <sheetView zoomScale="75" zoomScaleNormal="75" workbookViewId="0">
      <selection activeCell="D18" sqref="D18"/>
    </sheetView>
  </sheetViews>
  <sheetFormatPr defaultColWidth="11.5546875" defaultRowHeight="19.5"/>
  <cols>
    <col min="1" max="1" width="4.33203125" customWidth="1"/>
    <col min="2" max="2" width="41.5546875" customWidth="1"/>
    <col min="3" max="3" width="60.5546875" customWidth="1"/>
    <col min="4" max="4" width="47.5546875" customWidth="1"/>
    <col min="5" max="5" width="12.33203125" bestFit="1" customWidth="1"/>
    <col min="6" max="6" width="10.6640625" bestFit="1" customWidth="1"/>
    <col min="7" max="7" width="18.6640625" bestFit="1" customWidth="1"/>
    <col min="8" max="8" width="8.33203125" bestFit="1" customWidth="1"/>
    <col min="9" max="9" width="35.33203125" customWidth="1"/>
    <col min="10" max="10" width="15" bestFit="1" customWidth="1"/>
  </cols>
  <sheetData>
    <row r="1" spans="1:10">
      <c r="D1" t="s">
        <v>210</v>
      </c>
    </row>
    <row r="2" spans="1:10" hidden="1">
      <c r="E2">
        <v>0</v>
      </c>
      <c r="F2">
        <v>1</v>
      </c>
      <c r="G2">
        <v>2</v>
      </c>
      <c r="H2">
        <v>3</v>
      </c>
      <c r="I2">
        <v>4</v>
      </c>
      <c r="J2">
        <v>5</v>
      </c>
    </row>
    <row r="3" spans="1:10" ht="24">
      <c r="B3" s="4" t="s">
        <v>0</v>
      </c>
      <c r="C3" s="4" t="s">
        <v>2</v>
      </c>
      <c r="D3" s="34" t="s">
        <v>209</v>
      </c>
      <c r="E3" s="16" t="s">
        <v>4</v>
      </c>
      <c r="F3" s="16" t="s">
        <v>1</v>
      </c>
      <c r="G3" s="16" t="s">
        <v>10</v>
      </c>
      <c r="H3" s="16" t="s">
        <v>11</v>
      </c>
      <c r="I3" s="16" t="s">
        <v>12</v>
      </c>
      <c r="J3" s="16" t="s">
        <v>13</v>
      </c>
    </row>
    <row r="4" spans="1:10" ht="24.75" customHeight="1">
      <c r="A4">
        <v>1</v>
      </c>
      <c r="B4" s="1" t="str">
        <f>INDEX(EventCard!$2:$2,1,($A4*6)-2)</f>
        <v>facilities wear and tear</v>
      </c>
      <c r="C4" s="3" t="s">
        <v>19</v>
      </c>
      <c r="D4" s="35" t="s">
        <v>211</v>
      </c>
      <c r="E4" s="1" t="str">
        <f>INDEX(EventCard!$3:$3,1,($A4*6)-2+E$2)</f>
        <v xml:space="preserve">Required 
software(1)
 </v>
      </c>
      <c r="F4" s="1" t="str">
        <f>INDEX(EventCard!$3:$3,1,($A4*6)-2+F$2)</f>
        <v xml:space="preserve">Effects
 </v>
      </c>
      <c r="G4" s="1" t="str">
        <f>INDEX(EventCard!$3:$3,1,($A4*6)-2+G$2)</f>
        <v xml:space="preserve">Effs. %
 </v>
      </c>
      <c r="H4" s="1" t="str">
        <f>INDEX(EventCard!$3:$3,1,($A4*6)-2+H$2)</f>
        <v xml:space="preserve">Extra cond
disposable money(1), servers(1), wood(1), metal(1), plastic(1), electronics(1), fabric(1), scale(1), attention to details(1.1), efficiency(1), user rules and manuals(2.1), organizational rules and manuals(2.1),  </v>
      </c>
      <c r="I4" s="1" t="str">
        <f>INDEX(EventCard!$3:$3,1,($A4*6)-2+I$2)</f>
        <v xml:space="preserve">E Effs
disposable money(-1,6.25%), servers(-1,6.25%), wood(-1,6.25%), metal(-1,6.25%), plastic(-1,6.25%), electronics(-1,6.25%), fabric(-1,6.25%), scale(-1,6.25%), efficiency(-1,6.25%),  </v>
      </c>
      <c r="J4" s="1" t="str">
        <f>INDEX(EventCard!$3:$3,1,($A4*6)-2+J$2)</f>
        <v xml:space="preserve">E Effs%
disposable money(6.25),servers(6.25),wood(6.25),metal(6.25),plastic(6.25),electronics(6.25),fabric(6.25),scale(6.25),efficiency(6.25), </v>
      </c>
    </row>
    <row r="5" spans="1:10">
      <c r="A5">
        <v>2</v>
      </c>
      <c r="B5" s="1" t="str">
        <f>INDEX(EventCard!$2:$2,1,($A5*6)-2)</f>
        <v>troubles in a staff member's private life</v>
      </c>
      <c r="C5" s="3" t="s">
        <v>20</v>
      </c>
      <c r="D5" s="35" t="s">
        <v>211</v>
      </c>
      <c r="E5" s="1" t="str">
        <f>INDEX(EventCard!$3:$3,1,($A5*6)-2+E$2)</f>
        <v xml:space="preserve">Required 
scale(1)
enthusiasm(1)
 </v>
      </c>
      <c r="F5" s="1" t="str">
        <f>INDEX(EventCard!$3:$3,1,($A5*6)-2+F$2)</f>
        <v xml:space="preserve">Effects
scale(-1,12.5%), enthusiasm(-1,25%),  </v>
      </c>
      <c r="G5" s="1" t="str">
        <f>INDEX(EventCard!$3:$3,1,($A5*6)-2+G$2)</f>
        <v xml:space="preserve">Effs. %
scale(12.5)
enthusiasm(25)
 </v>
      </c>
      <c r="H5" s="1" t="str">
        <f>INDEX(EventCard!$3:$3,1,($A5*6)-2+H$2)</f>
        <v xml:space="preserve">Extra cond
disposable money(1.1), scale(1.1), efficiency(0.1), organizational rules and manuals(1.1),  </v>
      </c>
      <c r="I5" s="1" t="str">
        <f>INDEX(EventCard!$3:$3,1,($A5*6)-2+I$2)</f>
        <v xml:space="preserve">E Effs
disposable money(-1,6.75%), agility(-1,6.75%), ambition(-1,6.75%), fun-ness(-1,6.75%), initiative(-1,6.75%),  </v>
      </c>
      <c r="J5" s="1" t="str">
        <f>INDEX(EventCard!$3:$3,1,($A5*6)-2+J$2)</f>
        <v xml:space="preserve">E Effs%
disposable money(6.75),agility(6.75),ambition(6.75),fun-ness(6.75),initiative(6.75), </v>
      </c>
    </row>
    <row r="6" spans="1:10">
      <c r="A6">
        <v>3</v>
      </c>
      <c r="B6" s="1" t="str">
        <f>INDEX(EventCard!$2:$2,1,($A6*6)-2)</f>
        <v>troubles in a key lab member's private life</v>
      </c>
      <c r="C6" s="3" t="s">
        <v>21</v>
      </c>
      <c r="D6" s="35" t="s">
        <v>211</v>
      </c>
      <c r="E6" s="1" t="str">
        <f>INDEX(EventCard!$3:$3,1,($A6*6)-2+E$2)</f>
        <v xml:space="preserve">Required 
scale(1)
enthusiasm(1)
 </v>
      </c>
      <c r="F6" s="1" t="str">
        <f>INDEX(EventCard!$3:$3,1,($A6*6)-2+F$2)</f>
        <v xml:space="preserve">Effects
enthusiasm(-1,50%), gifted leader(-1,25%), gifted programmer(-1,25%), gifted designer(-1,25%),  </v>
      </c>
      <c r="G6" s="1" t="str">
        <f>INDEX(EventCard!$3:$3,1,($A6*6)-2+G$2)</f>
        <v xml:space="preserve">Effs. %
enthusiasm(50)
gifted leader(25)
gifted programmer(25)
gifted designer(25)
 </v>
      </c>
      <c r="H6" s="1" t="str">
        <f>INDEX(EventCard!$3:$3,1,($A6*6)-2+H$2)</f>
        <v xml:space="preserve">Extra cond
scale(1), network among members(0.1), gifted leader(1), gifted programmer(1), gifted designer(1), ambition(1), attention to details(0.1), community manager(0.1), team building(0.1),  </v>
      </c>
      <c r="I6" s="1" t="str">
        <f>INDEX(EventCard!$3:$3,1,($A6*6)-2+I$2)</f>
        <v xml:space="preserve">E Effs
ambition(-1,%), business model(-1,6.25%), web(-1,6.25%), mobile apps(-1,6.25%), aesthetics(-1,6.25%),  </v>
      </c>
      <c r="J6" s="1" t="str">
        <f>INDEX(EventCard!$3:$3,1,($A6*6)-2+J$2)</f>
        <v xml:space="preserve">E Effs%
business model(6.25),web(6.25),mobile apps(6.25),aesthetics(6.25), </v>
      </c>
    </row>
    <row r="7" spans="1:10">
      <c r="A7">
        <v>4</v>
      </c>
      <c r="B7" s="1" t="str">
        <f>INDEX(EventCard!$2:$2,1,($A7*6)-2)</f>
        <v>brown outs</v>
      </c>
      <c r="C7" s="3" t="s">
        <v>22</v>
      </c>
      <c r="D7" s="35" t="s">
        <v>211</v>
      </c>
      <c r="E7" s="1" t="str">
        <f>INDEX(EventCard!$3:$3,1,($A7*6)-2+E$2)</f>
        <v xml:space="preserve">Required 
scale(1)
scale(1)
 </v>
      </c>
      <c r="F7" s="1" t="str">
        <f>INDEX(EventCard!$3:$3,1,($A7*6)-2+F$2)</f>
        <v xml:space="preserve">Effects
enthusiasm(-1,25%), enthusiasm(-1,25%), efficiency(-1,25%),  </v>
      </c>
      <c r="G7" s="1" t="str">
        <f>INDEX(EventCard!$3:$3,1,($A7*6)-2+G$2)</f>
        <v xml:space="preserve">Effs. %
enthusiasm(25)
enthusiasm(25)
efficiency(25)
 </v>
      </c>
      <c r="H7" s="1" t="str">
        <f>INDEX(EventCard!$3:$3,1,($A7*6)-2+H$2)</f>
        <v xml:space="preserve">Extra cond
community manager(0.1), administrator(0.1), spaciousness(1), ease of access(3), reputation(2), user rules and manuals(0.1), project management(0.1), negotiation(0.1),  </v>
      </c>
      <c r="I7" s="1" t="str">
        <f>INDEX(EventCard!$3:$3,1,($A7*6)-2+I$2)</f>
        <v xml:space="preserve">E Effs
scale(-1,6.25%), reputation(-1,%),  </v>
      </c>
      <c r="J7" s="1" t="str">
        <f>INDEX(EventCard!$3:$3,1,($A7*6)-2+J$2)</f>
        <v xml:space="preserve">E Effs%
scale(6.25), </v>
      </c>
    </row>
    <row r="8" spans="1:10">
      <c r="A8">
        <v>5</v>
      </c>
      <c r="B8" s="1" t="str">
        <f>INDEX(EventCard!$2:$2,1,($A8*6)-2)</f>
        <v>fire incident</v>
      </c>
      <c r="C8" s="3" t="s">
        <v>23</v>
      </c>
      <c r="D8" s="35" t="s">
        <v>211</v>
      </c>
      <c r="E8" s="1" t="str">
        <f>INDEX(EventCard!$3:$3,1,($A8*6)-2+E$2)</f>
        <v xml:space="preserve">Required 
 </v>
      </c>
      <c r="F8" s="1" t="str">
        <f>INDEX(EventCard!$3:$3,1,($A8*6)-2+F$2)</f>
        <v xml:space="preserve">Effects
 </v>
      </c>
      <c r="G8" s="1" t="str">
        <f>INDEX(EventCard!$3:$3,1,($A8*6)-2+G$2)</f>
        <v xml:space="preserve">Effs. %
 </v>
      </c>
      <c r="H8" s="1" t="str">
        <f>INDEX(EventCard!$3:$3,1,($A8*6)-2+H$2)</f>
        <v xml:space="preserve">Extra cond
scale(3), network among members(0.1), scale(1.1), attention to details(0.1), seriousness(0.1), initiative(0.1), spaciousness(1), user rules and manuals(1.1), organizational rules and manuals(1.1),  </v>
      </c>
      <c r="I8" s="1" t="str">
        <f>INDEX(EventCard!$3:$3,1,($A8*6)-2+I$2)</f>
        <v xml:space="preserve">E Effs
disposable money(-1,6.25%), wood(-1,6.25%), fabric(-1,6.25%), enthusiasm(-1,6.25%), enthusiasm(-1,%), local biz(-1,6.25%), investors(-1,6.25%), non-profits(-1,6.25%), efficiency(-1,6.25%),  </v>
      </c>
      <c r="J8" s="1" t="str">
        <f>INDEX(EventCard!$3:$3,1,($A8*6)-2+J$2)</f>
        <v xml:space="preserve">E Effs%
disposable money(6.25),wood(6.25),fabric(6.25),enthusiasm(6.25),local biz(6.25),investors(6.25),non-profits(6.25),efficiency(6.25), </v>
      </c>
    </row>
    <row r="9" spans="1:10">
      <c r="A9">
        <v>6</v>
      </c>
      <c r="B9" s="1" t="str">
        <f>INDEX(EventCard!$2:$2,1,($A9*6)-2)</f>
        <v>complaints from neighbors</v>
      </c>
      <c r="C9" s="3" t="s">
        <v>24</v>
      </c>
      <c r="D9" s="35" t="s">
        <v>211</v>
      </c>
      <c r="E9" s="1" t="str">
        <f>INDEX(EventCard!$3:$3,1,($A9*6)-2+E$2)</f>
        <v xml:space="preserve">Required 
scale(1)
enthusiasm(2)
fun-ness(1)
ease of access(1)
reputation(1)
 </v>
      </c>
      <c r="F9" s="1" t="str">
        <f>INDEX(EventCard!$3:$3,1,($A9*6)-2+F$2)</f>
        <v xml:space="preserve">Effects
enthusiasm(-1,25%),  </v>
      </c>
      <c r="G9" s="1" t="str">
        <f>INDEX(EventCard!$3:$3,1,($A9*6)-2+G$2)</f>
        <v xml:space="preserve">Effs. %
enthusiasm(25)
 </v>
      </c>
      <c r="H9" s="1" t="str">
        <f>INDEX(EventCard!$3:$3,1,($A9*6)-2+H$2)</f>
        <v xml:space="preserve">Extra cond
scale(2), enthusiasm(2), scale(3.1), attention to details(2.1), seriousness(2.1), community manager(2.1), administrator(2.1), spaciousness(1), ease of access(1), reputation(2), user rules and manuals(2.1), organizational rules and manuals(2.1), law(1.1), negotiation(1.1),  </v>
      </c>
      <c r="I9" s="1" t="str">
        <f>INDEX(EventCard!$3:$3,1,($A9*6)-2+I$2)</f>
        <v xml:space="preserve">E Effs
scale(-1,6.25%), enthusiasm(-1,6.25%), govt(-1,6.25%), non-profits(-1,6.25%), reputation(-1,6.25%),  </v>
      </c>
      <c r="J9" s="1" t="str">
        <f>INDEX(EventCard!$3:$3,1,($A9*6)-2+J$2)</f>
        <v xml:space="preserve">E Effs%
scale(6.25),enthusiasm(6.25),govt(6.25),non-profits(6.25),reputation(6.25), </v>
      </c>
    </row>
    <row r="10" spans="1:10">
      <c r="A10">
        <v>7</v>
      </c>
      <c r="B10" s="1" t="str">
        <f>INDEX(EventCard!$2:$2,1,($A10*6)-2)</f>
        <v>troubles among staffs</v>
      </c>
      <c r="C10" s="3" t="s">
        <v>25</v>
      </c>
      <c r="D10" s="35" t="s">
        <v>211</v>
      </c>
      <c r="E10" s="1" t="str">
        <f>INDEX(EventCard!$3:$3,1,($A10*6)-2+E$2)</f>
        <v xml:space="preserve">Required 
scale(1)
fun-ness(1)
seriousness(1)
 </v>
      </c>
      <c r="F10" s="1" t="str">
        <f>INDEX(EventCard!$3:$3,1,($A10*6)-2+F$2)</f>
        <v xml:space="preserve">Effects
scale(-1,25%), enthusiasm(-1,25%), enthusiasm(-1,25%),  </v>
      </c>
      <c r="G10" s="1" t="str">
        <f>INDEX(EventCard!$3:$3,1,($A10*6)-2+G$2)</f>
        <v xml:space="preserve">Effs. %
scale(25)
enthusiasm(25)
enthusiasm(25)
 </v>
      </c>
      <c r="H10" s="1" t="str">
        <f>INDEX(EventCard!$3:$3,1,($A10*6)-2+H$2)</f>
        <v xml:space="preserve">Extra cond
scale(1), fun-ness(1), spaciousness(2.1), reputation(3), organizational rules and manuals(2.1), team building(2.1),  </v>
      </c>
      <c r="I10" s="1" t="str">
        <f>INDEX(EventCard!$3:$3,1,($A10*6)-2+I$2)</f>
        <v xml:space="preserve">E Effs
enthusiasm(-1,12.5%), fun-ness(-1,6.25%), reputation(-1,6.25%), efficiency(-1,6.25%),  </v>
      </c>
      <c r="J10" s="1" t="str">
        <f>INDEX(EventCard!$3:$3,1,($A10*6)-2+J$2)</f>
        <v xml:space="preserve">E Effs%
enthusiasm(12.5),fun-ness(6.25),reputation(6.25),efficiency(6.25), </v>
      </c>
    </row>
    <row r="11" spans="1:10">
      <c r="A11">
        <v>8</v>
      </c>
      <c r="B11" s="1" t="str">
        <f>INDEX(EventCard!$2:$2,1,($A11*6)-2)</f>
        <v>troubles among members</v>
      </c>
      <c r="C11" s="3" t="s">
        <v>26</v>
      </c>
      <c r="D11" s="35" t="s">
        <v>211</v>
      </c>
      <c r="E11" s="1" t="str">
        <f>INDEX(EventCard!$3:$3,1,($A11*6)-2+E$2)</f>
        <v xml:space="preserve">Required 
scale(1)
enthusiasm(1)
network among members(3.1)
 </v>
      </c>
      <c r="F11" s="1" t="str">
        <f>INDEX(EventCard!$3:$3,1,($A11*6)-2+F$2)</f>
        <v xml:space="preserve">Effects
scale(-1,25%), enthusiasm(-1,25%),  </v>
      </c>
      <c r="G11" s="1" t="str">
        <f>INDEX(EventCard!$3:$3,1,($A11*6)-2+G$2)</f>
        <v xml:space="preserve">Effs. %
scale(25)
enthusiasm(25)
 </v>
      </c>
      <c r="H11" s="1" t="str">
        <f>INDEX(EventCard!$3:$3,1,($A11*6)-2+H$2)</f>
        <v xml:space="preserve">Extra cond
scale(1), enthusiasm(1), attention to details(3.1), fun-ness(3.1), seriousness(3.1), initiative(2.1), leader(2.1), community manager(2.1), user rules and manuals(2.1), team building(2.1),  </v>
      </c>
      <c r="I11" s="1" t="str">
        <f>INDEX(EventCard!$3:$3,1,($A11*6)-2+I$2)</f>
        <v xml:space="preserve">E Effs
field knowledge(-1,6.25%), network among members(-1,6.25%), gifted assistant(-1,6.25%),  </v>
      </c>
      <c r="J11" s="1" t="str">
        <f>INDEX(EventCard!$3:$3,1,($A11*6)-2+J$2)</f>
        <v xml:space="preserve">E Effs%
field knowledge(6.25),network among members(6.25),gifted assistant(6.25), </v>
      </c>
    </row>
    <row r="12" spans="1:10">
      <c r="A12">
        <v>9</v>
      </c>
      <c r="B12" s="1">
        <f>INDEX(EventCard!$2:$2,1,($A12*6)-2)</f>
        <v>0</v>
      </c>
      <c r="C12" s="3" t="s">
        <v>27</v>
      </c>
      <c r="D12" s="35" t="s">
        <v>211</v>
      </c>
      <c r="E12" s="1" t="str">
        <f>INDEX(EventCard!$3:$3,1,($A12*6)-2+E$2)</f>
        <v xml:space="preserve">Required 
disposable money(1)
wood(1)
scale(1)
 </v>
      </c>
      <c r="F12" s="1" t="str">
        <f>INDEX(EventCard!$3:$3,1,($A12*6)-2+F$2)</f>
        <v xml:space="preserve">Effects
disposable money(-1,12.5%), enthusiasm(-1,12.5%), attention to details(1,12.5%), fun-ness(-1,12.5%), seriousness(1,12.5%), efficiency(-1,12.5%), user rules and manuals(1,25%),  </v>
      </c>
      <c r="G12" s="1" t="str">
        <f>INDEX(EventCard!$3:$3,1,($A12*6)-2+G$2)</f>
        <v xml:space="preserve">Effs. %
disposable money(12.5)
enthusiasm(12.5)
attention to details(12.5)
fun-ness(12.5)
seriousness(12.5)
efficiency(12.5)
user rules and manuals(25)
 </v>
      </c>
      <c r="H12" s="1" t="str">
        <f>INDEX(EventCard!$3:$3,1,($A12*6)-2+H$2)</f>
        <v xml:space="preserve">Extra cond
wood(1), scale(1), agility(1.1), attention to details(1.1), seriousness(1.1), community manager(1.1), administrator(1.1), user rules and manuals(2.1), organizational rules and manuals(2.1),  </v>
      </c>
      <c r="I12" s="1" t="str">
        <f>INDEX(EventCard!$3:$3,1,($A12*6)-2+I$2)</f>
        <v xml:space="preserve">E Effs
wood(-1,6.25%), scale(-1,6.25%), enthusiasm(-1,6.25%), reputation(-1,6.25%),  </v>
      </c>
      <c r="J12" s="1" t="str">
        <f>INDEX(EventCard!$3:$3,1,($A12*6)-2+J$2)</f>
        <v xml:space="preserve">E Effs%
wood(6.25),scale(6.25),enthusiasm(6.25),reputation(6.25), </v>
      </c>
    </row>
    <row r="13" spans="1:10">
      <c r="A13">
        <v>10</v>
      </c>
      <c r="B13" s="1" t="str">
        <f>INDEX(EventCard!$2:$2,1,($A13*6)-2)</f>
        <v>Winning a business dev grant</v>
      </c>
      <c r="C13" s="3" t="s">
        <v>28</v>
      </c>
      <c r="D13" s="35" t="s">
        <v>211</v>
      </c>
      <c r="E13" s="1" t="str">
        <f>INDEX(EventCard!$3:$3,1,($A13*6)-2+E$2)</f>
        <v xml:space="preserve">Required 
disposable money(1)
 </v>
      </c>
      <c r="F13" s="1" t="str">
        <f>INDEX(EventCard!$3:$3,1,($A13*6)-2+F$2)</f>
        <v xml:space="preserve">Effects
disposable money(-1,25%), plastic(-1,25%), enthusiasm(-1,25%), enthusiasm(-1,25%), attention to details(1,25%), fun-ness(-1,25%), seriousness(1,25%), user rules and manuals(1,25%), organizational rules and manuals(1,25%),  </v>
      </c>
      <c r="G13" s="1" t="str">
        <f>INDEX(EventCard!$3:$3,1,($A13*6)-2+G$2)</f>
        <v xml:space="preserve">Effs. %
disposable money(25)
plastic(25)
enthusiasm(25)
enthusiasm(25)
attention to details(25)
fun-ness(25)
seriousness(25)
user rules and manuals(25)
organizational rules and manuals(25)
 </v>
      </c>
      <c r="H13" s="1" t="str">
        <f>INDEX(EventCard!$3:$3,1,($A13*6)-2+H$2)</f>
        <v xml:space="preserve">Extra cond
enthusiasm(1), engineering knowledge(1.1), enthusiasm(1), fun-ness(1), seriousness(2.1), community manager(1.1), administrator(1.1),  </v>
      </c>
      <c r="I13" s="1" t="str">
        <f>INDEX(EventCard!$3:$3,1,($A13*6)-2+I$2)</f>
        <v xml:space="preserve">E Effs
reputation(-1,6.25%), efficiency(-1,25%),  </v>
      </c>
      <c r="J13" s="1" t="str">
        <f>INDEX(EventCard!$3:$3,1,($A13*6)-2+J$2)</f>
        <v xml:space="preserve">E Effs%
reputation(6.25),efficiency(25), </v>
      </c>
    </row>
    <row r="14" spans="1:10">
      <c r="A14">
        <v>11</v>
      </c>
      <c r="B14" s="1" t="str">
        <f>INDEX(EventCard!$2:$2,1,($A14*6)-2)</f>
        <v>Winning a business aid grant</v>
      </c>
      <c r="C14" s="3" t="s">
        <v>29</v>
      </c>
      <c r="D14" s="35" t="s">
        <v>211</v>
      </c>
      <c r="E14" s="1" t="str">
        <f>INDEX(EventCard!$3:$3,1,($A14*6)-2+E$2)</f>
        <v xml:space="preserve">Required 
software(1)
scale(2)
local biz(1)
ease of access(1)
reputation(1)
aesthetics(1)
 </v>
      </c>
      <c r="F14" s="1" t="str">
        <f>INDEX(EventCard!$3:$3,1,($A14*6)-2+F$2)</f>
        <v xml:space="preserve">Effects
disposable money(1,12.5%), biz enhancement(1,%),  </v>
      </c>
      <c r="G14" s="1" t="str">
        <f>INDEX(EventCard!$3:$3,1,($A14*6)-2+G$2)</f>
        <v xml:space="preserve">Effs. %
disposable money(12.5)
 </v>
      </c>
      <c r="H14" s="1" t="str">
        <f>INDEX(EventCard!$3:$3,1,($A14*6)-2+H$2)</f>
        <v xml:space="preserve">Extra cond
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I14" s="1" t="str">
        <f>INDEX(EventCard!$3:$3,1,($A14*6)-2+I$2)</f>
        <v xml:space="preserve">E Effs
disposable money(1,6.25%), local biz(1,6.25%),  </v>
      </c>
      <c r="J14" s="1" t="str">
        <f>INDEX(EventCard!$3:$3,1,($A14*6)-2+J$2)</f>
        <v xml:space="preserve">E Effs%
disposable money(6.25),local biz(6.25), </v>
      </c>
    </row>
    <row r="15" spans="1:10">
      <c r="A15">
        <v>12</v>
      </c>
      <c r="B15" s="1" t="str">
        <f>INDEX(EventCard!$2:$2,1,($A15*6)-2)</f>
        <v>Entering a contest</v>
      </c>
      <c r="C15" s="3" t="s">
        <v>30</v>
      </c>
      <c r="D15" s="35" t="s">
        <v>211</v>
      </c>
      <c r="E15" s="1" t="str">
        <f>INDEX(EventCard!$3:$3,1,($A15*6)-2+E$2)</f>
        <v xml:space="preserve">Required 
software(1)
wood(1)
scale(2)
scale(1)
local biz(1)
ease of access(1)
reputation(1)
aesthetics(1)
 </v>
      </c>
      <c r="F15" s="1" t="str">
        <f>INDEX(EventCard!$3:$3,1,($A15*6)-2+F$2)</f>
        <v xml:space="preserve">Effects
disposable money(1,12.5%), biz project(1,%),  </v>
      </c>
      <c r="G15" s="1" t="str">
        <f>INDEX(EventCard!$3:$3,1,($A15*6)-2+G$2)</f>
        <v xml:space="preserve">Effs. %
disposable money(12.5)
 </v>
      </c>
      <c r="H15" s="1" t="str">
        <f>INDEX(EventCard!$3:$3,1,($A15*6)-2+H$2)</f>
        <v xml:space="preserve">Extra cond
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I15" s="1" t="str">
        <f>INDEX(EventCard!$3:$3,1,($A15*6)-2+I$2)</f>
        <v xml:space="preserve">E Effs
disposable money(1,6.25%), local biz(1,6.25%),  </v>
      </c>
      <c r="J15" s="1" t="str">
        <f>INDEX(EventCard!$3:$3,1,($A15*6)-2+J$2)</f>
        <v xml:space="preserve">E Effs%
disposable money(6.25),local biz(6.25), </v>
      </c>
    </row>
    <row r="16" spans="1:10">
      <c r="A16">
        <v>13</v>
      </c>
      <c r="B16" s="1" t="str">
        <f>INDEX(EventCard!$2:$2,1,($A16*6)-2)</f>
        <v>Visiting labs</v>
      </c>
      <c r="C16" s="3" t="s">
        <v>31</v>
      </c>
      <c r="D16" s="35" t="s">
        <v>211</v>
      </c>
      <c r="E16" s="1" t="str">
        <f>INDEX(EventCard!$3:$3,1,($A16*6)-2+E$2)</f>
        <v xml:space="preserve">Required 
software(1)
servers(1)
scale(2)
enthusiasm(1)
local biz(1)
ease of access(1)
reputation(1)
aesthetics(1)
interaction(1)
 </v>
      </c>
      <c r="F16" s="1" t="str">
        <f>INDEX(EventCard!$3:$3,1,($A16*6)-2+F$2)</f>
        <v xml:space="preserve">Effects
disposable money(1,12.5%), biz project(1,%),  </v>
      </c>
      <c r="G16" s="1" t="str">
        <f>INDEX(EventCard!$3:$3,1,($A16*6)-2+G$2)</f>
        <v xml:space="preserve">Effs. %
disposable money(12.5)
 </v>
      </c>
      <c r="H16" s="1" t="str">
        <f>INDEX(EventCard!$3:$3,1,($A16*6)-2+H$2)</f>
        <v xml:space="preserve">Extra cond
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I16" s="1" t="str">
        <f>INDEX(EventCard!$3:$3,1,($A16*6)-2+I$2)</f>
        <v xml:space="preserve">E Effs
disposable money(1,6.25%), local biz(1,6.25%),  </v>
      </c>
      <c r="J16" s="1" t="str">
        <f>INDEX(EventCard!$3:$3,1,($A16*6)-2+J$2)</f>
        <v xml:space="preserve">E Effs%
disposable money(6.25),local biz(6.25), </v>
      </c>
    </row>
    <row r="17" spans="1:10">
      <c r="A17">
        <v>14</v>
      </c>
      <c r="B17" s="1" t="str">
        <f>INDEX(EventCard!$2:$2,1,($A17*6)-2)</f>
        <v>Hosting vistis from schools and learning groups</v>
      </c>
      <c r="C17" s="3" t="s">
        <v>32</v>
      </c>
      <c r="D17" s="35" t="s">
        <v>211</v>
      </c>
      <c r="E17" s="1" t="str">
        <f>INDEX(EventCard!$3:$3,1,($A17*6)-2+E$2)</f>
        <v xml:space="preserve">Required 
software(1)
servers(1)
scale(2)
enthusiasm(1)
ease of access(1)
reputation(1)
aesthetics(1)
 </v>
      </c>
      <c r="F17" s="1" t="str">
        <f>INDEX(EventCard!$3:$3,1,($A17*6)-2+F$2)</f>
        <v xml:space="preserve">Effects
disposable money(1,12.5%), biz project(1,%),  </v>
      </c>
      <c r="G17" s="1" t="str">
        <f>INDEX(EventCard!$3:$3,1,($A17*6)-2+G$2)</f>
        <v xml:space="preserve">Effs. %
disposable money(12.5)
 </v>
      </c>
      <c r="H17" s="1" t="str">
        <f>INDEX(EventCard!$3:$3,1,($A17*6)-2+H$2)</f>
        <v xml:space="preserve">Extra cond
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I17" s="1" t="str">
        <f>INDEX(EventCard!$3:$3,1,($A17*6)-2+I$2)</f>
        <v xml:space="preserve">E Effs
disposable money(1,6.25%), local biz(1,6.25%),  </v>
      </c>
      <c r="J17" s="1" t="str">
        <f>INDEX(EventCard!$3:$3,1,($A17*6)-2+J$2)</f>
        <v xml:space="preserve">E Effs%
disposable money(6.25),local biz(6.25), </v>
      </c>
    </row>
    <row r="18" spans="1:10">
      <c r="A18">
        <v>15</v>
      </c>
      <c r="B18" s="1" t="str">
        <f>INDEX(EventCard!$2:$2,1,($A18*6)-2)</f>
        <v>Networking with suppliers and service providers</v>
      </c>
      <c r="C18" s="3" t="s">
        <v>33</v>
      </c>
      <c r="D18" s="35" t="s">
        <v>211</v>
      </c>
      <c r="E18" s="1" t="str">
        <f>INDEX(EventCard!$3:$3,1,($A18*6)-2+E$2)</f>
        <v xml:space="preserve">Required 
software(1)
scale(2)
ease of access(1)
reputation(1)
aesthetics(1)
 </v>
      </c>
      <c r="F18" s="1" t="str">
        <f>INDEX(EventCard!$3:$3,1,($A18*6)-2+F$2)</f>
        <v xml:space="preserve">Effects
disposable money(1,12.5%), biz project(1,%),  </v>
      </c>
      <c r="G18" s="1" t="str">
        <f>INDEX(EventCard!$3:$3,1,($A18*6)-2+G$2)</f>
        <v xml:space="preserve">Effs. %
disposable money(12.5)
 </v>
      </c>
      <c r="H18" s="1" t="str">
        <f>INDEX(EventCard!$3:$3,1,($A18*6)-2+H$2)</f>
        <v xml:space="preserve">Extra cond
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I18" s="1" t="str">
        <f>INDEX(EventCard!$3:$3,1,($A18*6)-2+I$2)</f>
        <v xml:space="preserve">E Effs
disposable money(1,6.25%), local biz(1,6.25%),  </v>
      </c>
      <c r="J18" s="1" t="str">
        <f>INDEX(EventCard!$3:$3,1,($A18*6)-2+J$2)</f>
        <v xml:space="preserve">E Effs%
disposable money(6.25),local biz(6.25), </v>
      </c>
    </row>
    <row r="19" spans="1:10">
      <c r="A19">
        <v>16</v>
      </c>
      <c r="B19" s="1" t="str">
        <f>INDEX(EventCard!$2:$2,1,($A19*6)-2)</f>
        <v>Networking with tech experts</v>
      </c>
      <c r="C19" s="3" t="s">
        <v>34</v>
      </c>
      <c r="D19" s="35" t="s">
        <v>211</v>
      </c>
      <c r="E19" s="1" t="str">
        <f>INDEX(EventCard!$3:$3,1,($A19*6)-2+E$2)</f>
        <v xml:space="preserve">Required 
disposable money(1)
metal(1)
scale(2)
enthusiasm(1)
learning capacities(1)
field knowledge(1)
local biz(1)
metal processing(1)
functions(1)
 </v>
      </c>
      <c r="F19" s="1" t="str">
        <f>INDEX(EventCard!$3:$3,1,($A19*6)-2+F$2)</f>
        <v xml:space="preserve">Effects
local biz(1,50%), biz enhancement(1,50%),  </v>
      </c>
      <c r="G19" s="1" t="str">
        <f>INDEX(EventCard!$3:$3,1,($A19*6)-2+G$2)</f>
        <v xml:space="preserve">Effs. %
local biz(50)
biz enhancement(50)
 </v>
      </c>
      <c r="H19" s="1" t="str">
        <f>INDEX(EventCard!$3:$3,1,($A19*6)-2+H$2)</f>
        <v xml:space="preserve">Extra cond
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I19" s="1" t="str">
        <f>INDEX(EventCard!$3:$3,1,($A19*6)-2+I$2)</f>
        <v xml:space="preserve">E Effs
disposable money(1,6.25%), reputation(1,6.25%),  </v>
      </c>
      <c r="J19" s="1" t="str">
        <f>INDEX(EventCard!$3:$3,1,($A19*6)-2+J$2)</f>
        <v xml:space="preserve">E Effs%
disposable money(6.25),reputation(6.25), </v>
      </c>
    </row>
    <row r="20" spans="1:10">
      <c r="A20">
        <v>17</v>
      </c>
      <c r="B20" s="1" t="str">
        <f>INDEX(EventCard!$2:$2,1,($A20*6)-2)</f>
        <v>Networking with non profits</v>
      </c>
      <c r="C20" s="3" t="s">
        <v>35</v>
      </c>
      <c r="D20" s="35" t="s">
        <v>211</v>
      </c>
      <c r="E20" s="1" t="str">
        <f>INDEX(EventCard!$3:$3,1,($A20*6)-2+E$2)</f>
        <v xml:space="preserve">Required 
disposable money(1)
software(1)
wood(1)
scale(1)
enthusiasm(2)
learning capacities(1)
non-profits(1)
wood processing(1)
aesthetics(1)
interaction(1)
 </v>
      </c>
      <c r="F20" s="1" t="str">
        <f>INDEX(EventCard!$3:$3,1,($A20*6)-2+F$2)</f>
        <v xml:space="preserve">Effects
non-profits(1,50%), social project(1,50%),  </v>
      </c>
      <c r="G20" s="1" t="str">
        <f>INDEX(EventCard!$3:$3,1,($A20*6)-2+G$2)</f>
        <v xml:space="preserve">Effs. %
non-profits(50)
social project(50)
 </v>
      </c>
      <c r="H20" s="1" t="str">
        <f>INDEX(EventCard!$3:$3,1,($A20*6)-2+H$2)</f>
        <v xml:space="preserve">Extra cond
gifted programmer(1), gifted designer(1), scale(2), enthusiasm(4), agility(2), ambition(4), attention to details(2), fun-ness(2), administrator(2), ease of access(2), efficiency(3), sensors(2), wood processing(2), plastic processing(2), electronics(2), aesthetics(2), functions(1), safety(1), interaction(2),  </v>
      </c>
      <c r="I20" s="1" t="str">
        <f>INDEX(EventCard!$3:$3,1,($A20*6)-2+I$2)</f>
        <v xml:space="preserve">E Effs
disposable money(1,6.25%), media(1,6.25%), reputation(1,6.25%), portfolio(1,6.25%),  </v>
      </c>
      <c r="J20" s="1" t="str">
        <f>INDEX(EventCard!$3:$3,1,($A20*6)-2+J$2)</f>
        <v xml:space="preserve">E Effs%
disposable money(6.25),media(6.25),reputation(6.25),portfolio(6.25), </v>
      </c>
    </row>
    <row r="21" spans="1:10">
      <c r="A21">
        <v>18</v>
      </c>
      <c r="B21" s="1" t="str">
        <f>INDEX(EventCard!$2:$2,1,($A21*6)-2)</f>
        <v xml:space="preserve">Networking with local businesses </v>
      </c>
      <c r="C21" s="3" t="s">
        <v>36</v>
      </c>
      <c r="D21" s="35" t="s">
        <v>211</v>
      </c>
      <c r="E21" s="1" t="str">
        <f>INDEX(EventCard!$3:$3,1,($A21*6)-2+E$2)</f>
        <v xml:space="preserve">Required 
disposable money(1)
software(1)
scale(1)
enthusiasm(2)
learning capacities(1)
non-profits(1)
aesthetics(1)
interaction(1)
 </v>
      </c>
      <c r="F21" s="1" t="str">
        <f>INDEX(EventCard!$3:$3,1,($A21*6)-2+F$2)</f>
        <v xml:space="preserve">Effects
non-profits(1,50%), social project(1,50%),  </v>
      </c>
      <c r="G21" s="1" t="str">
        <f>INDEX(EventCard!$3:$3,1,($A21*6)-2+G$2)</f>
        <v xml:space="preserve">Effs. %
non-profits(50)
social project(50)
 </v>
      </c>
      <c r="H21" s="1" t="str">
        <f>INDEX(EventCard!$3:$3,1,($A21*6)-2+H$2)</f>
        <v xml:space="preserve">Extra cond
gifted programmer(1), gifted designer(1), scale(2), enthusiasm(4), agility(2), ambition(4), attention to details(2), fun-ness(2), administrator(2), ease of access(2), efficiency(3), VR&amp;AR(2),  </v>
      </c>
      <c r="I21" s="1" t="str">
        <f>INDEX(EventCard!$3:$3,1,($A21*6)-2+I$2)</f>
        <v xml:space="preserve">E Effs
disposable money(1,6.25%), media(1,6.25%), reputation(1,6.25%), portfolio(1,6.25%),  </v>
      </c>
      <c r="J21" s="1" t="str">
        <f>INDEX(EventCard!$3:$3,1,($A21*6)-2+J$2)</f>
        <v xml:space="preserve">E Effs%
disposable money(6.25),media(6.25),reputation(6.25),portfolio(6.25), </v>
      </c>
    </row>
    <row r="22" spans="1:10">
      <c r="A22">
        <v>19</v>
      </c>
      <c r="B22" s="1" t="str">
        <f>INDEX(EventCard!$2:$2,1,($A22*6)-2)</f>
        <v>Hosting an event introducing the lab to non-profits</v>
      </c>
      <c r="C22" s="3" t="s">
        <v>37</v>
      </c>
      <c r="D22" s="35" t="s">
        <v>211</v>
      </c>
      <c r="E22" s="1" t="str">
        <f>INDEX(EventCard!$3:$3,1,($A22*6)-2+E$2)</f>
        <v xml:space="preserve">Required 
disposable money(1)
software(1)
wood(1)
plastic(1)
scale(2)
enthusiasm(2)
scale(1)
wood processing(1)
aesthetics(1)
safety(1)
 </v>
      </c>
      <c r="F22" s="1" t="str">
        <f>INDEX(EventCard!$3:$3,1,($A22*6)-2+F$2)</f>
        <v xml:space="preserve">Effects
disposable money(-1,100%), social project(1,100%),  </v>
      </c>
      <c r="G22" s="1" t="str">
        <f>INDEX(EventCard!$3:$3,1,($A22*6)-2+G$2)</f>
        <v xml:space="preserve">Effs. %
disposable money(100)
social project(100)
 </v>
      </c>
      <c r="H22" s="1" t="str">
        <f>INDEX(EventCard!$3:$3,1,($A22*6)-2+H$2)</f>
        <v xml:space="preserve">Extra cond
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I22" s="1" t="str">
        <f>INDEX(EventCard!$3:$3,1,($A22*6)-2+I$2)</f>
        <v xml:space="preserve">E Effs
scale(1,6.25%), enthusiasm(1,6.25%), network among members(1,6.25%), enthusiasm(1,6.25%), agility(1,6.25%), fun-ness(1,6.25%), reputation(1,6.25%), portfolio(1,6.25%), team building(1,6.25%),  </v>
      </c>
      <c r="J22" s="1" t="str">
        <f>INDEX(EventCard!$3:$3,1,($A22*6)-2+J$2)</f>
        <v xml:space="preserve">E Effs%
scale(6.25),enthusiasm(6.25),network among members(6.25),enthusiasm(6.25),agility(6.25),fun-ness(6.25),reputation(6.25),portfolio(6.25),team building(6.25), </v>
      </c>
    </row>
    <row r="23" spans="1:10">
      <c r="A23">
        <v>20</v>
      </c>
      <c r="B23" s="1" t="str">
        <f>INDEX(EventCard!$2:$2,1,($A23*6)-2)</f>
        <v>Hosting an event introducing the lab to businesses</v>
      </c>
      <c r="C23" s="3" t="s">
        <v>38</v>
      </c>
      <c r="D23" s="35" t="s">
        <v>211</v>
      </c>
      <c r="E23" s="1" t="str">
        <f>INDEX(EventCard!$3:$3,1,($A23*6)-2+E$2)</f>
        <v xml:space="preserve">Required 
disposable money(1)
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F23" s="1" t="str">
        <f>INDEX(EventCard!$3:$3,1,($A23*6)-2+F$2)</f>
        <v xml:space="preserve">Effects
disposable money(1,100%), reputation(1,25%), portfolio(1,50%),  </v>
      </c>
      <c r="G23" s="1" t="str">
        <f>INDEX(EventCard!$3:$3,1,($A23*6)-2+G$2)</f>
        <v xml:space="preserve">Effs. %
disposable money(100)
reputation(25)
portfolio(50)
 </v>
      </c>
      <c r="H23" s="1" t="str">
        <f>INDEX(EventCard!$3:$3,1,($A23*6)-2+H$2)</f>
        <v xml:space="preserve">Extra cond
wood(2), plastic(2), engineering knowledge(2), network among members(1), gifted leader(1), gifted assistant(1), gifted designer(1), ambition(1), attention to details(3), fun-ness(3), administrator(1), media(3), suppliers(3), social media(2), wood processing(2), plastic processing(2), electronics(2), aesthetics(2),  </v>
      </c>
      <c r="I23" s="1" t="str">
        <f>INDEX(EventCard!$3:$3,1,($A23*6)-2+I$2)</f>
        <v xml:space="preserve">E Effs
disposable money(1,6.25%), suppliers(1,6.25%), reputation(1,6.25%),  </v>
      </c>
      <c r="J23" s="1" t="str">
        <f>INDEX(EventCard!$3:$3,1,($A23*6)-2+J$2)</f>
        <v xml:space="preserve">E Effs%
disposable money(6.25),suppliers(6.25),reputation(6.25), </v>
      </c>
    </row>
    <row r="24" spans="1:10">
      <c r="A24">
        <v>21</v>
      </c>
      <c r="B24" s="1" t="str">
        <f>INDEX(EventCard!$2:$2,1,($A24*6)-2)</f>
        <v>Hosting public lecture events with external experts on tech and innovation</v>
      </c>
      <c r="C24" s="3" t="s">
        <v>39</v>
      </c>
      <c r="D24" s="35" t="s">
        <v>211</v>
      </c>
      <c r="E24" s="1" t="str">
        <f>INDEX(EventCard!$3:$3,1,($A24*6)-2+E$2)</f>
        <v xml:space="preserve">Required 
disposable money(1)
scale(2)
attention to details(2)
leader(1)
fame(1)
network(2)
reputation(3)
portfolio(2)
 </v>
      </c>
      <c r="F24" s="1" t="str">
        <f>INDEX(EventCard!$3:$3,1,($A24*6)-2+F$2)</f>
        <v xml:space="preserve">Effects
disposable money(50,%), fame(1,25%), govt(1,25%), non-profits(1,50%), reputation(1,25%),  </v>
      </c>
      <c r="G24" s="1" t="str">
        <f>INDEX(EventCard!$3:$3,1,($A24*6)-2+G$2)</f>
        <v xml:space="preserve">Effs. %
fame(25)
govt(25)
non-profits(50)
reputation(25)
 </v>
      </c>
      <c r="H24" s="1" t="str">
        <f>INDEX(EventCard!$3:$3,1,($A24*6)-2+H$2)</f>
        <v xml:space="preserve">Extra cond
scale(3), enthusiasm(3), enthusiasm(3), ambition(2), attention to details(2), PR(1), administrator(1), social media(2),  </v>
      </c>
      <c r="I24" s="1" t="str">
        <f>INDEX(EventCard!$3:$3,1,($A24*6)-2+I$2)</f>
        <v xml:space="preserve">E Effs
ambition(1,6.25%), fame(1,6.25%), reputation(1,6.25%),  </v>
      </c>
      <c r="J24" s="1" t="str">
        <f>INDEX(EventCard!$3:$3,1,($A24*6)-2+J$2)</f>
        <v xml:space="preserve">E Effs%
ambition(6.25),fame(6.25),reputation(6.25), </v>
      </c>
    </row>
    <row r="25" spans="1:10">
      <c r="A25">
        <v>22</v>
      </c>
      <c r="B25" s="1" t="str">
        <f>INDEX(EventCard!$2:$2,1,($A25*6)-2)</f>
        <v>Hosting public lecture events with technologists</v>
      </c>
      <c r="C25" s="3" t="s">
        <v>40</v>
      </c>
      <c r="D25" s="35" t="s">
        <v>211</v>
      </c>
      <c r="E25" s="1" t="str">
        <f>INDEX(EventCard!$3:$3,1,($A25*6)-2+E$2)</f>
        <v xml:space="preserve">Required 
 </v>
      </c>
      <c r="F25" s="1" t="str">
        <f>INDEX(EventCard!$3:$3,1,($A25*6)-2+F$2)</f>
        <v xml:space="preserve">Effects
 </v>
      </c>
      <c r="G25" s="1" t="str">
        <f>INDEX(EventCard!$3:$3,1,($A25*6)-2+G$2)</f>
        <v xml:space="preserve">Effs. %
 </v>
      </c>
      <c r="H25" s="1" t="str">
        <f>INDEX(EventCard!$3:$3,1,($A25*6)-2+H$2)</f>
        <v xml:space="preserve">Extra cond
 </v>
      </c>
      <c r="I25" s="1" t="str">
        <f>INDEX(EventCard!$3:$3,1,($A25*6)-2+I$2)</f>
        <v xml:space="preserve">E Effs
 </v>
      </c>
      <c r="J25" s="1" t="str">
        <f>INDEX(EventCard!$3:$3,1,($A25*6)-2+J$2)</f>
        <v xml:space="preserve">E Effs%
 </v>
      </c>
    </row>
    <row r="26" spans="1:10">
      <c r="A26">
        <v>23</v>
      </c>
      <c r="B26" s="1" t="str">
        <f>INDEX(EventCard!$2:$2,1,($A26*6)-2)</f>
        <v>Hosting intensive tech seminars (web and mobile service)</v>
      </c>
      <c r="C26" s="3" t="s">
        <v>41</v>
      </c>
      <c r="D26" s="35" t="s">
        <v>211</v>
      </c>
      <c r="E26" s="1" t="str">
        <f>INDEX(EventCard!$3:$3,1,($A26*6)-2+E$2)</f>
        <v xml:space="preserve">Required 
 </v>
      </c>
      <c r="F26" s="1" t="str">
        <f>INDEX(EventCard!$3:$3,1,($A26*6)-2+F$2)</f>
        <v xml:space="preserve">Effects
 </v>
      </c>
      <c r="G26" s="1" t="str">
        <f>INDEX(EventCard!$3:$3,1,($A26*6)-2+G$2)</f>
        <v xml:space="preserve">Effs. %
 </v>
      </c>
      <c r="H26" s="1" t="str">
        <f>INDEX(EventCard!$3:$3,1,($A26*6)-2+H$2)</f>
        <v xml:space="preserve">Extra cond
 </v>
      </c>
      <c r="I26" s="1" t="str">
        <f>INDEX(EventCard!$3:$3,1,($A26*6)-2+I$2)</f>
        <v xml:space="preserve">E Effs
 </v>
      </c>
      <c r="J26" s="1" t="str">
        <f>INDEX(EventCard!$3:$3,1,($A26*6)-2+J$2)</f>
        <v xml:space="preserve">E Effs%
 </v>
      </c>
    </row>
    <row r="27" spans="1:10">
      <c r="A27">
        <v>24</v>
      </c>
      <c r="B27" s="1" t="str">
        <f>INDEX(EventCard!$2:$2,1,($A27*6)-2)</f>
        <v>Hosting intensive tech seminars (IoT)</v>
      </c>
      <c r="C27" s="3" t="s">
        <v>42</v>
      </c>
      <c r="D27" s="35" t="s">
        <v>211</v>
      </c>
      <c r="E27" s="1" t="str">
        <f>INDEX(EventCard!$3:$3,1,($A27*6)-2+E$2)</f>
        <v xml:space="preserve">Required 
 </v>
      </c>
      <c r="F27" s="1" t="str">
        <f>INDEX(EventCard!$3:$3,1,($A27*6)-2+F$2)</f>
        <v xml:space="preserve">Effects
 </v>
      </c>
      <c r="G27" s="1" t="str">
        <f>INDEX(EventCard!$3:$3,1,($A27*6)-2+G$2)</f>
        <v xml:space="preserve">Effs. %
 </v>
      </c>
      <c r="H27" s="1" t="str">
        <f>INDEX(EventCard!$3:$3,1,($A27*6)-2+H$2)</f>
        <v xml:space="preserve">Extra cond
 </v>
      </c>
      <c r="I27" s="1" t="str">
        <f>INDEX(EventCard!$3:$3,1,($A27*6)-2+I$2)</f>
        <v xml:space="preserve">E Effs
 </v>
      </c>
      <c r="J27" s="1" t="str">
        <f>INDEX(EventCard!$3:$3,1,($A27*6)-2+J$2)</f>
        <v xml:space="preserve">E Effs%
 </v>
      </c>
    </row>
    <row r="28" spans="1:10">
      <c r="A28">
        <v>25</v>
      </c>
      <c r="B28" s="1" t="str">
        <f>INDEX(EventCard!$2:$2,1,($A28*6)-2)</f>
        <v>Hosting intensive tech seminars (AI)</v>
      </c>
      <c r="C28" s="3" t="s">
        <v>43</v>
      </c>
      <c r="D28" s="35" t="s">
        <v>211</v>
      </c>
      <c r="E28" s="1" t="str">
        <f>INDEX(EventCard!$3:$3,1,($A28*6)-2+E$2)</f>
        <v xml:space="preserve">Required 
 </v>
      </c>
      <c r="F28" s="1" t="str">
        <f>INDEX(EventCard!$3:$3,1,($A28*6)-2+F$2)</f>
        <v xml:space="preserve">Effects
 </v>
      </c>
      <c r="G28" s="1" t="str">
        <f>INDEX(EventCard!$3:$3,1,($A28*6)-2+G$2)</f>
        <v xml:space="preserve">Effs. %
 </v>
      </c>
      <c r="H28" s="1" t="str">
        <f>INDEX(EventCard!$3:$3,1,($A28*6)-2+H$2)</f>
        <v xml:space="preserve">Extra cond
 </v>
      </c>
      <c r="I28" s="1" t="str">
        <f>INDEX(EventCard!$3:$3,1,($A28*6)-2+I$2)</f>
        <v xml:space="preserve">E Effs
 </v>
      </c>
      <c r="J28" s="1" t="str">
        <f>INDEX(EventCard!$3:$3,1,($A28*6)-2+J$2)</f>
        <v xml:space="preserve">E Effs%
 </v>
      </c>
    </row>
    <row r="29" spans="1:10">
      <c r="A29">
        <v>26</v>
      </c>
      <c r="B29" s="1" t="str">
        <f>INDEX(EventCard!$2:$2,1,($A29*6)-2)</f>
        <v>Hosting intensive tech seminars (fintech)</v>
      </c>
      <c r="C29" s="3" t="s">
        <v>44</v>
      </c>
      <c r="D29" s="35" t="s">
        <v>211</v>
      </c>
      <c r="E29" s="1" t="str">
        <f>INDEX(EventCard!$3:$3,1,($A29*6)-2+E$2)</f>
        <v xml:space="preserve">Required 
 </v>
      </c>
      <c r="F29" s="1" t="str">
        <f>INDEX(EventCard!$3:$3,1,($A29*6)-2+F$2)</f>
        <v xml:space="preserve">Effects
 </v>
      </c>
      <c r="G29" s="1" t="str">
        <f>INDEX(EventCard!$3:$3,1,($A29*6)-2+G$2)</f>
        <v xml:space="preserve">Effs. %
 </v>
      </c>
      <c r="H29" s="1" t="str">
        <f>INDEX(EventCard!$3:$3,1,($A29*6)-2+H$2)</f>
        <v xml:space="preserve">Extra cond
 </v>
      </c>
      <c r="I29" s="1" t="str">
        <f>INDEX(EventCard!$3:$3,1,($A29*6)-2+I$2)</f>
        <v xml:space="preserve">E Effs
 </v>
      </c>
      <c r="J29" s="1" t="str">
        <f>INDEX(EventCard!$3:$3,1,($A29*6)-2+J$2)</f>
        <v xml:space="preserve">E Effs%
 </v>
      </c>
    </row>
    <row r="30" spans="1:10">
      <c r="A30">
        <v>27</v>
      </c>
      <c r="B30" s="1" t="str">
        <f>INDEX(EventCard!$2:$2,1,($A30*6)-2)</f>
        <v>Hosting intensive tech seminars (health tech)</v>
      </c>
      <c r="C30" s="3" t="s">
        <v>45</v>
      </c>
      <c r="D30" s="35" t="s">
        <v>211</v>
      </c>
      <c r="E30" s="1" t="str">
        <f>INDEX(EventCard!$3:$3,1,($A30*6)-2+E$2)</f>
        <v xml:space="preserve">Required 
 </v>
      </c>
      <c r="F30" s="1" t="str">
        <f>INDEX(EventCard!$3:$3,1,($A30*6)-2+F$2)</f>
        <v xml:space="preserve">Effects
 </v>
      </c>
      <c r="G30" s="1" t="str">
        <f>INDEX(EventCard!$3:$3,1,($A30*6)-2+G$2)</f>
        <v xml:space="preserve">Effs. %
 </v>
      </c>
      <c r="H30" s="1" t="str">
        <f>INDEX(EventCard!$3:$3,1,($A30*6)-2+H$2)</f>
        <v xml:space="preserve">Extra cond
 </v>
      </c>
      <c r="I30" s="1" t="str">
        <f>INDEX(EventCard!$3:$3,1,($A30*6)-2+I$2)</f>
        <v xml:space="preserve">E Effs
 </v>
      </c>
      <c r="J30" s="1" t="str">
        <f>INDEX(EventCard!$3:$3,1,($A30*6)-2+J$2)</f>
        <v xml:space="preserve">E Effs%
 </v>
      </c>
    </row>
    <row r="31" spans="1:10">
      <c r="A31">
        <v>28</v>
      </c>
      <c r="B31" s="1" t="str">
        <f>INDEX(EventCard!$2:$2,1,($A31*6)-2)</f>
        <v>Hosting intensive tech seminars (materials processing)</v>
      </c>
      <c r="C31" s="3" t="s">
        <v>46</v>
      </c>
      <c r="D31" s="35" t="s">
        <v>211</v>
      </c>
      <c r="E31" s="1" t="str">
        <f>INDEX(EventCard!$3:$3,1,($A31*6)-2+E$2)</f>
        <v xml:space="preserve">Required 
 </v>
      </c>
      <c r="F31" s="1" t="str">
        <f>INDEX(EventCard!$3:$3,1,($A31*6)-2+F$2)</f>
        <v xml:space="preserve">Effects
 </v>
      </c>
      <c r="G31" s="1" t="str">
        <f>INDEX(EventCard!$3:$3,1,($A31*6)-2+G$2)</f>
        <v xml:space="preserve">Effs. %
 </v>
      </c>
      <c r="H31" s="1" t="str">
        <f>INDEX(EventCard!$3:$3,1,($A31*6)-2+H$2)</f>
        <v xml:space="preserve">Extra cond
 </v>
      </c>
      <c r="I31" s="1" t="str">
        <f>INDEX(EventCard!$3:$3,1,($A31*6)-2+I$2)</f>
        <v xml:space="preserve">E Effs
 </v>
      </c>
      <c r="J31" s="1" t="str">
        <f>INDEX(EventCard!$3:$3,1,($A31*6)-2+J$2)</f>
        <v xml:space="preserve">E Effs%
 </v>
      </c>
    </row>
    <row r="32" spans="1:10">
      <c r="A32">
        <v>29</v>
      </c>
      <c r="B32" s="1" t="str">
        <f>INDEX(EventCard!$2:$2,1,($A32*6)-2)</f>
        <v>Hosting intensive tech seminars (ed tech)</v>
      </c>
      <c r="C32" s="3" t="s">
        <v>47</v>
      </c>
      <c r="D32" s="35" t="s">
        <v>211</v>
      </c>
      <c r="E32" s="1" t="str">
        <f>INDEX(EventCard!$3:$3,1,($A32*6)-2+E$2)</f>
        <v xml:space="preserve">Required 
 </v>
      </c>
      <c r="F32" s="1" t="str">
        <f>INDEX(EventCard!$3:$3,1,($A32*6)-2+F$2)</f>
        <v xml:space="preserve">Effects
 </v>
      </c>
      <c r="G32" s="1" t="str">
        <f>INDEX(EventCard!$3:$3,1,($A32*6)-2+G$2)</f>
        <v xml:space="preserve">Effs. %
 </v>
      </c>
      <c r="H32" s="1" t="str">
        <f>INDEX(EventCard!$3:$3,1,($A32*6)-2+H$2)</f>
        <v xml:space="preserve">Extra cond
 </v>
      </c>
      <c r="I32" s="1" t="str">
        <f>INDEX(EventCard!$3:$3,1,($A32*6)-2+I$2)</f>
        <v xml:space="preserve">E Effs
 </v>
      </c>
      <c r="J32" s="1" t="str">
        <f>INDEX(EventCard!$3:$3,1,($A32*6)-2+J$2)</f>
        <v xml:space="preserve">E Effs%
 </v>
      </c>
    </row>
    <row r="33" spans="1:10">
      <c r="A33">
        <v>30</v>
      </c>
      <c r="B33" s="1" t="str">
        <f>INDEX(EventCard!$2:$2,1,($A33*6)-2)</f>
        <v>Hosting intensive tech seminars (agri tech)</v>
      </c>
      <c r="C33" s="3" t="s">
        <v>48</v>
      </c>
      <c r="D33" s="35" t="s">
        <v>211</v>
      </c>
      <c r="E33" s="1" t="str">
        <f>INDEX(EventCard!$3:$3,1,($A33*6)-2+E$2)</f>
        <v xml:space="preserve">Required 
 </v>
      </c>
      <c r="F33" s="1" t="str">
        <f>INDEX(EventCard!$3:$3,1,($A33*6)-2+F$2)</f>
        <v xml:space="preserve">Effects
 </v>
      </c>
      <c r="G33" s="1" t="str">
        <f>INDEX(EventCard!$3:$3,1,($A33*6)-2+G$2)</f>
        <v xml:space="preserve">Effs. %
 </v>
      </c>
      <c r="H33" s="1" t="str">
        <f>INDEX(EventCard!$3:$3,1,($A33*6)-2+H$2)</f>
        <v xml:space="preserve">Extra cond
 </v>
      </c>
      <c r="I33" s="1" t="str">
        <f>INDEX(EventCard!$3:$3,1,($A33*6)-2+I$2)</f>
        <v xml:space="preserve">E Effs
 </v>
      </c>
      <c r="J33" s="1" t="str">
        <f>INDEX(EventCard!$3:$3,1,($A33*6)-2+J$2)</f>
        <v xml:space="preserve">E Effs%
 </v>
      </c>
    </row>
    <row r="34" spans="1:10">
      <c r="A34">
        <v>31</v>
      </c>
      <c r="B34" s="1" t="str">
        <f>INDEX(EventCard!$2:$2,1,($A34*6)-2)</f>
        <v>Hosting intensive tech seminars (smart home appliances)</v>
      </c>
      <c r="C34" s="3" t="s">
        <v>49</v>
      </c>
      <c r="D34" s="35" t="s">
        <v>211</v>
      </c>
      <c r="E34" s="1" t="str">
        <f>INDEX(EventCard!$3:$3,1,($A34*6)-2+E$2)</f>
        <v xml:space="preserve">Required 
 </v>
      </c>
      <c r="F34" s="1" t="str">
        <f>INDEX(EventCard!$3:$3,1,($A34*6)-2+F$2)</f>
        <v xml:space="preserve">Effects
 </v>
      </c>
      <c r="G34" s="1" t="str">
        <f>INDEX(EventCard!$3:$3,1,($A34*6)-2+G$2)</f>
        <v xml:space="preserve">Effs. %
 </v>
      </c>
      <c r="H34" s="1" t="str">
        <f>INDEX(EventCard!$3:$3,1,($A34*6)-2+H$2)</f>
        <v xml:space="preserve">Extra cond
 </v>
      </c>
      <c r="I34" s="1" t="str">
        <f>INDEX(EventCard!$3:$3,1,($A34*6)-2+I$2)</f>
        <v xml:space="preserve">E Effs
 </v>
      </c>
      <c r="J34" s="1" t="str">
        <f>INDEX(EventCard!$3:$3,1,($A34*6)-2+J$2)</f>
        <v xml:space="preserve">E Effs%
 </v>
      </c>
    </row>
    <row r="35" spans="1:10">
      <c r="A35">
        <v>32</v>
      </c>
      <c r="B35" s="1" t="str">
        <f>INDEX(EventCard!$2:$2,1,($A35*6)-2)</f>
        <v>Hosting letensive tech seminars (smart office furnitures)</v>
      </c>
      <c r="C35" s="3" t="s">
        <v>50</v>
      </c>
      <c r="D35" s="35" t="s">
        <v>211</v>
      </c>
      <c r="E35" s="1" t="str">
        <f>INDEX(EventCard!$3:$3,1,($A35*6)-2+E$2)</f>
        <v xml:space="preserve">Required 
 </v>
      </c>
      <c r="F35" s="1" t="str">
        <f>INDEX(EventCard!$3:$3,1,($A35*6)-2+F$2)</f>
        <v xml:space="preserve">Effects
 </v>
      </c>
      <c r="G35" s="1" t="str">
        <f>INDEX(EventCard!$3:$3,1,($A35*6)-2+G$2)</f>
        <v xml:space="preserve">Effs. %
 </v>
      </c>
      <c r="H35" s="1" t="str">
        <f>INDEX(EventCard!$3:$3,1,($A35*6)-2+H$2)</f>
        <v xml:space="preserve">Extra cond
 </v>
      </c>
      <c r="I35" s="1" t="str">
        <f>INDEX(EventCard!$3:$3,1,($A35*6)-2+I$2)</f>
        <v xml:space="preserve">E Effs
 </v>
      </c>
      <c r="J35" s="1" t="str">
        <f>INDEX(EventCard!$3:$3,1,($A35*6)-2+J$2)</f>
        <v xml:space="preserve">E Effs%
 </v>
      </c>
    </row>
    <row r="36" spans="1:10">
      <c r="A36">
        <v>33</v>
      </c>
      <c r="B36" s="1" t="str">
        <f>INDEX(EventCard!$2:$2,1,($A36*6)-2)</f>
        <v>Hosting intensive tech seminars (User Interface&amp; User Experience)</v>
      </c>
      <c r="C36" s="3" t="s">
        <v>51</v>
      </c>
      <c r="D36" s="35" t="s">
        <v>211</v>
      </c>
      <c r="E36" s="1" t="str">
        <f>INDEX(EventCard!$3:$3,1,($A36*6)-2+E$2)</f>
        <v xml:space="preserve">Required 
 </v>
      </c>
      <c r="F36" s="1" t="str">
        <f>INDEX(EventCard!$3:$3,1,($A36*6)-2+F$2)</f>
        <v xml:space="preserve">Effects
 </v>
      </c>
      <c r="G36" s="1" t="str">
        <f>INDEX(EventCard!$3:$3,1,($A36*6)-2+G$2)</f>
        <v xml:space="preserve">Effs. %
 </v>
      </c>
      <c r="H36" s="1" t="str">
        <f>INDEX(EventCard!$3:$3,1,($A36*6)-2+H$2)</f>
        <v xml:space="preserve">Extra cond
 </v>
      </c>
      <c r="I36" s="1" t="str">
        <f>INDEX(EventCard!$3:$3,1,($A36*6)-2+I$2)</f>
        <v xml:space="preserve">E Effs
 </v>
      </c>
      <c r="J36" s="1" t="str">
        <f>INDEX(EventCard!$3:$3,1,($A36*6)-2+J$2)</f>
        <v xml:space="preserve">E Effs%
 </v>
      </c>
    </row>
    <row r="37" spans="1:10">
      <c r="A37">
        <v>34</v>
      </c>
      <c r="B37" s="1" t="str">
        <f>INDEX(EventCard!$2:$2,1,($A37*6)-2)</f>
        <v>Organizing an innovation contest (mobile app)</v>
      </c>
      <c r="C37" s="3" t="s">
        <v>52</v>
      </c>
      <c r="D37" s="35" t="s">
        <v>211</v>
      </c>
      <c r="E37" s="1" t="str">
        <f>INDEX(EventCard!$3:$3,1,($A37*6)-2+E$2)</f>
        <v xml:space="preserve">Required 
 </v>
      </c>
      <c r="F37" s="1" t="str">
        <f>INDEX(EventCard!$3:$3,1,($A37*6)-2+F$2)</f>
        <v xml:space="preserve">Effects
 </v>
      </c>
      <c r="G37" s="1" t="str">
        <f>INDEX(EventCard!$3:$3,1,($A37*6)-2+G$2)</f>
        <v xml:space="preserve">Effs. %
 </v>
      </c>
      <c r="H37" s="1" t="str">
        <f>INDEX(EventCard!$3:$3,1,($A37*6)-2+H$2)</f>
        <v xml:space="preserve">Extra cond
 </v>
      </c>
      <c r="I37" s="1" t="str">
        <f>INDEX(EventCard!$3:$3,1,($A37*6)-2+I$2)</f>
        <v xml:space="preserve">E Effs
 </v>
      </c>
      <c r="J37" s="1" t="str">
        <f>INDEX(EventCard!$3:$3,1,($A37*6)-2+J$2)</f>
        <v xml:space="preserve">E Effs%
 </v>
      </c>
    </row>
    <row r="38" spans="1:10">
      <c r="A38">
        <v>35</v>
      </c>
      <c r="B38" s="1">
        <f>INDEX(EventCard!$2:$2,1,($A38*6)-2)</f>
        <v>0</v>
      </c>
      <c r="C38" s="3" t="s">
        <v>53</v>
      </c>
      <c r="D38" s="35" t="s">
        <v>211</v>
      </c>
      <c r="E38" s="1" t="str">
        <f>INDEX(EventCard!$3:$3,1,($A38*6)-2+E$2)</f>
        <v xml:space="preserve">Required 
 </v>
      </c>
      <c r="F38" s="1" t="str">
        <f>INDEX(EventCard!$3:$3,1,($A38*6)-2+F$2)</f>
        <v xml:space="preserve">Effects
 </v>
      </c>
      <c r="G38" s="1" t="str">
        <f>INDEX(EventCard!$3:$3,1,($A38*6)-2+G$2)</f>
        <v xml:space="preserve">Effs. %
 </v>
      </c>
      <c r="H38" s="1" t="str">
        <f>INDEX(EventCard!$3:$3,1,($A38*6)-2+H$2)</f>
        <v xml:space="preserve">Extra cond
 </v>
      </c>
      <c r="I38" s="1" t="str">
        <f>INDEX(EventCard!$3:$3,1,($A38*6)-2+I$2)</f>
        <v xml:space="preserve">E Effs
 </v>
      </c>
      <c r="J38" s="1" t="str">
        <f>INDEX(EventCard!$3:$3,1,($A38*6)-2+J$2)</f>
        <v xml:space="preserve">E Effs%
 </v>
      </c>
    </row>
    <row r="39" spans="1:10">
      <c r="A39">
        <v>36</v>
      </c>
      <c r="B39" s="1">
        <f>INDEX(EventCard!$2:$2,1,($A39*6)-2)</f>
        <v>0</v>
      </c>
      <c r="C39" s="3" t="s">
        <v>54</v>
      </c>
      <c r="D39" s="35" t="s">
        <v>211</v>
      </c>
      <c r="E39" s="1" t="str">
        <f>INDEX(EventCard!$3:$3,1,($A39*6)-2+E$2)</f>
        <v xml:space="preserve">Required 
 </v>
      </c>
      <c r="F39" s="1" t="str">
        <f>INDEX(EventCard!$3:$3,1,($A39*6)-2+F$2)</f>
        <v xml:space="preserve">Effects
 </v>
      </c>
      <c r="G39" s="1" t="str">
        <f>INDEX(EventCard!$3:$3,1,($A39*6)-2+G$2)</f>
        <v xml:space="preserve">Effs. %
 </v>
      </c>
      <c r="H39" s="1" t="str">
        <f>INDEX(EventCard!$3:$3,1,($A39*6)-2+H$2)</f>
        <v xml:space="preserve">Extra cond
 </v>
      </c>
      <c r="I39" s="1" t="str">
        <f>INDEX(EventCard!$3:$3,1,($A39*6)-2+I$2)</f>
        <v xml:space="preserve">E Effs
 </v>
      </c>
      <c r="J39" s="1" t="str">
        <f>INDEX(EventCard!$3:$3,1,($A39*6)-2+J$2)</f>
        <v xml:space="preserve">E Effs%
 </v>
      </c>
    </row>
    <row r="40" spans="1:10">
      <c r="A40">
        <v>37</v>
      </c>
      <c r="B40" s="1">
        <f>INDEX(EventCard!$2:$2,1,($A40*6)-2)</f>
        <v>0</v>
      </c>
      <c r="C40" s="3" t="s">
        <v>55</v>
      </c>
      <c r="D40" s="35" t="s">
        <v>211</v>
      </c>
      <c r="E40" s="1" t="str">
        <f>INDEX(EventCard!$3:$3,1,($A40*6)-2+E$2)</f>
        <v xml:space="preserve">Required 
 </v>
      </c>
      <c r="F40" s="1" t="str">
        <f>INDEX(EventCard!$3:$3,1,($A40*6)-2+F$2)</f>
        <v xml:space="preserve">Effects
 </v>
      </c>
      <c r="G40" s="1" t="str">
        <f>INDEX(EventCard!$3:$3,1,($A40*6)-2+G$2)</f>
        <v xml:space="preserve">Effs. %
 </v>
      </c>
      <c r="H40" s="1" t="str">
        <f>INDEX(EventCard!$3:$3,1,($A40*6)-2+H$2)</f>
        <v xml:space="preserve">Extra cond
 </v>
      </c>
      <c r="I40" s="1" t="str">
        <f>INDEX(EventCard!$3:$3,1,($A40*6)-2+I$2)</f>
        <v xml:space="preserve">E Effs
 </v>
      </c>
      <c r="J40" s="1" t="str">
        <f>INDEX(EventCard!$3:$3,1,($A40*6)-2+J$2)</f>
        <v xml:space="preserve">E Effs%
 </v>
      </c>
    </row>
    <row r="41" spans="1:10">
      <c r="A41">
        <v>38</v>
      </c>
      <c r="B41" s="1">
        <f>INDEX(EventCard!$2:$2,1,($A41*6)-2)</f>
        <v>0</v>
      </c>
      <c r="C41" s="3" t="s">
        <v>56</v>
      </c>
      <c r="D41" s="35" t="s">
        <v>211</v>
      </c>
      <c r="E41" s="1">
        <f>INDEX(EventCard!$3:$3,1,($A41*6)-2+E$2)</f>
        <v>0</v>
      </c>
      <c r="F41" s="1">
        <f>INDEX(EventCard!$3:$3,1,($A41*6)-2+F$2)</f>
        <v>0</v>
      </c>
      <c r="G41" s="1">
        <f>INDEX(EventCard!$3:$3,1,($A41*6)-2+G$2)</f>
        <v>0</v>
      </c>
      <c r="H41" s="1">
        <f>INDEX(EventCard!$3:$3,1,($A41*6)-2+H$2)</f>
        <v>0</v>
      </c>
      <c r="I41" s="1">
        <f>INDEX(EventCard!$3:$3,1,($A41*6)-2+I$2)</f>
        <v>0</v>
      </c>
      <c r="J41" s="1">
        <f>INDEX(EventCard!$3:$3,1,($A41*6)-2+J$2)</f>
        <v>0</v>
      </c>
    </row>
    <row r="42" spans="1:10">
      <c r="A42">
        <v>39</v>
      </c>
      <c r="B42" s="1">
        <f>INDEX(EventCard!$2:$2,1,($A42*6)-2)</f>
        <v>0</v>
      </c>
      <c r="C42" s="3" t="s">
        <v>57</v>
      </c>
      <c r="D42" s="35" t="s">
        <v>211</v>
      </c>
      <c r="E42" s="1">
        <f>INDEX(EventCard!$3:$3,1,($A42*6)-2+E$2)</f>
        <v>0</v>
      </c>
      <c r="F42" s="1">
        <f>INDEX(EventCard!$3:$3,1,($A42*6)-2+F$2)</f>
        <v>0</v>
      </c>
      <c r="G42" s="1">
        <f>INDEX(EventCard!$3:$3,1,($A42*6)-2+G$2)</f>
        <v>0</v>
      </c>
      <c r="H42" s="1">
        <f>INDEX(EventCard!$3:$3,1,($A42*6)-2+H$2)</f>
        <v>0</v>
      </c>
      <c r="I42" s="1">
        <f>INDEX(EventCard!$3:$3,1,($A42*6)-2+I$2)</f>
        <v>0</v>
      </c>
      <c r="J42" s="1">
        <f>INDEX(EventCard!$3:$3,1,($A42*6)-2+J$2)</f>
        <v>0</v>
      </c>
    </row>
    <row r="43" spans="1:10">
      <c r="A43">
        <v>40</v>
      </c>
      <c r="B43" s="1">
        <f>INDEX(EventCard!$2:$2,1,($A43*6)-2)</f>
        <v>0</v>
      </c>
      <c r="C43" s="3" t="s">
        <v>58</v>
      </c>
      <c r="D43" s="35" t="s">
        <v>211</v>
      </c>
      <c r="E43" s="1">
        <f>INDEX(EventCard!$3:$3,1,($A43*6)-2+E$2)</f>
        <v>0</v>
      </c>
      <c r="F43" s="1">
        <f>INDEX(EventCard!$3:$3,1,($A43*6)-2+F$2)</f>
        <v>0</v>
      </c>
      <c r="G43" s="1">
        <f>INDEX(EventCard!$3:$3,1,($A43*6)-2+G$2)</f>
        <v>0</v>
      </c>
      <c r="H43" s="1">
        <f>INDEX(EventCard!$3:$3,1,($A43*6)-2+H$2)</f>
        <v>0</v>
      </c>
      <c r="I43" s="1">
        <f>INDEX(EventCard!$3:$3,1,($A43*6)-2+I$2)</f>
        <v>0</v>
      </c>
      <c r="J43" s="1">
        <f>INDEX(EventCard!$3:$3,1,($A43*6)-2+J$2)</f>
        <v>0</v>
      </c>
    </row>
    <row r="44" spans="1:10">
      <c r="A44">
        <v>41</v>
      </c>
      <c r="B44" s="1">
        <f>INDEX(EventCard!$2:$2,1,($A44*6)-2)</f>
        <v>0</v>
      </c>
      <c r="C44" s="3" t="s">
        <v>59</v>
      </c>
      <c r="D44" s="35" t="s">
        <v>211</v>
      </c>
      <c r="E44" s="1">
        <f>INDEX(EventCard!$3:$3,1,($A44*6)-2+E$2)</f>
        <v>0</v>
      </c>
      <c r="F44" s="1">
        <f>INDEX(EventCard!$3:$3,1,($A44*6)-2+F$2)</f>
        <v>0</v>
      </c>
      <c r="G44" s="1">
        <f>INDEX(EventCard!$3:$3,1,($A44*6)-2+G$2)</f>
        <v>0</v>
      </c>
      <c r="H44" s="1">
        <f>INDEX(EventCard!$3:$3,1,($A44*6)-2+H$2)</f>
        <v>0</v>
      </c>
      <c r="I44" s="1">
        <f>INDEX(EventCard!$3:$3,1,($A44*6)-2+I$2)</f>
        <v>0</v>
      </c>
      <c r="J44" s="1">
        <f>INDEX(EventCard!$3:$3,1,($A44*6)-2+J$2)</f>
        <v>0</v>
      </c>
    </row>
    <row r="45" spans="1:10">
      <c r="A45">
        <v>42</v>
      </c>
      <c r="B45" s="1">
        <f>INDEX(EventCard!$2:$2,1,($A45*6)-2)</f>
        <v>0</v>
      </c>
      <c r="C45" s="3" t="s">
        <v>60</v>
      </c>
      <c r="D45" s="35" t="s">
        <v>211</v>
      </c>
      <c r="E45" s="1">
        <f>INDEX(EventCard!$3:$3,1,($A45*6)-2+E$2)</f>
        <v>0</v>
      </c>
      <c r="F45" s="1">
        <f>INDEX(EventCard!$3:$3,1,($A45*6)-2+F$2)</f>
        <v>0</v>
      </c>
      <c r="G45" s="1">
        <f>INDEX(EventCard!$3:$3,1,($A45*6)-2+G$2)</f>
        <v>0</v>
      </c>
      <c r="H45" s="1">
        <f>INDEX(EventCard!$3:$3,1,($A45*6)-2+H$2)</f>
        <v>0</v>
      </c>
      <c r="I45" s="1">
        <f>INDEX(EventCard!$3:$3,1,($A45*6)-2+I$2)</f>
        <v>0</v>
      </c>
      <c r="J45" s="1">
        <f>INDEX(EventCard!$3:$3,1,($A45*6)-2+J$2)</f>
        <v>0</v>
      </c>
    </row>
    <row r="46" spans="1:10">
      <c r="A46">
        <v>43</v>
      </c>
      <c r="B46" s="1">
        <f>INDEX(EventCard!$2:$2,1,($A46*6)-2)</f>
        <v>0</v>
      </c>
      <c r="C46" s="3" t="s">
        <v>61</v>
      </c>
      <c r="D46" s="35" t="s">
        <v>211</v>
      </c>
      <c r="E46" s="1">
        <f>INDEX(EventCard!$3:$3,1,($A46*6)-2+E$2)</f>
        <v>0</v>
      </c>
      <c r="F46" s="1">
        <f>INDEX(EventCard!$3:$3,1,($A46*6)-2+F$2)</f>
        <v>0</v>
      </c>
      <c r="G46" s="1">
        <f>INDEX(EventCard!$3:$3,1,($A46*6)-2+G$2)</f>
        <v>0</v>
      </c>
      <c r="H46" s="1">
        <f>INDEX(EventCard!$3:$3,1,($A46*6)-2+H$2)</f>
        <v>0</v>
      </c>
      <c r="I46" s="1">
        <f>INDEX(EventCard!$3:$3,1,($A46*6)-2+I$2)</f>
        <v>0</v>
      </c>
      <c r="J46" s="1">
        <f>INDEX(EventCard!$3:$3,1,($A46*6)-2+J$2)</f>
        <v>0</v>
      </c>
    </row>
    <row r="47" spans="1:10">
      <c r="A47">
        <v>44</v>
      </c>
      <c r="B47" s="1">
        <f>INDEX(EventCard!$2:$2,1,($A47*6)-2)</f>
        <v>0</v>
      </c>
      <c r="C47" s="3" t="s">
        <v>62</v>
      </c>
      <c r="D47" s="35" t="s">
        <v>211</v>
      </c>
      <c r="E47" s="1">
        <f>INDEX(EventCard!$3:$3,1,($A47*6)-2+E$2)</f>
        <v>0</v>
      </c>
      <c r="F47" s="1">
        <f>INDEX(EventCard!$3:$3,1,($A47*6)-2+F$2)</f>
        <v>0</v>
      </c>
      <c r="G47" s="1">
        <f>INDEX(EventCard!$3:$3,1,($A47*6)-2+G$2)</f>
        <v>0</v>
      </c>
      <c r="H47" s="1">
        <f>INDEX(EventCard!$3:$3,1,($A47*6)-2+H$2)</f>
        <v>0</v>
      </c>
      <c r="I47" s="1">
        <f>INDEX(EventCard!$3:$3,1,($A47*6)-2+I$2)</f>
        <v>0</v>
      </c>
      <c r="J47" s="1">
        <f>INDEX(EventCard!$3:$3,1,($A47*6)-2+J$2)</f>
        <v>0</v>
      </c>
    </row>
    <row r="48" spans="1:10">
      <c r="A48">
        <v>45</v>
      </c>
      <c r="B48" s="1">
        <f>INDEX(EventCard!$2:$2,1,($A48*6)-2)</f>
        <v>0</v>
      </c>
      <c r="C48" s="3" t="s">
        <v>63</v>
      </c>
      <c r="D48" s="35" t="s">
        <v>211</v>
      </c>
      <c r="E48" s="1">
        <f>INDEX(EventCard!$3:$3,1,($A48*6)-2+E$2)</f>
        <v>0</v>
      </c>
      <c r="F48" s="1">
        <f>INDEX(EventCard!$3:$3,1,($A48*6)-2+F$2)</f>
        <v>0</v>
      </c>
      <c r="G48" s="1">
        <f>INDEX(EventCard!$3:$3,1,($A48*6)-2+G$2)</f>
        <v>0</v>
      </c>
      <c r="H48" s="1">
        <f>INDEX(EventCard!$3:$3,1,($A48*6)-2+H$2)</f>
        <v>0</v>
      </c>
      <c r="I48" s="1">
        <f>INDEX(EventCard!$3:$3,1,($A48*6)-2+I$2)</f>
        <v>0</v>
      </c>
      <c r="J48" s="1">
        <f>INDEX(EventCard!$3:$3,1,($A48*6)-2+J$2)</f>
        <v>0</v>
      </c>
    </row>
    <row r="49" spans="1:10">
      <c r="A49">
        <v>46</v>
      </c>
      <c r="B49" s="1">
        <f>INDEX(EventCard!$2:$2,1,($A49*6)-2)</f>
        <v>0</v>
      </c>
      <c r="C49" s="3" t="s">
        <v>64</v>
      </c>
      <c r="D49" s="35" t="s">
        <v>211</v>
      </c>
      <c r="E49" s="1">
        <f>INDEX(EventCard!$3:$3,1,($A49*6)-2+E$2)</f>
        <v>0</v>
      </c>
      <c r="F49" s="1">
        <f>INDEX(EventCard!$3:$3,1,($A49*6)-2+F$2)</f>
        <v>0</v>
      </c>
      <c r="G49" s="1">
        <f>INDEX(EventCard!$3:$3,1,($A49*6)-2+G$2)</f>
        <v>0</v>
      </c>
      <c r="H49" s="1">
        <f>INDEX(EventCard!$3:$3,1,($A49*6)-2+H$2)</f>
        <v>0</v>
      </c>
      <c r="I49" s="1">
        <f>INDEX(EventCard!$3:$3,1,($A49*6)-2+I$2)</f>
        <v>0</v>
      </c>
      <c r="J49" s="1">
        <f>INDEX(EventCard!$3:$3,1,($A49*6)-2+J$2)</f>
        <v>0</v>
      </c>
    </row>
    <row r="50" spans="1:10">
      <c r="A50">
        <v>47</v>
      </c>
      <c r="B50" s="1">
        <f>INDEX(EventCard!$2:$2,1,($A50*6)-2)</f>
        <v>0</v>
      </c>
      <c r="C50" s="3" t="s">
        <v>65</v>
      </c>
      <c r="D50" s="35" t="s">
        <v>211</v>
      </c>
      <c r="E50" s="1">
        <f>INDEX(EventCard!$3:$3,1,($A50*6)-2+E$2)</f>
        <v>0</v>
      </c>
      <c r="F50" s="1">
        <f>INDEX(EventCard!$3:$3,1,($A50*6)-2+F$2)</f>
        <v>0</v>
      </c>
      <c r="G50" s="1">
        <f>INDEX(EventCard!$3:$3,1,($A50*6)-2+G$2)</f>
        <v>0</v>
      </c>
      <c r="H50" s="1">
        <f>INDEX(EventCard!$3:$3,1,($A50*6)-2+H$2)</f>
        <v>0</v>
      </c>
      <c r="I50" s="1">
        <f>INDEX(EventCard!$3:$3,1,($A50*6)-2+I$2)</f>
        <v>0</v>
      </c>
      <c r="J50" s="1">
        <f>INDEX(EventCard!$3:$3,1,($A50*6)-2+J$2)</f>
        <v>0</v>
      </c>
    </row>
    <row r="51" spans="1:10">
      <c r="A51">
        <v>48</v>
      </c>
      <c r="B51" s="1">
        <f>INDEX(EventCard!$2:$2,1,($A51*6)-2)</f>
        <v>0</v>
      </c>
      <c r="C51" s="3" t="s">
        <v>66</v>
      </c>
      <c r="D51" s="35" t="s">
        <v>211</v>
      </c>
      <c r="E51" s="1">
        <f>INDEX(EventCard!$3:$3,1,($A51*6)-2+E$2)</f>
        <v>0</v>
      </c>
      <c r="F51" s="1">
        <f>INDEX(EventCard!$3:$3,1,($A51*6)-2+F$2)</f>
        <v>0</v>
      </c>
      <c r="G51" s="1">
        <f>INDEX(EventCard!$3:$3,1,($A51*6)-2+G$2)</f>
        <v>0</v>
      </c>
      <c r="H51" s="1">
        <f>INDEX(EventCard!$3:$3,1,($A51*6)-2+H$2)</f>
        <v>0</v>
      </c>
      <c r="I51" s="1">
        <f>INDEX(EventCard!$3:$3,1,($A51*6)-2+I$2)</f>
        <v>0</v>
      </c>
      <c r="J51" s="1">
        <f>INDEX(EventCard!$3:$3,1,($A51*6)-2+J$2)</f>
        <v>0</v>
      </c>
    </row>
    <row r="52" spans="1:10">
      <c r="A52">
        <v>49</v>
      </c>
      <c r="B52" s="1">
        <f>INDEX(EventCard!$2:$2,1,($A52*6)-2)</f>
        <v>0</v>
      </c>
      <c r="C52" s="3" t="s">
        <v>67</v>
      </c>
      <c r="D52" s="35" t="s">
        <v>211</v>
      </c>
      <c r="E52" s="1">
        <f>INDEX(EventCard!$3:$3,1,($A52*6)-2+E$2)</f>
        <v>0</v>
      </c>
      <c r="F52" s="1">
        <f>INDEX(EventCard!$3:$3,1,($A52*6)-2+F$2)</f>
        <v>0</v>
      </c>
      <c r="G52" s="1">
        <f>INDEX(EventCard!$3:$3,1,($A52*6)-2+G$2)</f>
        <v>0</v>
      </c>
      <c r="H52" s="1">
        <f>INDEX(EventCard!$3:$3,1,($A52*6)-2+H$2)</f>
        <v>0</v>
      </c>
      <c r="I52" s="1">
        <f>INDEX(EventCard!$3:$3,1,($A52*6)-2+I$2)</f>
        <v>0</v>
      </c>
      <c r="J52" s="1">
        <f>INDEX(EventCard!$3:$3,1,($A52*6)-2+J$2)</f>
        <v>0</v>
      </c>
    </row>
    <row r="53" spans="1:10">
      <c r="A53">
        <v>50</v>
      </c>
      <c r="B53" s="1">
        <f>INDEX(EventCard!$2:$2,1,($A53*6)-2)</f>
        <v>0</v>
      </c>
      <c r="C53" s="3" t="s">
        <v>68</v>
      </c>
      <c r="D53" s="35" t="s">
        <v>211</v>
      </c>
      <c r="E53" s="1">
        <f>INDEX(EventCard!$3:$3,1,($A53*6)-2+E$2)</f>
        <v>0</v>
      </c>
      <c r="F53" s="1">
        <f>INDEX(EventCard!$3:$3,1,($A53*6)-2+F$2)</f>
        <v>0</v>
      </c>
      <c r="G53" s="1">
        <f>INDEX(EventCard!$3:$3,1,($A53*6)-2+G$2)</f>
        <v>0</v>
      </c>
      <c r="H53" s="1">
        <f>INDEX(EventCard!$3:$3,1,($A53*6)-2+H$2)</f>
        <v>0</v>
      </c>
      <c r="I53" s="1">
        <f>INDEX(EventCard!$3:$3,1,($A53*6)-2+I$2)</f>
        <v>0</v>
      </c>
      <c r="J53" s="1">
        <f>INDEX(EventCard!$3:$3,1,($A53*6)-2+J$2)</f>
        <v>0</v>
      </c>
    </row>
    <row r="54" spans="1:10">
      <c r="A54">
        <v>51</v>
      </c>
      <c r="B54" s="1">
        <f>INDEX(EventCard!$2:$2,1,($A54*6)-2)</f>
        <v>0</v>
      </c>
      <c r="C54" s="3" t="s">
        <v>69</v>
      </c>
      <c r="D54" s="35" t="s">
        <v>211</v>
      </c>
      <c r="E54" s="1">
        <f>INDEX(EventCard!$3:$3,1,($A54*6)-2+E$2)</f>
        <v>0</v>
      </c>
      <c r="F54" s="1">
        <f>INDEX(EventCard!$3:$3,1,($A54*6)-2+F$2)</f>
        <v>0</v>
      </c>
      <c r="G54" s="1">
        <f>INDEX(EventCard!$3:$3,1,($A54*6)-2+G$2)</f>
        <v>0</v>
      </c>
      <c r="H54" s="1">
        <f>INDEX(EventCard!$3:$3,1,($A54*6)-2+H$2)</f>
        <v>0</v>
      </c>
      <c r="I54" s="1">
        <f>INDEX(EventCard!$3:$3,1,($A54*6)-2+I$2)</f>
        <v>0</v>
      </c>
      <c r="J54" s="1">
        <f>INDEX(EventCard!$3:$3,1,($A54*6)-2+J$2)</f>
        <v>0</v>
      </c>
    </row>
    <row r="55" spans="1:10">
      <c r="A55">
        <v>52</v>
      </c>
      <c r="B55" s="1">
        <f>INDEX(EventCard!$2:$2,1,($A55*6)-2)</f>
        <v>0</v>
      </c>
      <c r="C55" s="3" t="s">
        <v>70</v>
      </c>
      <c r="D55" s="35" t="s">
        <v>211</v>
      </c>
      <c r="E55" s="1">
        <f>INDEX(EventCard!$3:$3,1,($A55*6)-2+E$2)</f>
        <v>0</v>
      </c>
      <c r="F55" s="1">
        <f>INDEX(EventCard!$3:$3,1,($A55*6)-2+F$2)</f>
        <v>0</v>
      </c>
      <c r="G55" s="1">
        <f>INDEX(EventCard!$3:$3,1,($A55*6)-2+G$2)</f>
        <v>0</v>
      </c>
      <c r="H55" s="1">
        <f>INDEX(EventCard!$3:$3,1,($A55*6)-2+H$2)</f>
        <v>0</v>
      </c>
      <c r="I55" s="1">
        <f>INDEX(EventCard!$3:$3,1,($A55*6)-2+I$2)</f>
        <v>0</v>
      </c>
      <c r="J55" s="1">
        <f>INDEX(EventCard!$3:$3,1,($A55*6)-2+J$2)</f>
        <v>0</v>
      </c>
    </row>
    <row r="56" spans="1:10">
      <c r="A56">
        <v>53</v>
      </c>
      <c r="B56" s="1">
        <f>INDEX(EventCard!$2:$2,1,($A56*6)-2)</f>
        <v>0</v>
      </c>
      <c r="C56" s="3" t="s">
        <v>71</v>
      </c>
      <c r="D56" s="35" t="s">
        <v>211</v>
      </c>
      <c r="E56" s="1">
        <f>INDEX(EventCard!$3:$3,1,($A56*6)-2+E$2)</f>
        <v>0</v>
      </c>
      <c r="F56" s="1">
        <f>INDEX(EventCard!$3:$3,1,($A56*6)-2+F$2)</f>
        <v>0</v>
      </c>
      <c r="G56" s="1">
        <f>INDEX(EventCard!$3:$3,1,($A56*6)-2+G$2)</f>
        <v>0</v>
      </c>
      <c r="H56" s="1">
        <f>INDEX(EventCard!$3:$3,1,($A56*6)-2+H$2)</f>
        <v>0</v>
      </c>
      <c r="I56" s="1">
        <f>INDEX(EventCard!$3:$3,1,($A56*6)-2+I$2)</f>
        <v>0</v>
      </c>
      <c r="J56" s="1">
        <f>INDEX(EventCard!$3:$3,1,($A56*6)-2+J$2)</f>
        <v>0</v>
      </c>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8C638-5100-4B7E-B31D-287E1F549117}">
  <sheetPr codeName="Sheet5">
    <outlinePr summaryBelow="0" summaryRight="0"/>
  </sheetPr>
  <dimension ref="A1:HQ219"/>
  <sheetViews>
    <sheetView workbookViewId="0">
      <selection activeCell="D14" sqref="D14"/>
    </sheetView>
  </sheetViews>
  <sheetFormatPr defaultColWidth="11.21875" defaultRowHeight="15.75" customHeight="1"/>
  <cols>
    <col min="1" max="1" width="2.6640625" style="7" customWidth="1"/>
    <col min="2" max="2" width="6" style="7" customWidth="1"/>
    <col min="3" max="3" width="22" style="7" customWidth="1"/>
    <col min="4" max="4" width="15.33203125" style="7" customWidth="1"/>
    <col min="5" max="5" width="5.21875" style="7" bestFit="1" customWidth="1"/>
    <col min="6" max="6" width="5.33203125" style="7" bestFit="1" customWidth="1"/>
    <col min="7" max="7" width="5.6640625" style="7" customWidth="1"/>
    <col min="8" max="8" width="7.109375" style="7" customWidth="1"/>
    <col min="9" max="9" width="5.88671875" style="8" customWidth="1"/>
    <col min="10" max="10" width="6.33203125" style="7" customWidth="1"/>
    <col min="11" max="14" width="4.77734375" style="7" customWidth="1"/>
    <col min="15" max="15" width="5.88671875" style="8" bestFit="1" customWidth="1"/>
    <col min="16" max="20" width="11.21875" style="7"/>
    <col min="21" max="21" width="11.21875" style="8"/>
    <col min="22" max="26" width="11.21875" style="7"/>
    <col min="27" max="27" width="11.21875" style="8"/>
    <col min="28" max="32" width="11.21875" style="7"/>
    <col min="33" max="33" width="11.21875" style="8"/>
    <col min="34" max="38" width="11.21875" style="7"/>
    <col min="39" max="39" width="11.21875" style="8"/>
    <col min="40" max="44" width="11.21875" style="7"/>
    <col min="45" max="45" width="11.21875" style="8"/>
    <col min="46" max="50" width="11.21875" style="7"/>
    <col min="51" max="51" width="11.21875" style="8"/>
    <col min="52" max="56" width="11.21875" style="7"/>
    <col min="57" max="57" width="11.21875" style="8"/>
    <col min="58" max="62" width="11.21875" style="7"/>
    <col min="63" max="63" width="11.21875" style="8"/>
    <col min="64" max="68" width="11.21875" style="7"/>
    <col min="69" max="69" width="11.21875" style="8"/>
    <col min="70" max="74" width="11.21875" style="7"/>
    <col min="75" max="75" width="11.21875" style="8"/>
    <col min="76" max="80" width="11.21875" style="7"/>
    <col min="81" max="81" width="11.21875" style="8"/>
    <col min="82" max="86" width="11.21875" style="7"/>
    <col min="87" max="87" width="11.21875" style="8"/>
    <col min="88" max="92" width="11.21875" style="7"/>
    <col min="93" max="93" width="11.21875" style="8"/>
    <col min="94" max="98" width="11.21875" style="7"/>
    <col min="99" max="99" width="11.21875" style="8"/>
    <col min="100" max="201" width="11.21875" style="7"/>
    <col min="202" max="202" width="29.6640625" style="7" bestFit="1" customWidth="1"/>
    <col min="203" max="16384" width="11.21875" style="7"/>
  </cols>
  <sheetData>
    <row r="1" spans="1:225" ht="15.75" customHeight="1">
      <c r="A1" s="12" t="s">
        <v>8</v>
      </c>
      <c r="C1" s="9" t="s">
        <v>7</v>
      </c>
      <c r="D1" s="9">
        <v>1</v>
      </c>
      <c r="J1" s="7">
        <v>2</v>
      </c>
      <c r="P1" s="7">
        <v>3</v>
      </c>
      <c r="V1" s="7">
        <v>4</v>
      </c>
      <c r="AB1" s="7">
        <v>5</v>
      </c>
      <c r="AH1" s="7">
        <v>6</v>
      </c>
      <c r="AN1" s="7">
        <v>7</v>
      </c>
      <c r="AT1" s="7">
        <v>8</v>
      </c>
      <c r="AZ1" s="7">
        <v>9</v>
      </c>
      <c r="BF1" s="7">
        <v>10</v>
      </c>
      <c r="BL1" s="7">
        <v>11</v>
      </c>
      <c r="BR1" s="7">
        <v>12</v>
      </c>
      <c r="BX1" s="7">
        <v>13</v>
      </c>
      <c r="CD1" s="7">
        <v>14</v>
      </c>
      <c r="CJ1" s="7">
        <v>15</v>
      </c>
      <c r="CP1" s="7">
        <v>16</v>
      </c>
      <c r="CV1" s="7">
        <v>17</v>
      </c>
      <c r="DA1" s="8"/>
      <c r="DB1" s="7">
        <v>18</v>
      </c>
      <c r="DG1" s="8"/>
      <c r="DH1" s="7">
        <v>19</v>
      </c>
      <c r="DM1" s="8"/>
      <c r="DN1" s="7">
        <v>20</v>
      </c>
      <c r="DS1" s="8"/>
      <c r="DT1" s="7">
        <v>21</v>
      </c>
      <c r="DY1" s="8"/>
      <c r="DZ1" s="7">
        <v>22</v>
      </c>
      <c r="EE1" s="8"/>
      <c r="EF1" s="7">
        <v>23</v>
      </c>
      <c r="EK1" s="8"/>
      <c r="EL1" s="7">
        <v>24</v>
      </c>
      <c r="EQ1" s="8"/>
      <c r="ER1" s="7">
        <v>25</v>
      </c>
      <c r="EW1" s="8"/>
      <c r="EX1" s="7">
        <v>26</v>
      </c>
      <c r="FC1" s="8"/>
      <c r="FD1" s="7">
        <v>27</v>
      </c>
      <c r="FI1" s="8"/>
      <c r="FJ1" s="7">
        <v>28</v>
      </c>
      <c r="FO1" s="8"/>
      <c r="FP1" s="7">
        <v>29</v>
      </c>
      <c r="FU1" s="8"/>
      <c r="FV1" s="7">
        <v>30</v>
      </c>
      <c r="GA1" s="8"/>
      <c r="GB1" s="7">
        <v>31</v>
      </c>
      <c r="GG1" s="8"/>
      <c r="GH1" s="7">
        <v>32</v>
      </c>
      <c r="GM1" s="8"/>
      <c r="GN1" s="7">
        <v>33</v>
      </c>
      <c r="GS1" s="8"/>
      <c r="GT1" s="7">
        <v>34</v>
      </c>
      <c r="GY1" s="8"/>
      <c r="HE1" s="8"/>
      <c r="HK1" s="8"/>
      <c r="HQ1" s="8"/>
    </row>
    <row r="2" spans="1:225" ht="15.75" customHeight="1">
      <c r="A2" s="9"/>
      <c r="B2" s="9"/>
      <c r="C2" s="9" t="s">
        <v>6</v>
      </c>
      <c r="D2" s="9" t="s">
        <v>72</v>
      </c>
      <c r="J2" s="29" t="s">
        <v>202</v>
      </c>
      <c r="P2" s="7" t="s">
        <v>203</v>
      </c>
      <c r="V2" s="7" t="s">
        <v>204</v>
      </c>
      <c r="AB2" s="7" t="s">
        <v>205</v>
      </c>
      <c r="AH2" s="7" t="s">
        <v>206</v>
      </c>
      <c r="AN2" s="7" t="s">
        <v>207</v>
      </c>
      <c r="AT2" s="7" t="s">
        <v>208</v>
      </c>
      <c r="BF2" s="7" t="s">
        <v>73</v>
      </c>
      <c r="BL2" s="7" t="s">
        <v>74</v>
      </c>
      <c r="BR2" s="7" t="s">
        <v>75</v>
      </c>
      <c r="BX2" s="7" t="s">
        <v>76</v>
      </c>
      <c r="CD2" s="7" t="s">
        <v>77</v>
      </c>
      <c r="CJ2" s="7" t="s">
        <v>78</v>
      </c>
      <c r="CP2" s="7" t="s">
        <v>79</v>
      </c>
      <c r="CV2" s="7" t="s">
        <v>80</v>
      </c>
      <c r="DA2" s="8"/>
      <c r="DB2" s="7" t="s">
        <v>81</v>
      </c>
      <c r="DG2" s="8"/>
      <c r="DH2" s="7" t="s">
        <v>82</v>
      </c>
      <c r="DM2" s="8"/>
      <c r="DN2" s="7" t="s">
        <v>83</v>
      </c>
      <c r="DS2" s="8"/>
      <c r="DT2" s="7" t="s">
        <v>84</v>
      </c>
      <c r="DY2" s="8"/>
      <c r="DZ2" s="7" t="s">
        <v>85</v>
      </c>
      <c r="EE2" s="8"/>
      <c r="EF2" s="7" t="s">
        <v>86</v>
      </c>
      <c r="EK2" s="8"/>
      <c r="EL2" s="7" t="s">
        <v>87</v>
      </c>
      <c r="EQ2" s="8"/>
      <c r="ER2" s="7" t="s">
        <v>88</v>
      </c>
      <c r="EW2" s="8"/>
      <c r="EX2" s="7" t="s">
        <v>89</v>
      </c>
      <c r="FC2" s="8"/>
      <c r="FD2" s="7" t="s">
        <v>90</v>
      </c>
      <c r="FI2" s="8"/>
      <c r="FJ2" s="7" t="s">
        <v>91</v>
      </c>
      <c r="FO2" s="8"/>
      <c r="FP2" s="7" t="s">
        <v>92</v>
      </c>
      <c r="FU2" s="8"/>
      <c r="FV2" s="7" t="s">
        <v>93</v>
      </c>
      <c r="GA2" s="8"/>
      <c r="GB2" s="7" t="s">
        <v>94</v>
      </c>
      <c r="GG2" s="8"/>
      <c r="GH2" s="7" t="s">
        <v>95</v>
      </c>
      <c r="GM2" s="8"/>
      <c r="GN2" s="7" t="s">
        <v>96</v>
      </c>
      <c r="GS2" s="8"/>
      <c r="GT2" s="7" t="s">
        <v>97</v>
      </c>
      <c r="GY2" s="8"/>
      <c r="HE2" s="8"/>
      <c r="HK2" s="8"/>
      <c r="HQ2" s="8"/>
    </row>
    <row r="3" spans="1:225" s="21" customFormat="1" ht="83.25" customHeight="1">
      <c r="A3" s="20"/>
      <c r="B3" s="20"/>
      <c r="C3" s="20"/>
      <c r="D3" s="20" t="str">
        <f>D112</f>
        <v xml:space="preserve">Required 
software(1)
 </v>
      </c>
      <c r="E3" s="20" t="str">
        <f t="shared" ref="E3:BP3" si="0">E112</f>
        <v xml:space="preserve">Effects
 </v>
      </c>
      <c r="F3" s="20" t="str">
        <f t="shared" si="0"/>
        <v xml:space="preserve">Effs. %
 </v>
      </c>
      <c r="G3" s="20" t="str">
        <f t="shared" si="0"/>
        <v xml:space="preserve">Extra cond
disposable money(1), servers(1), wood(1), metal(1), plastic(1), electronics(1), fabric(1), scale(1), attention to details(1.1), efficiency(1), user rules and manuals(2.1), organizational rules and manuals(2.1),  </v>
      </c>
      <c r="H3" s="20" t="str">
        <f t="shared" si="0"/>
        <v xml:space="preserve">E Effs
disposable money(-1,6.25%), servers(-1,6.25%), wood(-1,6.25%), metal(-1,6.25%), plastic(-1,6.25%), electronics(-1,6.25%), fabric(-1,6.25%), scale(-1,6.25%), efficiency(-1,6.25%),  </v>
      </c>
      <c r="I3" s="24" t="str">
        <f t="shared" si="0"/>
        <v xml:space="preserve">E Effs%
disposable money(6.25),servers(6.25),wood(6.25),metal(6.25),plastic(6.25),electronics(6.25),fabric(6.25),scale(6.25),efficiency(6.25), </v>
      </c>
      <c r="J3" s="20" t="str">
        <f t="shared" si="0"/>
        <v xml:space="preserve">Required 
scale(1)
enthusiasm(1)
 </v>
      </c>
      <c r="K3" s="20" t="str">
        <f t="shared" si="0"/>
        <v xml:space="preserve">Effects
scale(-1,12.5%), enthusiasm(-1,25%),  </v>
      </c>
      <c r="L3" s="20" t="str">
        <f t="shared" si="0"/>
        <v xml:space="preserve">Effs. %
scale(12.5)
enthusiasm(25)
 </v>
      </c>
      <c r="M3" s="20" t="str">
        <f t="shared" si="0"/>
        <v xml:space="preserve">Extra cond
disposable money(1.1), scale(1.1), efficiency(0.1), organizational rules and manuals(1.1),  </v>
      </c>
      <c r="N3" s="20" t="str">
        <f t="shared" si="0"/>
        <v xml:space="preserve">E Effs
disposable money(-1,6.75%), agility(-1,6.75%), ambition(-1,6.75%), fun-ness(-1,6.75%), initiative(-1,6.75%),  </v>
      </c>
      <c r="O3" s="24" t="str">
        <f t="shared" si="0"/>
        <v xml:space="preserve">E Effs%
disposable money(6.75),agility(6.75),ambition(6.75),fun-ness(6.75),initiative(6.75), </v>
      </c>
      <c r="P3" s="20" t="str">
        <f t="shared" si="0"/>
        <v xml:space="preserve">Required 
scale(1)
enthusiasm(1)
 </v>
      </c>
      <c r="Q3" s="20" t="str">
        <f t="shared" si="0"/>
        <v xml:space="preserve">Effects
enthusiasm(-1,50%), gifted leader(-1,25%), gifted programmer(-1,25%), gifted designer(-1,25%),  </v>
      </c>
      <c r="R3" s="20" t="str">
        <f t="shared" si="0"/>
        <v xml:space="preserve">Effs. %
enthusiasm(50)
gifted leader(25)
gifted programmer(25)
gifted designer(25)
 </v>
      </c>
      <c r="S3" s="20" t="str">
        <f t="shared" si="0"/>
        <v xml:space="preserve">Extra cond
scale(1), network among members(0.1), gifted leader(1), gifted programmer(1), gifted designer(1), ambition(1), attention to details(0.1), community manager(0.1), team building(0.1),  </v>
      </c>
      <c r="T3" s="20" t="str">
        <f t="shared" si="0"/>
        <v xml:space="preserve">E Effs
ambition(-1,%), business model(-1,6.25%), web(-1,6.25%), mobile apps(-1,6.25%), aesthetics(-1,6.25%),  </v>
      </c>
      <c r="U3" s="24" t="str">
        <f t="shared" si="0"/>
        <v xml:space="preserve">E Effs%
business model(6.25),web(6.25),mobile apps(6.25),aesthetics(6.25), </v>
      </c>
      <c r="V3" s="20" t="str">
        <f t="shared" si="0"/>
        <v xml:space="preserve">Required 
scale(1)
scale(1)
 </v>
      </c>
      <c r="W3" s="20" t="str">
        <f t="shared" si="0"/>
        <v xml:space="preserve">Effects
enthusiasm(-1,25%), enthusiasm(-1,25%), efficiency(-1,25%),  </v>
      </c>
      <c r="X3" s="20" t="str">
        <f t="shared" si="0"/>
        <v xml:space="preserve">Effs. %
enthusiasm(25)
enthusiasm(25)
efficiency(25)
 </v>
      </c>
      <c r="Y3" s="20" t="str">
        <f t="shared" si="0"/>
        <v xml:space="preserve">Extra cond
community manager(0.1), administrator(0.1), spaciousness(1), ease of access(3), reputation(2), user rules and manuals(0.1), project management(0.1), negotiation(0.1),  </v>
      </c>
      <c r="Z3" s="20" t="str">
        <f t="shared" si="0"/>
        <v xml:space="preserve">E Effs
scale(-1,6.25%), reputation(-1,%),  </v>
      </c>
      <c r="AA3" s="24" t="str">
        <f t="shared" si="0"/>
        <v xml:space="preserve">E Effs%
scale(6.25), </v>
      </c>
      <c r="AB3" s="20" t="str">
        <f t="shared" si="0"/>
        <v xml:space="preserve">Required 
 </v>
      </c>
      <c r="AC3" s="20" t="str">
        <f t="shared" si="0"/>
        <v xml:space="preserve">Effects
 </v>
      </c>
      <c r="AD3" s="20" t="str">
        <f t="shared" si="0"/>
        <v xml:space="preserve">Effs. %
 </v>
      </c>
      <c r="AE3" s="20" t="str">
        <f t="shared" si="0"/>
        <v xml:space="preserve">Extra cond
scale(3), network among members(0.1), scale(1.1), attention to details(0.1), seriousness(0.1), initiative(0.1), spaciousness(1), user rules and manuals(1.1), organizational rules and manuals(1.1),  </v>
      </c>
      <c r="AF3" s="20" t="str">
        <f t="shared" si="0"/>
        <v xml:space="preserve">E Effs
disposable money(-1,6.25%), wood(-1,6.25%), fabric(-1,6.25%), enthusiasm(-1,6.25%), enthusiasm(-1,%), local biz(-1,6.25%), investors(-1,6.25%), non-profits(-1,6.25%), efficiency(-1,6.25%),  </v>
      </c>
      <c r="AG3" s="24" t="str">
        <f t="shared" si="0"/>
        <v xml:space="preserve">E Effs%
disposable money(6.25),wood(6.25),fabric(6.25),enthusiasm(6.25),local biz(6.25),investors(6.25),non-profits(6.25),efficiency(6.25), </v>
      </c>
      <c r="AH3" s="20" t="str">
        <f t="shared" si="0"/>
        <v xml:space="preserve">Required 
scale(1)
enthusiasm(2)
fun-ness(1)
ease of access(1)
reputation(1)
 </v>
      </c>
      <c r="AI3" s="20" t="str">
        <f t="shared" si="0"/>
        <v xml:space="preserve">Effects
enthusiasm(-1,25%),  </v>
      </c>
      <c r="AJ3" s="20" t="str">
        <f t="shared" si="0"/>
        <v xml:space="preserve">Effs. %
enthusiasm(25)
 </v>
      </c>
      <c r="AK3" s="20" t="str">
        <f t="shared" si="0"/>
        <v xml:space="preserve">Extra cond
scale(2), enthusiasm(2), scale(3.1), attention to details(2.1), seriousness(2.1), community manager(2.1), administrator(2.1), spaciousness(1), ease of access(1), reputation(2), user rules and manuals(2.1), organizational rules and manuals(2.1), law(1.1), negotiation(1.1),  </v>
      </c>
      <c r="AL3" s="20" t="str">
        <f t="shared" si="0"/>
        <v xml:space="preserve">E Effs
scale(-1,6.25%), enthusiasm(-1,6.25%), govt(-1,6.25%), non-profits(-1,6.25%), reputation(-1,6.25%),  </v>
      </c>
      <c r="AM3" s="24" t="str">
        <f t="shared" si="0"/>
        <v xml:space="preserve">E Effs%
scale(6.25),enthusiasm(6.25),govt(6.25),non-profits(6.25),reputation(6.25), </v>
      </c>
      <c r="AN3" s="20" t="str">
        <f t="shared" si="0"/>
        <v xml:space="preserve">Required 
scale(1)
fun-ness(1)
seriousness(1)
 </v>
      </c>
      <c r="AO3" s="20" t="str">
        <f t="shared" si="0"/>
        <v xml:space="preserve">Effects
scale(-1,25%), enthusiasm(-1,25%), enthusiasm(-1,25%),  </v>
      </c>
      <c r="AP3" s="20" t="str">
        <f t="shared" si="0"/>
        <v xml:space="preserve">Effs. %
scale(25)
enthusiasm(25)
enthusiasm(25)
 </v>
      </c>
      <c r="AQ3" s="20" t="str">
        <f t="shared" si="0"/>
        <v xml:space="preserve">Extra cond
scale(1), fun-ness(1), spaciousness(2.1), reputation(3), organizational rules and manuals(2.1), team building(2.1),  </v>
      </c>
      <c r="AR3" s="20" t="str">
        <f t="shared" si="0"/>
        <v xml:space="preserve">E Effs
enthusiasm(-1,12.5%), fun-ness(-1,6.25%), reputation(-1,6.25%), efficiency(-1,6.25%),  </v>
      </c>
      <c r="AS3" s="24" t="str">
        <f t="shared" si="0"/>
        <v xml:space="preserve">E Effs%
enthusiasm(12.5),fun-ness(6.25),reputation(6.25),efficiency(6.25), </v>
      </c>
      <c r="AT3" s="20" t="str">
        <f t="shared" si="0"/>
        <v xml:space="preserve">Required 
scale(1)
enthusiasm(1)
network among members(3.1)
 </v>
      </c>
      <c r="AU3" s="20" t="str">
        <f t="shared" si="0"/>
        <v xml:space="preserve">Effects
scale(-1,25%), enthusiasm(-1,25%),  </v>
      </c>
      <c r="AV3" s="20" t="str">
        <f t="shared" si="0"/>
        <v xml:space="preserve">Effs. %
scale(25)
enthusiasm(25)
 </v>
      </c>
      <c r="AW3" s="20" t="str">
        <f t="shared" si="0"/>
        <v xml:space="preserve">Extra cond
scale(1), enthusiasm(1), attention to details(3.1), fun-ness(3.1), seriousness(3.1), initiative(2.1), leader(2.1), community manager(2.1), user rules and manuals(2.1), team building(2.1),  </v>
      </c>
      <c r="AX3" s="20" t="str">
        <f t="shared" si="0"/>
        <v xml:space="preserve">E Effs
field knowledge(-1,6.25%), network among members(-1,6.25%), gifted assistant(-1,6.25%),  </v>
      </c>
      <c r="AY3" s="24" t="str">
        <f t="shared" si="0"/>
        <v xml:space="preserve">E Effs%
field knowledge(6.25),network among members(6.25),gifted assistant(6.25), </v>
      </c>
      <c r="AZ3" s="20" t="str">
        <f t="shared" si="0"/>
        <v xml:space="preserve">Required 
disposable money(1)
wood(1)
scale(1)
 </v>
      </c>
      <c r="BA3" s="20" t="str">
        <f t="shared" si="0"/>
        <v xml:space="preserve">Effects
disposable money(-1,12.5%), enthusiasm(-1,12.5%), attention to details(1,12.5%), fun-ness(-1,12.5%), seriousness(1,12.5%), efficiency(-1,12.5%), user rules and manuals(1,25%),  </v>
      </c>
      <c r="BB3" s="20" t="str">
        <f t="shared" si="0"/>
        <v xml:space="preserve">Effs. %
disposable money(12.5)
enthusiasm(12.5)
attention to details(12.5)
fun-ness(12.5)
seriousness(12.5)
efficiency(12.5)
user rules and manuals(25)
 </v>
      </c>
      <c r="BC3" s="20" t="str">
        <f t="shared" si="0"/>
        <v xml:space="preserve">Extra cond
wood(1), scale(1), agility(1.1), attention to details(1.1), seriousness(1.1), community manager(1.1), administrator(1.1), user rules and manuals(2.1), organizational rules and manuals(2.1),  </v>
      </c>
      <c r="BD3" s="20" t="str">
        <f t="shared" si="0"/>
        <v xml:space="preserve">E Effs
wood(-1,6.25%), scale(-1,6.25%), enthusiasm(-1,6.25%), reputation(-1,6.25%),  </v>
      </c>
      <c r="BE3" s="24" t="str">
        <f t="shared" si="0"/>
        <v xml:space="preserve">E Effs%
wood(6.25),scale(6.25),enthusiasm(6.25),reputation(6.25), </v>
      </c>
      <c r="BF3" s="20" t="str">
        <f t="shared" si="0"/>
        <v xml:space="preserve">Required 
disposable money(1)
 </v>
      </c>
      <c r="BG3" s="20" t="str">
        <f t="shared" si="0"/>
        <v xml:space="preserve">Effects
disposable money(-1,25%), plastic(-1,25%), enthusiasm(-1,25%), enthusiasm(-1,25%), attention to details(1,25%), fun-ness(-1,25%), seriousness(1,25%), user rules and manuals(1,25%), organizational rules and manuals(1,25%),  </v>
      </c>
      <c r="BH3" s="20" t="str">
        <f t="shared" si="0"/>
        <v xml:space="preserve">Effs. %
disposable money(25)
plastic(25)
enthusiasm(25)
enthusiasm(25)
attention to details(25)
fun-ness(25)
seriousness(25)
user rules and manuals(25)
organizational rules and manuals(25)
 </v>
      </c>
      <c r="BI3" s="20" t="str">
        <f t="shared" si="0"/>
        <v xml:space="preserve">Extra cond
enthusiasm(1), engineering knowledge(1.1), enthusiasm(1), fun-ness(1), seriousness(2.1), community manager(1.1), administrator(1.1),  </v>
      </c>
      <c r="BJ3" s="20" t="str">
        <f t="shared" si="0"/>
        <v xml:space="preserve">E Effs
reputation(-1,6.25%), efficiency(-1,25%),  </v>
      </c>
      <c r="BK3" s="24" t="str">
        <f t="shared" si="0"/>
        <v xml:space="preserve">E Effs%
reputation(6.25),efficiency(25), </v>
      </c>
      <c r="BL3" s="20" t="str">
        <f t="shared" si="0"/>
        <v xml:space="preserve">Required 
software(1)
scale(2)
local biz(1)
ease of access(1)
reputation(1)
aesthetics(1)
 </v>
      </c>
      <c r="BM3" s="20" t="str">
        <f t="shared" si="0"/>
        <v xml:space="preserve">Effects
disposable money(1,12.5%), biz enhancement(1,%),  </v>
      </c>
      <c r="BN3" s="20" t="str">
        <f t="shared" si="0"/>
        <v xml:space="preserve">Effs. %
disposable money(12.5)
 </v>
      </c>
      <c r="BO3" s="20" t="str">
        <f t="shared" si="0"/>
        <v xml:space="preserve">Extra cond
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3" s="20" t="str">
        <f t="shared" si="0"/>
        <v xml:space="preserve">E Effs
disposable money(1,6.25%), local biz(1,6.25%),  </v>
      </c>
      <c r="BQ3" s="24" t="str">
        <f t="shared" ref="BQ3:EB3" si="1">BQ112</f>
        <v xml:space="preserve">E Effs%
disposable money(6.25),local biz(6.25), </v>
      </c>
      <c r="BR3" s="20" t="str">
        <f t="shared" si="1"/>
        <v xml:space="preserve">Required 
software(1)
wood(1)
scale(2)
scale(1)
local biz(1)
ease of access(1)
reputation(1)
aesthetics(1)
 </v>
      </c>
      <c r="BS3" s="20" t="str">
        <f t="shared" si="1"/>
        <v xml:space="preserve">Effects
disposable money(1,12.5%), biz project(1,%),  </v>
      </c>
      <c r="BT3" s="20" t="str">
        <f t="shared" si="1"/>
        <v xml:space="preserve">Effs. %
disposable money(12.5)
 </v>
      </c>
      <c r="BU3" s="20" t="str">
        <f t="shared" si="1"/>
        <v xml:space="preserve">Extra cond
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3" s="20" t="str">
        <f t="shared" si="1"/>
        <v xml:space="preserve">E Effs
disposable money(1,6.25%), local biz(1,6.25%),  </v>
      </c>
      <c r="BW3" s="24" t="str">
        <f t="shared" si="1"/>
        <v xml:space="preserve">E Effs%
disposable money(6.25),local biz(6.25), </v>
      </c>
      <c r="BX3" s="20" t="str">
        <f t="shared" si="1"/>
        <v xml:space="preserve">Required 
software(1)
servers(1)
scale(2)
enthusiasm(1)
local biz(1)
ease of access(1)
reputation(1)
aesthetics(1)
interaction(1)
 </v>
      </c>
      <c r="BY3" s="20" t="str">
        <f t="shared" si="1"/>
        <v xml:space="preserve">Effects
disposable money(1,12.5%), biz project(1,%),  </v>
      </c>
      <c r="BZ3" s="20" t="str">
        <f t="shared" si="1"/>
        <v xml:space="preserve">Effs. %
disposable money(12.5)
 </v>
      </c>
      <c r="CA3" s="20" t="str">
        <f t="shared" si="1"/>
        <v xml:space="preserve">Extra cond
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3" s="20" t="str">
        <f t="shared" si="1"/>
        <v xml:space="preserve">E Effs
disposable money(1,6.25%), local biz(1,6.25%),  </v>
      </c>
      <c r="CC3" s="24" t="str">
        <f t="shared" si="1"/>
        <v xml:space="preserve">E Effs%
disposable money(6.25),local biz(6.25), </v>
      </c>
      <c r="CD3" s="20" t="str">
        <f t="shared" si="1"/>
        <v xml:space="preserve">Required 
software(1)
servers(1)
scale(2)
enthusiasm(1)
ease of access(1)
reputation(1)
aesthetics(1)
 </v>
      </c>
      <c r="CE3" s="20" t="str">
        <f t="shared" si="1"/>
        <v xml:space="preserve">Effects
disposable money(1,12.5%), biz project(1,%),  </v>
      </c>
      <c r="CF3" s="20" t="str">
        <f t="shared" si="1"/>
        <v xml:space="preserve">Effs. %
disposable money(12.5)
 </v>
      </c>
      <c r="CG3" s="20" t="str">
        <f t="shared" si="1"/>
        <v xml:space="preserve">Extra cond
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3" s="20" t="str">
        <f t="shared" si="1"/>
        <v xml:space="preserve">E Effs
disposable money(1,6.25%), local biz(1,6.25%),  </v>
      </c>
      <c r="CI3" s="24" t="str">
        <f t="shared" si="1"/>
        <v xml:space="preserve">E Effs%
disposable money(6.25),local biz(6.25), </v>
      </c>
      <c r="CJ3" s="20" t="str">
        <f t="shared" si="1"/>
        <v xml:space="preserve">Required 
software(1)
scale(2)
ease of access(1)
reputation(1)
aesthetics(1)
 </v>
      </c>
      <c r="CK3" s="20" t="str">
        <f t="shared" si="1"/>
        <v xml:space="preserve">Effects
disposable money(1,12.5%), biz project(1,%),  </v>
      </c>
      <c r="CL3" s="20" t="str">
        <f t="shared" si="1"/>
        <v xml:space="preserve">Effs. %
disposable money(12.5)
 </v>
      </c>
      <c r="CM3" s="20" t="str">
        <f t="shared" si="1"/>
        <v xml:space="preserve">Extra cond
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3" s="20" t="str">
        <f t="shared" si="1"/>
        <v xml:space="preserve">E Effs
disposable money(1,6.25%), local biz(1,6.25%),  </v>
      </c>
      <c r="CO3" s="24" t="str">
        <f t="shared" si="1"/>
        <v xml:space="preserve">E Effs%
disposable money(6.25),local biz(6.25), </v>
      </c>
      <c r="CP3" s="20" t="str">
        <f t="shared" si="1"/>
        <v xml:space="preserve">Required 
disposable money(1)
metal(1)
scale(2)
enthusiasm(1)
learning capacities(1)
field knowledge(1)
local biz(1)
metal processing(1)
functions(1)
 </v>
      </c>
      <c r="CQ3" s="20" t="str">
        <f t="shared" si="1"/>
        <v xml:space="preserve">Effects
local biz(1,50%), biz enhancement(1,50%),  </v>
      </c>
      <c r="CR3" s="20" t="str">
        <f t="shared" si="1"/>
        <v xml:space="preserve">Effs. %
local biz(50)
biz enhancement(50)
 </v>
      </c>
      <c r="CS3" s="20" t="str">
        <f t="shared" si="1"/>
        <v xml:space="preserve">Extra cond
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3" s="20" t="str">
        <f t="shared" si="1"/>
        <v xml:space="preserve">E Effs
disposable money(1,6.25%), reputation(1,6.25%),  </v>
      </c>
      <c r="CU3" s="24" t="str">
        <f t="shared" si="1"/>
        <v xml:space="preserve">E Effs%
disposable money(6.25),reputation(6.25), </v>
      </c>
      <c r="CV3" s="20" t="str">
        <f t="shared" si="1"/>
        <v xml:space="preserve">Required 
disposable money(1)
software(1)
wood(1)
scale(1)
enthusiasm(2)
learning capacities(1)
non-profits(1)
wood processing(1)
aesthetics(1)
interaction(1)
 </v>
      </c>
      <c r="CW3" s="20" t="str">
        <f t="shared" si="1"/>
        <v xml:space="preserve">Effects
non-profits(1,50%), social project(1,50%),  </v>
      </c>
      <c r="CX3" s="20" t="str">
        <f t="shared" si="1"/>
        <v xml:space="preserve">Effs. %
non-profits(50)
social project(50)
 </v>
      </c>
      <c r="CY3" s="20" t="str">
        <f t="shared" si="1"/>
        <v xml:space="preserve">Extra cond
gifted programmer(1), gifted designer(1), scale(2), enthusiasm(4), agility(2), ambition(4), attention to details(2), fun-ness(2), administrator(2), ease of access(2), efficiency(3), sensors(2), wood processing(2), plastic processing(2), electronics(2), aesthetics(2), functions(1), safety(1), interaction(2),  </v>
      </c>
      <c r="CZ3" s="20" t="str">
        <f t="shared" si="1"/>
        <v xml:space="preserve">E Effs
disposable money(1,6.25%), media(1,6.25%), reputation(1,6.25%), portfolio(1,6.25%),  </v>
      </c>
      <c r="DA3" s="20" t="str">
        <f t="shared" si="1"/>
        <v xml:space="preserve">E Effs%
disposable money(6.25),media(6.25),reputation(6.25),portfolio(6.25), </v>
      </c>
      <c r="DB3" s="20" t="str">
        <f t="shared" si="1"/>
        <v xml:space="preserve">Required 
disposable money(1)
software(1)
scale(1)
enthusiasm(2)
learning capacities(1)
non-profits(1)
aesthetics(1)
interaction(1)
 </v>
      </c>
      <c r="DC3" s="20" t="str">
        <f t="shared" si="1"/>
        <v xml:space="preserve">Effects
non-profits(1,50%), social project(1,50%),  </v>
      </c>
      <c r="DD3" s="20" t="str">
        <f t="shared" si="1"/>
        <v xml:space="preserve">Effs. %
non-profits(50)
social project(50)
 </v>
      </c>
      <c r="DE3" s="20" t="str">
        <f t="shared" si="1"/>
        <v xml:space="preserve">Extra cond
gifted programmer(1), gifted designer(1), scale(2), enthusiasm(4), agility(2), ambition(4), attention to details(2), fun-ness(2), administrator(2), ease of access(2), efficiency(3), VR&amp;AR(2),  </v>
      </c>
      <c r="DF3" s="20" t="str">
        <f t="shared" si="1"/>
        <v xml:space="preserve">E Effs
disposable money(1,6.25%), media(1,6.25%), reputation(1,6.25%), portfolio(1,6.25%),  </v>
      </c>
      <c r="DG3" s="20" t="str">
        <f t="shared" si="1"/>
        <v xml:space="preserve">E Effs%
disposable money(6.25),media(6.25),reputation(6.25),portfolio(6.25), </v>
      </c>
      <c r="DH3" s="20" t="str">
        <f t="shared" si="1"/>
        <v xml:space="preserve">Required 
disposable money(1)
software(1)
wood(1)
plastic(1)
scale(2)
enthusiasm(2)
scale(1)
wood processing(1)
aesthetics(1)
safety(1)
 </v>
      </c>
      <c r="DI3" s="20" t="str">
        <f t="shared" si="1"/>
        <v xml:space="preserve">Effects
disposable money(-1,100%), social project(1,100%),  </v>
      </c>
      <c r="DJ3" s="20" t="str">
        <f t="shared" si="1"/>
        <v xml:space="preserve">Effs. %
disposable money(100)
social project(100)
 </v>
      </c>
      <c r="DK3" s="20" t="str">
        <f t="shared" si="1"/>
        <v xml:space="preserve">Extra cond
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3" s="20" t="str">
        <f t="shared" si="1"/>
        <v xml:space="preserve">E Effs
scale(1,6.25%), enthusiasm(1,6.25%), network among members(1,6.25%), enthusiasm(1,6.25%), agility(1,6.25%), fun-ness(1,6.25%), reputation(1,6.25%), portfolio(1,6.25%), team building(1,6.25%),  </v>
      </c>
      <c r="DM3" s="20" t="str">
        <f t="shared" si="1"/>
        <v xml:space="preserve">E Effs%
scale(6.25),enthusiasm(6.25),network among members(6.25),enthusiasm(6.25),agility(6.25),fun-ness(6.25),reputation(6.25),portfolio(6.25),team building(6.25), </v>
      </c>
      <c r="DN3" s="20" t="str">
        <f t="shared" si="1"/>
        <v xml:space="preserve">Required 
disposable money(1)
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3" s="20" t="str">
        <f t="shared" si="1"/>
        <v xml:space="preserve">Effects
disposable money(1,100%), reputation(1,25%), portfolio(1,50%),  </v>
      </c>
      <c r="DP3" s="20" t="str">
        <f t="shared" si="1"/>
        <v xml:space="preserve">Effs. %
disposable money(100)
reputation(25)
portfolio(50)
 </v>
      </c>
      <c r="DQ3" s="20" t="str">
        <f t="shared" si="1"/>
        <v xml:space="preserve">Extra cond
wood(2), plastic(2), engineering knowledge(2), network among members(1), gifted leader(1), gifted assistant(1), gifted designer(1), ambition(1), attention to details(3), fun-ness(3), administrator(1), media(3), suppliers(3), social media(2), wood processing(2), plastic processing(2), electronics(2), aesthetics(2),  </v>
      </c>
      <c r="DR3" s="20" t="str">
        <f t="shared" si="1"/>
        <v xml:space="preserve">E Effs
disposable money(1,6.25%), suppliers(1,6.25%), reputation(1,6.25%),  </v>
      </c>
      <c r="DS3" s="20" t="str">
        <f t="shared" si="1"/>
        <v xml:space="preserve">E Effs%
disposable money(6.25),suppliers(6.25),reputation(6.25), </v>
      </c>
      <c r="DT3" s="20" t="str">
        <f t="shared" si="1"/>
        <v xml:space="preserve">Required 
disposable money(1)
scale(2)
attention to details(2)
leader(1)
fame(1)
network(2)
reputation(3)
portfolio(2)
 </v>
      </c>
      <c r="DU3" s="20" t="str">
        <f t="shared" si="1"/>
        <v xml:space="preserve">Effects
disposable money(50,%), fame(1,25%), govt(1,25%), non-profits(1,50%), reputation(1,25%),  </v>
      </c>
      <c r="DV3" s="20" t="str">
        <f t="shared" si="1"/>
        <v xml:space="preserve">Effs. %
fame(25)
govt(25)
non-profits(50)
reputation(25)
 </v>
      </c>
      <c r="DW3" s="20" t="str">
        <f t="shared" si="1"/>
        <v xml:space="preserve">Extra cond
scale(3), enthusiasm(3), enthusiasm(3), ambition(2), attention to details(2), PR(1), administrator(1), social media(2),  </v>
      </c>
      <c r="DX3" s="20" t="str">
        <f t="shared" si="1"/>
        <v xml:space="preserve">E Effs
ambition(1,6.25%), fame(1,6.25%), reputation(1,6.25%),  </v>
      </c>
      <c r="DY3" s="20" t="str">
        <f t="shared" si="1"/>
        <v xml:space="preserve">E Effs%
ambition(6.25),fame(6.25),reputation(6.25), </v>
      </c>
      <c r="DZ3" s="20" t="str">
        <f t="shared" si="1"/>
        <v xml:space="preserve">Required 
 </v>
      </c>
      <c r="EA3" s="20" t="str">
        <f t="shared" si="1"/>
        <v xml:space="preserve">Effects
 </v>
      </c>
      <c r="EB3" s="20" t="str">
        <f t="shared" si="1"/>
        <v xml:space="preserve">Effs. %
 </v>
      </c>
      <c r="EC3" s="20" t="str">
        <f t="shared" ref="EC3:GN3" si="2">EC112</f>
        <v xml:space="preserve">Extra cond
 </v>
      </c>
      <c r="ED3" s="20" t="str">
        <f t="shared" si="2"/>
        <v xml:space="preserve">E Effs
 </v>
      </c>
      <c r="EE3" s="20" t="str">
        <f t="shared" si="2"/>
        <v xml:space="preserve">E Effs%
 </v>
      </c>
      <c r="EF3" s="20" t="str">
        <f t="shared" si="2"/>
        <v xml:space="preserve">Required 
 </v>
      </c>
      <c r="EG3" s="20" t="str">
        <f t="shared" si="2"/>
        <v xml:space="preserve">Effects
 </v>
      </c>
      <c r="EH3" s="20" t="str">
        <f t="shared" si="2"/>
        <v xml:space="preserve">Effs. %
 </v>
      </c>
      <c r="EI3" s="20" t="str">
        <f t="shared" si="2"/>
        <v xml:space="preserve">Extra cond
 </v>
      </c>
      <c r="EJ3" s="20" t="str">
        <f t="shared" si="2"/>
        <v xml:space="preserve">E Effs
 </v>
      </c>
      <c r="EK3" s="20" t="str">
        <f t="shared" si="2"/>
        <v xml:space="preserve">E Effs%
 </v>
      </c>
      <c r="EL3" s="20" t="str">
        <f t="shared" si="2"/>
        <v xml:space="preserve">Required 
 </v>
      </c>
      <c r="EM3" s="20" t="str">
        <f t="shared" si="2"/>
        <v xml:space="preserve">Effects
 </v>
      </c>
      <c r="EN3" s="20" t="str">
        <f t="shared" si="2"/>
        <v xml:space="preserve">Effs. %
 </v>
      </c>
      <c r="EO3" s="20" t="str">
        <f t="shared" si="2"/>
        <v xml:space="preserve">Extra cond
 </v>
      </c>
      <c r="EP3" s="20" t="str">
        <f t="shared" si="2"/>
        <v xml:space="preserve">E Effs
 </v>
      </c>
      <c r="EQ3" s="20" t="str">
        <f t="shared" si="2"/>
        <v xml:space="preserve">E Effs%
 </v>
      </c>
      <c r="ER3" s="20" t="str">
        <f t="shared" si="2"/>
        <v xml:space="preserve">Required 
 </v>
      </c>
      <c r="ES3" s="20" t="str">
        <f t="shared" si="2"/>
        <v xml:space="preserve">Effects
 </v>
      </c>
      <c r="ET3" s="20" t="str">
        <f t="shared" si="2"/>
        <v xml:space="preserve">Effs. %
 </v>
      </c>
      <c r="EU3" s="20" t="str">
        <f t="shared" si="2"/>
        <v xml:space="preserve">Extra cond
 </v>
      </c>
      <c r="EV3" s="20" t="str">
        <f t="shared" si="2"/>
        <v xml:space="preserve">E Effs
 </v>
      </c>
      <c r="EW3" s="20" t="str">
        <f t="shared" si="2"/>
        <v xml:space="preserve">E Effs%
 </v>
      </c>
      <c r="EX3" s="20" t="str">
        <f t="shared" si="2"/>
        <v xml:space="preserve">Required 
 </v>
      </c>
      <c r="EY3" s="20" t="str">
        <f t="shared" si="2"/>
        <v xml:space="preserve">Effects
 </v>
      </c>
      <c r="EZ3" s="20" t="str">
        <f t="shared" si="2"/>
        <v xml:space="preserve">Effs. %
 </v>
      </c>
      <c r="FA3" s="20" t="str">
        <f t="shared" si="2"/>
        <v xml:space="preserve">Extra cond
 </v>
      </c>
      <c r="FB3" s="20" t="str">
        <f t="shared" si="2"/>
        <v xml:space="preserve">E Effs
 </v>
      </c>
      <c r="FC3" s="20" t="str">
        <f t="shared" si="2"/>
        <v xml:space="preserve">E Effs%
 </v>
      </c>
      <c r="FD3" s="20" t="str">
        <f t="shared" si="2"/>
        <v xml:space="preserve">Required 
 </v>
      </c>
      <c r="FE3" s="20" t="str">
        <f t="shared" si="2"/>
        <v xml:space="preserve">Effects
 </v>
      </c>
      <c r="FF3" s="20" t="str">
        <f t="shared" si="2"/>
        <v xml:space="preserve">Effs. %
 </v>
      </c>
      <c r="FG3" s="20" t="str">
        <f t="shared" si="2"/>
        <v xml:space="preserve">Extra cond
 </v>
      </c>
      <c r="FH3" s="20" t="str">
        <f t="shared" si="2"/>
        <v xml:space="preserve">E Effs
 </v>
      </c>
      <c r="FI3" s="20" t="str">
        <f t="shared" si="2"/>
        <v xml:space="preserve">E Effs%
 </v>
      </c>
      <c r="FJ3" s="20" t="str">
        <f t="shared" si="2"/>
        <v xml:space="preserve">Required 
 </v>
      </c>
      <c r="FK3" s="20" t="str">
        <f t="shared" si="2"/>
        <v xml:space="preserve">Effects
 </v>
      </c>
      <c r="FL3" s="20" t="str">
        <f t="shared" si="2"/>
        <v xml:space="preserve">Effs. %
 </v>
      </c>
      <c r="FM3" s="20" t="str">
        <f t="shared" si="2"/>
        <v xml:space="preserve">Extra cond
 </v>
      </c>
      <c r="FN3" s="20" t="str">
        <f t="shared" si="2"/>
        <v xml:space="preserve">E Effs
 </v>
      </c>
      <c r="FO3" s="20" t="str">
        <f t="shared" si="2"/>
        <v xml:space="preserve">E Effs%
 </v>
      </c>
      <c r="FP3" s="20" t="str">
        <f t="shared" si="2"/>
        <v xml:space="preserve">Required 
 </v>
      </c>
      <c r="FQ3" s="20" t="str">
        <f t="shared" si="2"/>
        <v xml:space="preserve">Effects
 </v>
      </c>
      <c r="FR3" s="20" t="str">
        <f t="shared" si="2"/>
        <v xml:space="preserve">Effs. %
 </v>
      </c>
      <c r="FS3" s="20" t="str">
        <f t="shared" si="2"/>
        <v xml:space="preserve">Extra cond
 </v>
      </c>
      <c r="FT3" s="20" t="str">
        <f t="shared" si="2"/>
        <v xml:space="preserve">E Effs
 </v>
      </c>
      <c r="FU3" s="20" t="str">
        <f t="shared" si="2"/>
        <v xml:space="preserve">E Effs%
 </v>
      </c>
      <c r="FV3" s="20" t="str">
        <f t="shared" si="2"/>
        <v xml:space="preserve">Required 
 </v>
      </c>
      <c r="FW3" s="20" t="str">
        <f t="shared" si="2"/>
        <v xml:space="preserve">Effects
 </v>
      </c>
      <c r="FX3" s="20" t="str">
        <f t="shared" si="2"/>
        <v xml:space="preserve">Effs. %
 </v>
      </c>
      <c r="FY3" s="20" t="str">
        <f t="shared" si="2"/>
        <v xml:space="preserve">Extra cond
 </v>
      </c>
      <c r="FZ3" s="20" t="str">
        <f t="shared" si="2"/>
        <v xml:space="preserve">E Effs
 </v>
      </c>
      <c r="GA3" s="20" t="str">
        <f t="shared" si="2"/>
        <v xml:space="preserve">E Effs%
 </v>
      </c>
      <c r="GB3" s="20" t="str">
        <f t="shared" si="2"/>
        <v xml:space="preserve">Required 
 </v>
      </c>
      <c r="GC3" s="20" t="str">
        <f t="shared" si="2"/>
        <v xml:space="preserve">Effects
 </v>
      </c>
      <c r="GD3" s="20" t="str">
        <f t="shared" si="2"/>
        <v xml:space="preserve">Effs. %
 </v>
      </c>
      <c r="GE3" s="20" t="str">
        <f t="shared" si="2"/>
        <v xml:space="preserve">Extra cond
 </v>
      </c>
      <c r="GF3" s="20" t="str">
        <f t="shared" si="2"/>
        <v xml:space="preserve">E Effs
 </v>
      </c>
      <c r="GG3" s="20" t="str">
        <f t="shared" si="2"/>
        <v xml:space="preserve">E Effs%
 </v>
      </c>
      <c r="GH3" s="20" t="str">
        <f t="shared" si="2"/>
        <v xml:space="preserve">Required 
 </v>
      </c>
      <c r="GI3" s="20" t="str">
        <f t="shared" si="2"/>
        <v xml:space="preserve">Effects
 </v>
      </c>
      <c r="GJ3" s="20" t="str">
        <f t="shared" si="2"/>
        <v xml:space="preserve">Effs. %
 </v>
      </c>
      <c r="GK3" s="20" t="str">
        <f t="shared" si="2"/>
        <v xml:space="preserve">Extra cond
 </v>
      </c>
      <c r="GL3" s="20" t="str">
        <f t="shared" si="2"/>
        <v xml:space="preserve">E Effs
 </v>
      </c>
      <c r="GM3" s="20" t="str">
        <f t="shared" si="2"/>
        <v xml:space="preserve">E Effs%
 </v>
      </c>
      <c r="GN3" s="20" t="str">
        <f t="shared" si="2"/>
        <v xml:space="preserve">Required 
 </v>
      </c>
      <c r="GO3" s="20" t="str">
        <f t="shared" ref="GO3:HQ3" si="3">GO112</f>
        <v xml:space="preserve">Effects
 </v>
      </c>
      <c r="GP3" s="20" t="str">
        <f t="shared" si="3"/>
        <v xml:space="preserve">Effs. %
 </v>
      </c>
      <c r="GQ3" s="20" t="str">
        <f t="shared" si="3"/>
        <v xml:space="preserve">Extra cond
 </v>
      </c>
      <c r="GR3" s="20" t="str">
        <f t="shared" si="3"/>
        <v xml:space="preserve">E Effs
 </v>
      </c>
      <c r="GS3" s="20" t="str">
        <f t="shared" si="3"/>
        <v xml:space="preserve">E Effs%
 </v>
      </c>
      <c r="GT3" s="20" t="str">
        <f t="shared" si="3"/>
        <v xml:space="preserve">Required 
 </v>
      </c>
      <c r="GU3" s="20" t="str">
        <f t="shared" si="3"/>
        <v xml:space="preserve">Effects
 </v>
      </c>
      <c r="GV3" s="20" t="str">
        <f t="shared" si="3"/>
        <v xml:space="preserve">Effs. %
 </v>
      </c>
      <c r="GW3" s="20" t="str">
        <f t="shared" si="3"/>
        <v xml:space="preserve">Extra cond
 </v>
      </c>
      <c r="GX3" s="20" t="str">
        <f t="shared" si="3"/>
        <v xml:space="preserve">E Effs
 </v>
      </c>
      <c r="GY3" s="20" t="str">
        <f t="shared" si="3"/>
        <v xml:space="preserve">E Effs%
 </v>
      </c>
      <c r="GZ3" s="20" t="str">
        <f t="shared" si="3"/>
        <v xml:space="preserve">Required 
 </v>
      </c>
      <c r="HA3" s="20" t="str">
        <f t="shared" si="3"/>
        <v xml:space="preserve">Effects
 </v>
      </c>
      <c r="HB3" s="20" t="str">
        <f t="shared" si="3"/>
        <v xml:space="preserve">Effs. %
 </v>
      </c>
      <c r="HC3" s="20" t="str">
        <f t="shared" si="3"/>
        <v xml:space="preserve">Extra cond
 </v>
      </c>
      <c r="HD3" s="20" t="str">
        <f t="shared" si="3"/>
        <v xml:space="preserve">E Effs
 </v>
      </c>
      <c r="HE3" s="20" t="str">
        <f t="shared" si="3"/>
        <v xml:space="preserve">E Effs%
 </v>
      </c>
      <c r="HF3" s="20" t="str">
        <f t="shared" si="3"/>
        <v xml:space="preserve">Required 
 </v>
      </c>
      <c r="HG3" s="20" t="str">
        <f t="shared" si="3"/>
        <v xml:space="preserve">Effects
 </v>
      </c>
      <c r="HH3" s="20" t="str">
        <f t="shared" si="3"/>
        <v xml:space="preserve">Effs. %
 </v>
      </c>
      <c r="HI3" s="20" t="str">
        <f t="shared" si="3"/>
        <v xml:space="preserve">Extra cond
 </v>
      </c>
      <c r="HJ3" s="20" t="str">
        <f t="shared" si="3"/>
        <v xml:space="preserve">E Effs
 </v>
      </c>
      <c r="HK3" s="20" t="str">
        <f t="shared" si="3"/>
        <v xml:space="preserve">E Effs%
 </v>
      </c>
      <c r="HL3" s="20" t="str">
        <f t="shared" si="3"/>
        <v xml:space="preserve">Required 
 </v>
      </c>
      <c r="HM3" s="20" t="str">
        <f t="shared" si="3"/>
        <v xml:space="preserve">Effects
 </v>
      </c>
      <c r="HN3" s="20" t="str">
        <f t="shared" si="3"/>
        <v xml:space="preserve">Effs. %
 </v>
      </c>
      <c r="HO3" s="20" t="str">
        <f t="shared" si="3"/>
        <v xml:space="preserve">Extra cond
 </v>
      </c>
      <c r="HP3" s="20" t="str">
        <f t="shared" si="3"/>
        <v xml:space="preserve">E Effs
 </v>
      </c>
      <c r="HQ3" s="20" t="str">
        <f t="shared" si="3"/>
        <v xml:space="preserve">E Effs%
 </v>
      </c>
    </row>
    <row r="4" spans="1:225" ht="15.75" customHeight="1">
      <c r="A4" s="9" t="s">
        <v>5</v>
      </c>
      <c r="D4" s="9" t="s">
        <v>15</v>
      </c>
      <c r="E4" s="9" t="s">
        <v>1</v>
      </c>
      <c r="F4" s="9" t="s">
        <v>3</v>
      </c>
      <c r="G4" s="7" t="s">
        <v>16</v>
      </c>
      <c r="H4" s="9" t="s">
        <v>17</v>
      </c>
      <c r="I4" s="11" t="s">
        <v>18</v>
      </c>
      <c r="J4" s="7" t="str">
        <f t="shared" ref="J4:Z4" si="4">D4</f>
        <v xml:space="preserve">Required </v>
      </c>
      <c r="K4" s="7" t="str">
        <f t="shared" si="4"/>
        <v>Effects</v>
      </c>
      <c r="L4" s="7" t="str">
        <f t="shared" si="4"/>
        <v>Effs. %</v>
      </c>
      <c r="M4" s="7" t="str">
        <f t="shared" si="4"/>
        <v>Extra cond</v>
      </c>
      <c r="N4" s="7" t="str">
        <f t="shared" si="4"/>
        <v>E Effs</v>
      </c>
      <c r="O4" s="8" t="str">
        <f t="shared" si="4"/>
        <v>E Effs%</v>
      </c>
      <c r="P4" s="7" t="str">
        <f t="shared" si="4"/>
        <v xml:space="preserve">Required </v>
      </c>
      <c r="Q4" s="7" t="str">
        <f t="shared" si="4"/>
        <v>Effects</v>
      </c>
      <c r="R4" s="7" t="str">
        <f t="shared" si="4"/>
        <v>Effs. %</v>
      </c>
      <c r="S4" s="7" t="str">
        <f t="shared" si="4"/>
        <v>Extra cond</v>
      </c>
      <c r="T4" s="7" t="str">
        <f t="shared" si="4"/>
        <v>E Effs</v>
      </c>
      <c r="U4" s="8" t="str">
        <f t="shared" si="4"/>
        <v>E Effs%</v>
      </c>
      <c r="V4" s="7" t="str">
        <f t="shared" si="4"/>
        <v xml:space="preserve">Required </v>
      </c>
      <c r="W4" s="7" t="str">
        <f t="shared" si="4"/>
        <v>Effects</v>
      </c>
      <c r="X4" s="7" t="str">
        <f t="shared" si="4"/>
        <v>Effs. %</v>
      </c>
      <c r="Y4" s="7" t="str">
        <f t="shared" si="4"/>
        <v>Extra cond</v>
      </c>
      <c r="Z4" s="7" t="str">
        <f t="shared" si="4"/>
        <v>E Effs</v>
      </c>
      <c r="AA4" s="8" t="str">
        <f>U4</f>
        <v>E Effs%</v>
      </c>
      <c r="AB4" s="7" t="str">
        <f>V4</f>
        <v xml:space="preserve">Required </v>
      </c>
      <c r="AC4" s="7" t="str">
        <f t="shared" ref="AC4:AG4" si="5">W4</f>
        <v>Effects</v>
      </c>
      <c r="AD4" s="7" t="str">
        <f t="shared" si="5"/>
        <v>Effs. %</v>
      </c>
      <c r="AE4" s="7" t="str">
        <f t="shared" si="5"/>
        <v>Extra cond</v>
      </c>
      <c r="AF4" s="7" t="str">
        <f t="shared" si="5"/>
        <v>E Effs</v>
      </c>
      <c r="AG4" s="8" t="str">
        <f t="shared" si="5"/>
        <v>E Effs%</v>
      </c>
      <c r="AH4" s="7" t="str">
        <f>AB4</f>
        <v xml:space="preserve">Required </v>
      </c>
      <c r="AI4" s="7" t="str">
        <f t="shared" ref="AI4:CT4" si="6">AC4</f>
        <v>Effects</v>
      </c>
      <c r="AJ4" s="7" t="str">
        <f t="shared" si="6"/>
        <v>Effs. %</v>
      </c>
      <c r="AK4" s="7" t="str">
        <f t="shared" si="6"/>
        <v>Extra cond</v>
      </c>
      <c r="AL4" s="7" t="str">
        <f t="shared" si="6"/>
        <v>E Effs</v>
      </c>
      <c r="AM4" s="8" t="str">
        <f t="shared" si="6"/>
        <v>E Effs%</v>
      </c>
      <c r="AN4" s="7" t="str">
        <f t="shared" si="6"/>
        <v xml:space="preserve">Required </v>
      </c>
      <c r="AO4" s="7" t="str">
        <f t="shared" si="6"/>
        <v>Effects</v>
      </c>
      <c r="AP4" s="7" t="str">
        <f t="shared" si="6"/>
        <v>Effs. %</v>
      </c>
      <c r="AQ4" s="7" t="str">
        <f t="shared" si="6"/>
        <v>Extra cond</v>
      </c>
      <c r="AR4" s="7" t="str">
        <f t="shared" si="6"/>
        <v>E Effs</v>
      </c>
      <c r="AS4" s="8" t="str">
        <f t="shared" si="6"/>
        <v>E Effs%</v>
      </c>
      <c r="AT4" s="7" t="str">
        <f t="shared" si="6"/>
        <v xml:space="preserve">Required </v>
      </c>
      <c r="AU4" s="7" t="str">
        <f t="shared" si="6"/>
        <v>Effects</v>
      </c>
      <c r="AV4" s="7" t="str">
        <f t="shared" si="6"/>
        <v>Effs. %</v>
      </c>
      <c r="AW4" s="7" t="str">
        <f t="shared" si="6"/>
        <v>Extra cond</v>
      </c>
      <c r="AX4" s="7" t="str">
        <f t="shared" si="6"/>
        <v>E Effs</v>
      </c>
      <c r="AY4" s="8" t="str">
        <f t="shared" si="6"/>
        <v>E Effs%</v>
      </c>
      <c r="AZ4" s="7" t="str">
        <f t="shared" si="6"/>
        <v xml:space="preserve">Required </v>
      </c>
      <c r="BA4" s="7" t="str">
        <f t="shared" si="6"/>
        <v>Effects</v>
      </c>
      <c r="BB4" s="7" t="str">
        <f t="shared" si="6"/>
        <v>Effs. %</v>
      </c>
      <c r="BC4" s="7" t="str">
        <f t="shared" si="6"/>
        <v>Extra cond</v>
      </c>
      <c r="BD4" s="7" t="str">
        <f t="shared" si="6"/>
        <v>E Effs</v>
      </c>
      <c r="BE4" s="8" t="str">
        <f t="shared" si="6"/>
        <v>E Effs%</v>
      </c>
      <c r="BF4" s="7" t="str">
        <f t="shared" si="6"/>
        <v xml:space="preserve">Required </v>
      </c>
      <c r="BG4" s="7" t="str">
        <f t="shared" si="6"/>
        <v>Effects</v>
      </c>
      <c r="BH4" s="7" t="str">
        <f t="shared" si="6"/>
        <v>Effs. %</v>
      </c>
      <c r="BI4" s="7" t="str">
        <f t="shared" si="6"/>
        <v>Extra cond</v>
      </c>
      <c r="BJ4" s="7" t="str">
        <f t="shared" si="6"/>
        <v>E Effs</v>
      </c>
      <c r="BK4" s="8" t="str">
        <f t="shared" si="6"/>
        <v>E Effs%</v>
      </c>
      <c r="BL4" s="7" t="str">
        <f t="shared" si="6"/>
        <v xml:space="preserve">Required </v>
      </c>
      <c r="BM4" s="7" t="str">
        <f t="shared" si="6"/>
        <v>Effects</v>
      </c>
      <c r="BN4" s="7" t="str">
        <f t="shared" si="6"/>
        <v>Effs. %</v>
      </c>
      <c r="BO4" s="7" t="str">
        <f t="shared" si="6"/>
        <v>Extra cond</v>
      </c>
      <c r="BP4" s="7" t="str">
        <f t="shared" si="6"/>
        <v>E Effs</v>
      </c>
      <c r="BQ4" s="8" t="str">
        <f t="shared" si="6"/>
        <v>E Effs%</v>
      </c>
      <c r="BR4" s="7" t="str">
        <f t="shared" si="6"/>
        <v xml:space="preserve">Required </v>
      </c>
      <c r="BS4" s="7" t="str">
        <f t="shared" si="6"/>
        <v>Effects</v>
      </c>
      <c r="BT4" s="7" t="str">
        <f t="shared" si="6"/>
        <v>Effs. %</v>
      </c>
      <c r="BU4" s="7" t="str">
        <f t="shared" si="6"/>
        <v>Extra cond</v>
      </c>
      <c r="BV4" s="7" t="str">
        <f t="shared" si="6"/>
        <v>E Effs</v>
      </c>
      <c r="BW4" s="8" t="str">
        <f t="shared" si="6"/>
        <v>E Effs%</v>
      </c>
      <c r="BX4" s="7" t="str">
        <f t="shared" si="6"/>
        <v xml:space="preserve">Required </v>
      </c>
      <c r="BY4" s="7" t="str">
        <f t="shared" si="6"/>
        <v>Effects</v>
      </c>
      <c r="BZ4" s="7" t="str">
        <f t="shared" si="6"/>
        <v>Effs. %</v>
      </c>
      <c r="CA4" s="7" t="str">
        <f t="shared" si="6"/>
        <v>Extra cond</v>
      </c>
      <c r="CB4" s="7" t="str">
        <f t="shared" si="6"/>
        <v>E Effs</v>
      </c>
      <c r="CC4" s="8" t="str">
        <f t="shared" si="6"/>
        <v>E Effs%</v>
      </c>
      <c r="CD4" s="7" t="str">
        <f t="shared" si="6"/>
        <v xml:space="preserve">Required </v>
      </c>
      <c r="CE4" s="7" t="str">
        <f t="shared" si="6"/>
        <v>Effects</v>
      </c>
      <c r="CF4" s="7" t="str">
        <f t="shared" si="6"/>
        <v>Effs. %</v>
      </c>
      <c r="CG4" s="7" t="str">
        <f t="shared" si="6"/>
        <v>Extra cond</v>
      </c>
      <c r="CH4" s="7" t="str">
        <f t="shared" si="6"/>
        <v>E Effs</v>
      </c>
      <c r="CI4" s="8" t="str">
        <f t="shared" si="6"/>
        <v>E Effs%</v>
      </c>
      <c r="CJ4" s="7" t="str">
        <f t="shared" si="6"/>
        <v xml:space="preserve">Required </v>
      </c>
      <c r="CK4" s="7" t="str">
        <f t="shared" si="6"/>
        <v>Effects</v>
      </c>
      <c r="CL4" s="7" t="str">
        <f t="shared" si="6"/>
        <v>Effs. %</v>
      </c>
      <c r="CM4" s="7" t="str">
        <f t="shared" si="6"/>
        <v>Extra cond</v>
      </c>
      <c r="CN4" s="7" t="str">
        <f t="shared" si="6"/>
        <v>E Effs</v>
      </c>
      <c r="CO4" s="8" t="str">
        <f t="shared" si="6"/>
        <v>E Effs%</v>
      </c>
      <c r="CP4" s="7" t="str">
        <f t="shared" si="6"/>
        <v xml:space="preserve">Required </v>
      </c>
      <c r="CQ4" s="7" t="str">
        <f t="shared" si="6"/>
        <v>Effects</v>
      </c>
      <c r="CR4" s="7" t="str">
        <f t="shared" si="6"/>
        <v>Effs. %</v>
      </c>
      <c r="CS4" s="7" t="str">
        <f t="shared" si="6"/>
        <v>Extra cond</v>
      </c>
      <c r="CT4" s="7" t="str">
        <f t="shared" si="6"/>
        <v>E Effs</v>
      </c>
      <c r="CU4" s="8" t="str">
        <f t="shared" ref="CU4:FF4" si="7">CO4</f>
        <v>E Effs%</v>
      </c>
      <c r="CV4" s="7" t="str">
        <f t="shared" si="7"/>
        <v xml:space="preserve">Required </v>
      </c>
      <c r="CW4" s="7" t="str">
        <f t="shared" si="7"/>
        <v>Effects</v>
      </c>
      <c r="CX4" s="7" t="str">
        <f t="shared" si="7"/>
        <v>Effs. %</v>
      </c>
      <c r="CY4" s="7" t="str">
        <f t="shared" si="7"/>
        <v>Extra cond</v>
      </c>
      <c r="CZ4" s="7" t="str">
        <f t="shared" si="7"/>
        <v>E Effs</v>
      </c>
      <c r="DA4" s="8" t="str">
        <f t="shared" si="7"/>
        <v>E Effs%</v>
      </c>
      <c r="DB4" s="7" t="str">
        <f t="shared" si="7"/>
        <v xml:space="preserve">Required </v>
      </c>
      <c r="DC4" s="7" t="str">
        <f t="shared" si="7"/>
        <v>Effects</v>
      </c>
      <c r="DD4" s="7" t="str">
        <f t="shared" si="7"/>
        <v>Effs. %</v>
      </c>
      <c r="DE4" s="7" t="str">
        <f t="shared" si="7"/>
        <v>Extra cond</v>
      </c>
      <c r="DF4" s="7" t="str">
        <f t="shared" si="7"/>
        <v>E Effs</v>
      </c>
      <c r="DG4" s="8" t="str">
        <f t="shared" si="7"/>
        <v>E Effs%</v>
      </c>
      <c r="DH4" s="7" t="str">
        <f t="shared" si="7"/>
        <v xml:space="preserve">Required </v>
      </c>
      <c r="DI4" s="7" t="str">
        <f t="shared" si="7"/>
        <v>Effects</v>
      </c>
      <c r="DJ4" s="7" t="str">
        <f t="shared" si="7"/>
        <v>Effs. %</v>
      </c>
      <c r="DK4" s="7" t="str">
        <f t="shared" si="7"/>
        <v>Extra cond</v>
      </c>
      <c r="DL4" s="7" t="str">
        <f t="shared" si="7"/>
        <v>E Effs</v>
      </c>
      <c r="DM4" s="8" t="str">
        <f t="shared" si="7"/>
        <v>E Effs%</v>
      </c>
      <c r="DN4" s="7" t="str">
        <f t="shared" si="7"/>
        <v xml:space="preserve">Required </v>
      </c>
      <c r="DO4" s="7" t="str">
        <f t="shared" si="7"/>
        <v>Effects</v>
      </c>
      <c r="DP4" s="7" t="str">
        <f t="shared" si="7"/>
        <v>Effs. %</v>
      </c>
      <c r="DQ4" s="7" t="str">
        <f t="shared" si="7"/>
        <v>Extra cond</v>
      </c>
      <c r="DR4" s="7" t="str">
        <f t="shared" si="7"/>
        <v>E Effs</v>
      </c>
      <c r="DS4" s="8" t="str">
        <f t="shared" si="7"/>
        <v>E Effs%</v>
      </c>
      <c r="DT4" s="7" t="str">
        <f t="shared" si="7"/>
        <v xml:space="preserve">Required </v>
      </c>
      <c r="DU4" s="7" t="str">
        <f t="shared" si="7"/>
        <v>Effects</v>
      </c>
      <c r="DV4" s="7" t="str">
        <f t="shared" si="7"/>
        <v>Effs. %</v>
      </c>
      <c r="DW4" s="7" t="str">
        <f t="shared" si="7"/>
        <v>Extra cond</v>
      </c>
      <c r="DX4" s="7" t="str">
        <f t="shared" si="7"/>
        <v>E Effs</v>
      </c>
      <c r="DY4" s="8" t="str">
        <f t="shared" si="7"/>
        <v>E Effs%</v>
      </c>
      <c r="DZ4" s="7" t="str">
        <f t="shared" si="7"/>
        <v xml:space="preserve">Required </v>
      </c>
      <c r="EA4" s="7" t="str">
        <f t="shared" si="7"/>
        <v>Effects</v>
      </c>
      <c r="EB4" s="7" t="str">
        <f t="shared" si="7"/>
        <v>Effs. %</v>
      </c>
      <c r="EC4" s="7" t="str">
        <f t="shared" si="7"/>
        <v>Extra cond</v>
      </c>
      <c r="ED4" s="7" t="str">
        <f t="shared" si="7"/>
        <v>E Effs</v>
      </c>
      <c r="EE4" s="8" t="str">
        <f t="shared" si="7"/>
        <v>E Effs%</v>
      </c>
      <c r="EF4" s="7" t="str">
        <f t="shared" si="7"/>
        <v xml:space="preserve">Required </v>
      </c>
      <c r="EG4" s="7" t="str">
        <f t="shared" si="7"/>
        <v>Effects</v>
      </c>
      <c r="EH4" s="7" t="str">
        <f t="shared" si="7"/>
        <v>Effs. %</v>
      </c>
      <c r="EI4" s="7" t="str">
        <f t="shared" si="7"/>
        <v>Extra cond</v>
      </c>
      <c r="EJ4" s="7" t="str">
        <f t="shared" si="7"/>
        <v>E Effs</v>
      </c>
      <c r="EK4" s="8" t="str">
        <f t="shared" si="7"/>
        <v>E Effs%</v>
      </c>
      <c r="EL4" s="7" t="str">
        <f t="shared" si="7"/>
        <v xml:space="preserve">Required </v>
      </c>
      <c r="EM4" s="7" t="str">
        <f t="shared" si="7"/>
        <v>Effects</v>
      </c>
      <c r="EN4" s="7" t="str">
        <f t="shared" si="7"/>
        <v>Effs. %</v>
      </c>
      <c r="EO4" s="7" t="str">
        <f t="shared" si="7"/>
        <v>Extra cond</v>
      </c>
      <c r="EP4" s="7" t="str">
        <f t="shared" si="7"/>
        <v>E Effs</v>
      </c>
      <c r="EQ4" s="8" t="str">
        <f t="shared" si="7"/>
        <v>E Effs%</v>
      </c>
      <c r="ER4" s="7" t="str">
        <f t="shared" si="7"/>
        <v xml:space="preserve">Required </v>
      </c>
      <c r="ES4" s="7" t="str">
        <f t="shared" si="7"/>
        <v>Effects</v>
      </c>
      <c r="ET4" s="7" t="str">
        <f t="shared" si="7"/>
        <v>Effs. %</v>
      </c>
      <c r="EU4" s="7" t="str">
        <f t="shared" si="7"/>
        <v>Extra cond</v>
      </c>
      <c r="EV4" s="7" t="str">
        <f t="shared" si="7"/>
        <v>E Effs</v>
      </c>
      <c r="EW4" s="8" t="str">
        <f t="shared" si="7"/>
        <v>E Effs%</v>
      </c>
      <c r="EX4" s="7" t="str">
        <f t="shared" si="7"/>
        <v xml:space="preserve">Required </v>
      </c>
      <c r="EY4" s="7" t="str">
        <f t="shared" si="7"/>
        <v>Effects</v>
      </c>
      <c r="EZ4" s="7" t="str">
        <f t="shared" si="7"/>
        <v>Effs. %</v>
      </c>
      <c r="FA4" s="7" t="str">
        <f t="shared" si="7"/>
        <v>Extra cond</v>
      </c>
      <c r="FB4" s="7" t="str">
        <f t="shared" si="7"/>
        <v>E Effs</v>
      </c>
      <c r="FC4" s="8" t="str">
        <f t="shared" si="7"/>
        <v>E Effs%</v>
      </c>
      <c r="FD4" s="7" t="str">
        <f t="shared" si="7"/>
        <v xml:space="preserve">Required </v>
      </c>
      <c r="FE4" s="7" t="str">
        <f t="shared" si="7"/>
        <v>Effects</v>
      </c>
      <c r="FF4" s="7" t="str">
        <f t="shared" si="7"/>
        <v>Effs. %</v>
      </c>
      <c r="FG4" s="7" t="str">
        <f t="shared" ref="FG4:HQ4" si="8">FA4</f>
        <v>Extra cond</v>
      </c>
      <c r="FH4" s="7" t="str">
        <f t="shared" si="8"/>
        <v>E Effs</v>
      </c>
      <c r="FI4" s="8" t="str">
        <f t="shared" si="8"/>
        <v>E Effs%</v>
      </c>
      <c r="FJ4" s="7" t="str">
        <f t="shared" si="8"/>
        <v xml:space="preserve">Required </v>
      </c>
      <c r="FK4" s="7" t="str">
        <f t="shared" si="8"/>
        <v>Effects</v>
      </c>
      <c r="FL4" s="7" t="str">
        <f t="shared" si="8"/>
        <v>Effs. %</v>
      </c>
      <c r="FM4" s="7" t="str">
        <f t="shared" si="8"/>
        <v>Extra cond</v>
      </c>
      <c r="FN4" s="7" t="str">
        <f t="shared" si="8"/>
        <v>E Effs</v>
      </c>
      <c r="FO4" s="8" t="str">
        <f t="shared" si="8"/>
        <v>E Effs%</v>
      </c>
      <c r="FP4" s="7" t="str">
        <f t="shared" si="8"/>
        <v xml:space="preserve">Required </v>
      </c>
      <c r="FQ4" s="7" t="str">
        <f t="shared" si="8"/>
        <v>Effects</v>
      </c>
      <c r="FR4" s="7" t="str">
        <f t="shared" si="8"/>
        <v>Effs. %</v>
      </c>
      <c r="FS4" s="7" t="str">
        <f t="shared" si="8"/>
        <v>Extra cond</v>
      </c>
      <c r="FT4" s="7" t="str">
        <f t="shared" si="8"/>
        <v>E Effs</v>
      </c>
      <c r="FU4" s="8" t="str">
        <f t="shared" si="8"/>
        <v>E Effs%</v>
      </c>
      <c r="FV4" s="7" t="str">
        <f t="shared" si="8"/>
        <v xml:space="preserve">Required </v>
      </c>
      <c r="FW4" s="7" t="str">
        <f t="shared" si="8"/>
        <v>Effects</v>
      </c>
      <c r="FX4" s="7" t="str">
        <f t="shared" si="8"/>
        <v>Effs. %</v>
      </c>
      <c r="FY4" s="7" t="str">
        <f t="shared" si="8"/>
        <v>Extra cond</v>
      </c>
      <c r="FZ4" s="7" t="str">
        <f t="shared" si="8"/>
        <v>E Effs</v>
      </c>
      <c r="GA4" s="8" t="str">
        <f t="shared" si="8"/>
        <v>E Effs%</v>
      </c>
      <c r="GB4" s="7" t="str">
        <f t="shared" si="8"/>
        <v xml:space="preserve">Required </v>
      </c>
      <c r="GC4" s="7" t="str">
        <f t="shared" si="8"/>
        <v>Effects</v>
      </c>
      <c r="GD4" s="7" t="str">
        <f t="shared" si="8"/>
        <v>Effs. %</v>
      </c>
      <c r="GE4" s="7" t="str">
        <f t="shared" si="8"/>
        <v>Extra cond</v>
      </c>
      <c r="GF4" s="7" t="str">
        <f t="shared" si="8"/>
        <v>E Effs</v>
      </c>
      <c r="GG4" s="8" t="str">
        <f t="shared" si="8"/>
        <v>E Effs%</v>
      </c>
      <c r="GH4" s="7" t="str">
        <f t="shared" si="8"/>
        <v xml:space="preserve">Required </v>
      </c>
      <c r="GI4" s="7" t="str">
        <f t="shared" si="8"/>
        <v>Effects</v>
      </c>
      <c r="GJ4" s="7" t="str">
        <f t="shared" si="8"/>
        <v>Effs. %</v>
      </c>
      <c r="GK4" s="7" t="str">
        <f t="shared" si="8"/>
        <v>Extra cond</v>
      </c>
      <c r="GL4" s="7" t="str">
        <f t="shared" si="8"/>
        <v>E Effs</v>
      </c>
      <c r="GM4" s="8" t="str">
        <f t="shared" si="8"/>
        <v>E Effs%</v>
      </c>
      <c r="GN4" s="7" t="str">
        <f t="shared" si="8"/>
        <v xml:space="preserve">Required </v>
      </c>
      <c r="GO4" s="7" t="str">
        <f t="shared" si="8"/>
        <v>Effects</v>
      </c>
      <c r="GP4" s="7" t="str">
        <f t="shared" si="8"/>
        <v>Effs. %</v>
      </c>
      <c r="GQ4" s="7" t="str">
        <f t="shared" si="8"/>
        <v>Extra cond</v>
      </c>
      <c r="GR4" s="7" t="str">
        <f t="shared" si="8"/>
        <v>E Effs</v>
      </c>
      <c r="GS4" s="8" t="str">
        <f t="shared" si="8"/>
        <v>E Effs%</v>
      </c>
      <c r="GT4" s="7" t="str">
        <f t="shared" si="8"/>
        <v xml:space="preserve">Required </v>
      </c>
      <c r="GU4" s="7" t="str">
        <f t="shared" si="8"/>
        <v>Effects</v>
      </c>
      <c r="GV4" s="7" t="str">
        <f t="shared" si="8"/>
        <v>Effs. %</v>
      </c>
      <c r="GW4" s="7" t="str">
        <f t="shared" si="8"/>
        <v>Extra cond</v>
      </c>
      <c r="GX4" s="7" t="str">
        <f t="shared" si="8"/>
        <v>E Effs</v>
      </c>
      <c r="GY4" s="8" t="str">
        <f t="shared" si="8"/>
        <v>E Effs%</v>
      </c>
      <c r="GZ4" s="7" t="str">
        <f t="shared" si="8"/>
        <v xml:space="preserve">Required </v>
      </c>
      <c r="HA4" s="7" t="str">
        <f t="shared" si="8"/>
        <v>Effects</v>
      </c>
      <c r="HB4" s="7" t="str">
        <f t="shared" si="8"/>
        <v>Effs. %</v>
      </c>
      <c r="HC4" s="7" t="str">
        <f t="shared" si="8"/>
        <v>Extra cond</v>
      </c>
      <c r="HD4" s="7" t="str">
        <f t="shared" si="8"/>
        <v>E Effs</v>
      </c>
      <c r="HE4" s="8" t="str">
        <f t="shared" si="8"/>
        <v>E Effs%</v>
      </c>
      <c r="HF4" s="7" t="str">
        <f t="shared" si="8"/>
        <v xml:space="preserve">Required </v>
      </c>
      <c r="HG4" s="7" t="str">
        <f t="shared" si="8"/>
        <v>Effects</v>
      </c>
      <c r="HH4" s="7" t="str">
        <f t="shared" si="8"/>
        <v>Effs. %</v>
      </c>
      <c r="HI4" s="7" t="str">
        <f t="shared" si="8"/>
        <v>Extra cond</v>
      </c>
      <c r="HJ4" s="7" t="str">
        <f t="shared" si="8"/>
        <v>E Effs</v>
      </c>
      <c r="HK4" s="8" t="str">
        <f t="shared" si="8"/>
        <v>E Effs%</v>
      </c>
      <c r="HL4" s="7" t="str">
        <f t="shared" si="8"/>
        <v xml:space="preserve">Required </v>
      </c>
      <c r="HM4" s="7" t="str">
        <f t="shared" si="8"/>
        <v>Effects</v>
      </c>
      <c r="HN4" s="7" t="str">
        <f t="shared" si="8"/>
        <v>Effs. %</v>
      </c>
      <c r="HO4" s="7" t="str">
        <f t="shared" si="8"/>
        <v>Extra cond</v>
      </c>
      <c r="HP4" s="7" t="str">
        <f t="shared" si="8"/>
        <v>E Effs</v>
      </c>
      <c r="HQ4" s="8" t="str">
        <f t="shared" si="8"/>
        <v>E Effs%</v>
      </c>
    </row>
    <row r="5" spans="1:225" ht="15.75" customHeight="1">
      <c r="B5" s="9" t="s">
        <v>98</v>
      </c>
      <c r="C5" s="9" t="s">
        <v>99</v>
      </c>
    </row>
    <row r="6" spans="1:225" ht="15.75" customHeight="1">
      <c r="B6" s="9">
        <v>0</v>
      </c>
      <c r="C6" s="9" t="s">
        <v>100</v>
      </c>
      <c r="G6" s="7">
        <v>1</v>
      </c>
      <c r="H6" s="7">
        <v>-1</v>
      </c>
      <c r="I6" s="8">
        <v>6.25</v>
      </c>
      <c r="M6" s="7">
        <v>1.1000000000000001</v>
      </c>
      <c r="N6" s="7">
        <v>-1</v>
      </c>
      <c r="O6" s="8">
        <v>6.75</v>
      </c>
      <c r="AF6" s="7">
        <v>-1</v>
      </c>
      <c r="AG6" s="8">
        <v>6.25</v>
      </c>
      <c r="AZ6" s="7">
        <v>1</v>
      </c>
      <c r="BA6" s="7">
        <v>-1</v>
      </c>
      <c r="BB6" s="7">
        <v>12.5</v>
      </c>
      <c r="BF6" s="7">
        <v>1</v>
      </c>
      <c r="BG6" s="7">
        <v>-1</v>
      </c>
      <c r="BH6" s="7">
        <v>25</v>
      </c>
      <c r="BM6" s="7">
        <v>1</v>
      </c>
      <c r="BN6" s="7">
        <v>12.5</v>
      </c>
      <c r="BP6" s="7">
        <v>1</v>
      </c>
      <c r="BQ6" s="8">
        <v>6.25</v>
      </c>
      <c r="BS6" s="7">
        <v>1</v>
      </c>
      <c r="BT6" s="7">
        <v>12.5</v>
      </c>
      <c r="BV6" s="7">
        <v>1</v>
      </c>
      <c r="BW6" s="8">
        <v>6.25</v>
      </c>
      <c r="BY6" s="7">
        <v>1</v>
      </c>
      <c r="BZ6" s="7">
        <v>12.5</v>
      </c>
      <c r="CB6" s="7">
        <v>1</v>
      </c>
      <c r="CC6" s="8">
        <v>6.25</v>
      </c>
      <c r="CE6" s="7">
        <v>1</v>
      </c>
      <c r="CF6" s="7">
        <v>12.5</v>
      </c>
      <c r="CH6" s="7">
        <v>1</v>
      </c>
      <c r="CI6" s="8">
        <v>6.25</v>
      </c>
      <c r="CK6" s="7">
        <v>1</v>
      </c>
      <c r="CL6" s="7">
        <v>12.5</v>
      </c>
      <c r="CN6" s="7">
        <v>1</v>
      </c>
      <c r="CO6" s="8">
        <v>6.25</v>
      </c>
      <c r="CP6" s="7">
        <v>1</v>
      </c>
      <c r="CT6" s="7">
        <v>1</v>
      </c>
      <c r="CU6" s="8">
        <v>6.25</v>
      </c>
      <c r="CV6" s="7">
        <v>1</v>
      </c>
      <c r="CZ6" s="7">
        <v>1</v>
      </c>
      <c r="DA6" s="7">
        <v>6.25</v>
      </c>
      <c r="DB6" s="7">
        <v>1</v>
      </c>
      <c r="DF6" s="7">
        <v>1</v>
      </c>
      <c r="DG6" s="7">
        <v>6.25</v>
      </c>
      <c r="DH6" s="7">
        <v>1</v>
      </c>
      <c r="DI6" s="7">
        <v>-1</v>
      </c>
      <c r="DJ6" s="7">
        <v>100</v>
      </c>
      <c r="DN6" s="7">
        <v>1</v>
      </c>
      <c r="DO6" s="7">
        <v>1</v>
      </c>
      <c r="DP6" s="7">
        <v>100</v>
      </c>
      <c r="DR6" s="7">
        <v>1</v>
      </c>
      <c r="DS6" s="7">
        <v>6.25</v>
      </c>
      <c r="DT6" s="7">
        <v>1</v>
      </c>
      <c r="DU6" s="7">
        <v>50</v>
      </c>
    </row>
    <row r="7" spans="1:225" ht="15.75" customHeight="1">
      <c r="B7" s="9">
        <v>0</v>
      </c>
      <c r="C7" s="9" t="s">
        <v>101</v>
      </c>
    </row>
    <row r="8" spans="1:225" ht="15.75" customHeight="1">
      <c r="B8" s="9">
        <v>0</v>
      </c>
      <c r="C8" s="9" t="s">
        <v>102</v>
      </c>
    </row>
    <row r="9" spans="1:225" ht="15.75" customHeight="1">
      <c r="B9" s="9">
        <v>0</v>
      </c>
      <c r="C9" s="9" t="s">
        <v>103</v>
      </c>
    </row>
    <row r="10" spans="1:225" ht="15.75" customHeight="1">
      <c r="B10" s="9" t="s">
        <v>104</v>
      </c>
      <c r="C10" s="9" t="s">
        <v>105</v>
      </c>
      <c r="D10" s="7">
        <v>1</v>
      </c>
      <c r="BL10" s="7">
        <v>1</v>
      </c>
      <c r="BR10" s="7">
        <v>1</v>
      </c>
      <c r="BX10" s="7">
        <v>1</v>
      </c>
      <c r="CD10" s="7">
        <v>1</v>
      </c>
      <c r="CJ10" s="7">
        <v>1</v>
      </c>
      <c r="CM10" s="7">
        <v>2</v>
      </c>
      <c r="CV10" s="7">
        <v>1</v>
      </c>
      <c r="DB10" s="7">
        <v>1</v>
      </c>
      <c r="DH10" s="7">
        <v>1</v>
      </c>
      <c r="DK10" s="7">
        <v>2</v>
      </c>
      <c r="DN10" s="7">
        <v>1</v>
      </c>
    </row>
    <row r="11" spans="1:225" ht="15.75" customHeight="1">
      <c r="B11" s="9">
        <v>0</v>
      </c>
      <c r="C11" s="9" t="s">
        <v>106</v>
      </c>
      <c r="G11" s="7">
        <v>1</v>
      </c>
      <c r="H11" s="7">
        <v>-1</v>
      </c>
      <c r="I11" s="8">
        <v>6.25</v>
      </c>
      <c r="BX11" s="7">
        <v>1</v>
      </c>
      <c r="CD11" s="7">
        <v>1</v>
      </c>
      <c r="CM11" s="7">
        <v>2</v>
      </c>
    </row>
    <row r="12" spans="1:225" ht="15.75" customHeight="1">
      <c r="B12" s="9">
        <v>0</v>
      </c>
      <c r="C12" s="9" t="s">
        <v>107</v>
      </c>
      <c r="G12" s="7">
        <v>1</v>
      </c>
      <c r="H12" s="7">
        <v>-1</v>
      </c>
      <c r="I12" s="8">
        <v>6.25</v>
      </c>
      <c r="AF12" s="7">
        <v>-1</v>
      </c>
      <c r="AG12" s="8">
        <v>6.25</v>
      </c>
      <c r="AZ12" s="7">
        <v>1</v>
      </c>
      <c r="BC12" s="7">
        <v>1</v>
      </c>
      <c r="BD12" s="7">
        <v>-1</v>
      </c>
      <c r="BE12" s="8">
        <v>6.25</v>
      </c>
      <c r="BR12" s="7">
        <v>1</v>
      </c>
      <c r="CV12" s="7">
        <v>1</v>
      </c>
      <c r="DH12" s="7">
        <v>1</v>
      </c>
      <c r="DK12" s="7">
        <v>2</v>
      </c>
      <c r="DN12" s="7">
        <v>1</v>
      </c>
      <c r="DQ12" s="7">
        <v>2</v>
      </c>
    </row>
    <row r="13" spans="1:225" ht="15.75" customHeight="1">
      <c r="B13" s="9">
        <v>0</v>
      </c>
      <c r="C13" s="9" t="s">
        <v>108</v>
      </c>
      <c r="G13" s="7">
        <v>1</v>
      </c>
      <c r="H13" s="7">
        <v>-1</v>
      </c>
      <c r="I13" s="8">
        <v>6.25</v>
      </c>
      <c r="CP13" s="7">
        <v>1</v>
      </c>
      <c r="CS13" s="7">
        <v>2</v>
      </c>
    </row>
    <row r="14" spans="1:225" ht="15.75" customHeight="1">
      <c r="B14" s="9">
        <v>0</v>
      </c>
      <c r="C14" s="9" t="s">
        <v>109</v>
      </c>
      <c r="G14" s="7">
        <v>1</v>
      </c>
      <c r="H14" s="7">
        <v>-1</v>
      </c>
      <c r="I14" s="8">
        <v>6.25</v>
      </c>
      <c r="BG14" s="7">
        <v>-1</v>
      </c>
      <c r="BH14" s="7">
        <v>25</v>
      </c>
      <c r="DH14" s="7">
        <v>1</v>
      </c>
      <c r="DK14" s="7">
        <v>2</v>
      </c>
      <c r="DN14" s="7">
        <v>1</v>
      </c>
      <c r="DQ14" s="7">
        <v>2</v>
      </c>
    </row>
    <row r="15" spans="1:225" ht="15.75" customHeight="1">
      <c r="B15" s="9">
        <v>0</v>
      </c>
      <c r="C15" s="9" t="s">
        <v>110</v>
      </c>
      <c r="G15" s="7">
        <v>1</v>
      </c>
      <c r="H15" s="7">
        <v>-1</v>
      </c>
      <c r="I15" s="8">
        <v>6.25</v>
      </c>
      <c r="DK15" s="7">
        <v>1</v>
      </c>
      <c r="DN15" s="7">
        <v>1</v>
      </c>
    </row>
    <row r="16" spans="1:225" ht="15.75" customHeight="1">
      <c r="B16" s="9">
        <v>0</v>
      </c>
      <c r="C16" s="9" t="s">
        <v>111</v>
      </c>
      <c r="G16" s="7">
        <v>1</v>
      </c>
      <c r="H16" s="7">
        <v>-1</v>
      </c>
      <c r="I16" s="8">
        <v>6.25</v>
      </c>
      <c r="AF16" s="7">
        <v>-1</v>
      </c>
      <c r="AG16" s="8">
        <v>6.25</v>
      </c>
      <c r="DN16" s="7">
        <v>1</v>
      </c>
    </row>
    <row r="17" spans="2:129" ht="15.75" customHeight="1">
      <c r="B17" s="9" t="s">
        <v>112</v>
      </c>
      <c r="C17" s="9" t="s">
        <v>113</v>
      </c>
      <c r="G17" s="7">
        <v>1</v>
      </c>
      <c r="H17" s="7">
        <v>-1</v>
      </c>
      <c r="I17" s="8">
        <v>6.25</v>
      </c>
      <c r="P17" s="7">
        <v>1</v>
      </c>
      <c r="S17" s="7">
        <v>1</v>
      </c>
      <c r="V17" s="7">
        <v>1</v>
      </c>
      <c r="Z17" s="7">
        <v>-1</v>
      </c>
      <c r="AA17" s="8">
        <v>6.25</v>
      </c>
      <c r="AE17" s="7">
        <v>3</v>
      </c>
      <c r="AH17" s="7">
        <v>1</v>
      </c>
      <c r="AK17" s="7">
        <v>2</v>
      </c>
      <c r="AL17" s="7">
        <v>-1</v>
      </c>
      <c r="AM17" s="8">
        <v>6.25</v>
      </c>
      <c r="AO17" s="7">
        <v>-1</v>
      </c>
      <c r="AP17" s="7">
        <v>25</v>
      </c>
      <c r="AT17" s="7">
        <v>1</v>
      </c>
      <c r="AU17" s="7">
        <v>-1</v>
      </c>
      <c r="AV17" s="7">
        <v>25</v>
      </c>
      <c r="AW17" s="7">
        <v>1</v>
      </c>
      <c r="AZ17" s="7">
        <v>1</v>
      </c>
      <c r="BC17" s="7">
        <v>1</v>
      </c>
      <c r="BD17" s="7">
        <v>-1</v>
      </c>
      <c r="BE17" s="8">
        <v>6.25</v>
      </c>
      <c r="BL17" s="7">
        <v>2</v>
      </c>
      <c r="BR17" s="7">
        <v>2</v>
      </c>
      <c r="BX17" s="7">
        <v>2</v>
      </c>
      <c r="CD17" s="7">
        <v>2</v>
      </c>
      <c r="CJ17" s="7">
        <v>2</v>
      </c>
      <c r="CP17" s="7">
        <v>2</v>
      </c>
      <c r="CS17" s="7">
        <v>3</v>
      </c>
      <c r="CV17" s="7">
        <v>1</v>
      </c>
      <c r="DB17" s="7">
        <v>1</v>
      </c>
      <c r="DH17" s="7">
        <v>2</v>
      </c>
      <c r="DK17" s="7">
        <v>4</v>
      </c>
      <c r="DL17" s="7">
        <v>1</v>
      </c>
      <c r="DM17" s="7">
        <v>6.25</v>
      </c>
      <c r="DN17" s="7">
        <v>2</v>
      </c>
      <c r="DW17" s="7">
        <v>3</v>
      </c>
    </row>
    <row r="18" spans="2:129" ht="15.75" customHeight="1">
      <c r="B18" s="9">
        <v>0</v>
      </c>
      <c r="C18" s="9" t="s">
        <v>114</v>
      </c>
      <c r="P18" s="7">
        <v>1</v>
      </c>
      <c r="Q18" s="7">
        <v>-1</v>
      </c>
      <c r="R18" s="7">
        <v>50</v>
      </c>
      <c r="W18" s="7">
        <v>-1</v>
      </c>
      <c r="X18" s="7">
        <v>25</v>
      </c>
      <c r="AF18" s="7">
        <v>-1</v>
      </c>
      <c r="AG18" s="8">
        <v>6.25</v>
      </c>
      <c r="AH18" s="7">
        <v>2</v>
      </c>
      <c r="AI18" s="7">
        <v>-1</v>
      </c>
      <c r="AJ18" s="7">
        <v>25</v>
      </c>
      <c r="AK18" s="7">
        <v>2</v>
      </c>
      <c r="AL18" s="7">
        <v>-1</v>
      </c>
      <c r="AM18" s="8">
        <v>6.25</v>
      </c>
      <c r="AO18" s="7">
        <v>-1</v>
      </c>
      <c r="AP18" s="7">
        <v>25</v>
      </c>
      <c r="AT18" s="7">
        <v>1</v>
      </c>
      <c r="AU18" s="7">
        <v>-1</v>
      </c>
      <c r="AV18" s="7">
        <v>25</v>
      </c>
      <c r="AW18" s="7">
        <v>1</v>
      </c>
      <c r="BA18" s="7">
        <v>-1</v>
      </c>
      <c r="BB18" s="7">
        <v>12.5</v>
      </c>
      <c r="BG18" s="7">
        <v>-1</v>
      </c>
      <c r="BH18" s="7">
        <v>25</v>
      </c>
      <c r="BI18" s="7">
        <v>1</v>
      </c>
      <c r="BO18" s="7">
        <v>1</v>
      </c>
      <c r="BU18" s="7">
        <v>1</v>
      </c>
      <c r="BX18" s="7">
        <v>1</v>
      </c>
      <c r="CA18" s="7">
        <v>1</v>
      </c>
      <c r="CD18" s="7">
        <v>1</v>
      </c>
      <c r="CG18" s="7">
        <v>2</v>
      </c>
      <c r="CM18" s="7">
        <v>1</v>
      </c>
      <c r="CP18" s="7">
        <v>1</v>
      </c>
      <c r="CS18" s="7">
        <v>2</v>
      </c>
      <c r="CV18" s="7">
        <v>2</v>
      </c>
      <c r="DB18" s="7">
        <v>2</v>
      </c>
      <c r="DH18" s="7">
        <v>2</v>
      </c>
      <c r="DK18" s="7">
        <v>2</v>
      </c>
      <c r="DL18" s="7">
        <v>1</v>
      </c>
      <c r="DM18" s="7">
        <v>6.25</v>
      </c>
      <c r="DW18" s="7">
        <v>3</v>
      </c>
    </row>
    <row r="19" spans="2:129" ht="15.75" customHeight="1">
      <c r="B19" s="9">
        <v>0</v>
      </c>
      <c r="C19" s="9" t="s">
        <v>115</v>
      </c>
      <c r="CA19" s="7">
        <v>1</v>
      </c>
      <c r="CG19" s="7">
        <v>2</v>
      </c>
      <c r="CM19" s="7">
        <v>2</v>
      </c>
      <c r="CP19" s="7">
        <v>1</v>
      </c>
      <c r="CS19" s="7">
        <v>2</v>
      </c>
      <c r="CV19" s="7">
        <v>1</v>
      </c>
      <c r="DB19" s="7">
        <v>1</v>
      </c>
    </row>
    <row r="20" spans="2:129" ht="15.75" customHeight="1">
      <c r="B20" s="9">
        <v>0</v>
      </c>
      <c r="C20" s="9" t="s">
        <v>116</v>
      </c>
      <c r="AX20" s="7">
        <v>-1</v>
      </c>
      <c r="AY20" s="8">
        <v>6.25</v>
      </c>
      <c r="BU20" s="7">
        <v>1</v>
      </c>
      <c r="CA20" s="7">
        <v>1</v>
      </c>
      <c r="CG20" s="7">
        <v>2</v>
      </c>
      <c r="CM20" s="7">
        <v>2</v>
      </c>
      <c r="CP20" s="7">
        <v>1</v>
      </c>
      <c r="CS20" s="7">
        <v>2</v>
      </c>
      <c r="DK20" s="7">
        <v>3</v>
      </c>
    </row>
    <row r="21" spans="2:129" ht="15.75" customHeight="1">
      <c r="B21" s="9">
        <v>0</v>
      </c>
      <c r="C21" s="9" t="s">
        <v>117</v>
      </c>
      <c r="BI21" s="7">
        <v>1.1000000000000001</v>
      </c>
      <c r="CG21" s="7">
        <v>1</v>
      </c>
      <c r="CM21" s="7">
        <v>1</v>
      </c>
      <c r="DQ21" s="7">
        <v>2</v>
      </c>
    </row>
    <row r="22" spans="2:129" ht="15.75" customHeight="1">
      <c r="B22" s="9">
        <v>0</v>
      </c>
      <c r="C22" s="9" t="s">
        <v>118</v>
      </c>
      <c r="S22" s="7">
        <v>0.1</v>
      </c>
      <c r="AE22" s="7">
        <v>0.1</v>
      </c>
      <c r="AT22" s="7">
        <v>3.1</v>
      </c>
      <c r="AX22" s="7">
        <v>-1</v>
      </c>
      <c r="AY22" s="8">
        <v>6.25</v>
      </c>
      <c r="BO22" s="7">
        <v>1</v>
      </c>
      <c r="BU22" s="7">
        <v>1</v>
      </c>
      <c r="CA22" s="7">
        <v>1</v>
      </c>
      <c r="CG22" s="7">
        <v>1</v>
      </c>
      <c r="CM22" s="7">
        <v>1</v>
      </c>
      <c r="CS22" s="7">
        <v>1</v>
      </c>
      <c r="DK22" s="7">
        <v>2</v>
      </c>
      <c r="DL22" s="7">
        <v>1</v>
      </c>
      <c r="DM22" s="7">
        <v>6.25</v>
      </c>
      <c r="DQ22" s="7">
        <v>1</v>
      </c>
    </row>
    <row r="23" spans="2:129" ht="15.75" customHeight="1">
      <c r="B23" s="9">
        <v>0</v>
      </c>
      <c r="C23" s="9" t="s">
        <v>119</v>
      </c>
      <c r="Q23" s="7">
        <v>-1</v>
      </c>
      <c r="R23" s="7">
        <v>25</v>
      </c>
      <c r="S23" s="7">
        <v>1</v>
      </c>
      <c r="CM23" s="7">
        <v>1</v>
      </c>
      <c r="CS23" s="7">
        <v>1</v>
      </c>
      <c r="DQ23" s="7">
        <v>1</v>
      </c>
    </row>
    <row r="24" spans="2:129" ht="15.75" customHeight="1">
      <c r="B24" s="9">
        <v>0</v>
      </c>
      <c r="C24" s="9" t="s">
        <v>120</v>
      </c>
      <c r="AX24" s="7">
        <v>-1</v>
      </c>
      <c r="AY24" s="8">
        <v>6.25</v>
      </c>
      <c r="BO24" s="7">
        <v>1</v>
      </c>
      <c r="BU24" s="7">
        <v>1</v>
      </c>
      <c r="CA24" s="7">
        <v>1</v>
      </c>
      <c r="CG24" s="7">
        <v>1</v>
      </c>
      <c r="CM24" s="7">
        <v>1</v>
      </c>
      <c r="DK24" s="7">
        <v>1</v>
      </c>
      <c r="DQ24" s="7">
        <v>1</v>
      </c>
    </row>
    <row r="25" spans="2:129" ht="15.75" customHeight="1">
      <c r="B25" s="9">
        <v>0</v>
      </c>
      <c r="C25" s="9" t="s">
        <v>121</v>
      </c>
      <c r="Q25" s="7">
        <v>-1</v>
      </c>
      <c r="R25" s="7">
        <v>25</v>
      </c>
      <c r="S25" s="7">
        <v>1</v>
      </c>
      <c r="CA25" s="7">
        <v>1</v>
      </c>
      <c r="CG25" s="7">
        <v>1</v>
      </c>
      <c r="CM25" s="7">
        <v>1</v>
      </c>
      <c r="CY25" s="7">
        <v>1</v>
      </c>
      <c r="DE25" s="7">
        <v>1</v>
      </c>
      <c r="DK25" s="7">
        <v>1</v>
      </c>
    </row>
    <row r="26" spans="2:129" ht="15.75" customHeight="1">
      <c r="B26" s="9">
        <v>0</v>
      </c>
      <c r="C26" s="9" t="s">
        <v>122</v>
      </c>
      <c r="Q26" s="7">
        <v>-1</v>
      </c>
      <c r="R26" s="7">
        <v>25</v>
      </c>
      <c r="S26" s="7">
        <v>1</v>
      </c>
      <c r="BO26" s="7">
        <v>1</v>
      </c>
      <c r="BU26" s="7">
        <v>1</v>
      </c>
      <c r="CA26" s="7">
        <v>1</v>
      </c>
      <c r="CG26" s="7">
        <v>1</v>
      </c>
      <c r="CM26" s="7">
        <v>1</v>
      </c>
      <c r="CS26" s="7">
        <v>1</v>
      </c>
      <c r="CY26" s="7">
        <v>1</v>
      </c>
      <c r="DE26" s="7">
        <v>1</v>
      </c>
      <c r="DK26" s="7">
        <v>1</v>
      </c>
      <c r="DQ26" s="7">
        <v>1</v>
      </c>
    </row>
    <row r="27" spans="2:129" ht="15.75" customHeight="1">
      <c r="B27" s="9">
        <v>0</v>
      </c>
      <c r="C27" s="9" t="s">
        <v>123</v>
      </c>
      <c r="DK27" s="7">
        <v>1</v>
      </c>
    </row>
    <row r="28" spans="2:129" ht="15.75" customHeight="1">
      <c r="B28" s="9" t="s">
        <v>124</v>
      </c>
      <c r="C28" s="9" t="s">
        <v>113</v>
      </c>
      <c r="J28" s="7">
        <v>1</v>
      </c>
      <c r="K28" s="7">
        <v>-1</v>
      </c>
      <c r="L28" s="7">
        <v>12.5</v>
      </c>
      <c r="M28" s="7">
        <v>1.1000000000000001</v>
      </c>
      <c r="V28" s="7">
        <v>1</v>
      </c>
      <c r="AE28" s="7">
        <v>1.1000000000000001</v>
      </c>
      <c r="AK28" s="7">
        <v>3.1</v>
      </c>
      <c r="AN28" s="7">
        <v>1</v>
      </c>
      <c r="AQ28" s="7">
        <v>1</v>
      </c>
      <c r="BR28" s="7">
        <v>1</v>
      </c>
      <c r="BU28" s="7">
        <v>1</v>
      </c>
      <c r="CY28" s="7">
        <v>2</v>
      </c>
      <c r="DE28" s="7">
        <v>2</v>
      </c>
      <c r="DH28" s="7">
        <v>1</v>
      </c>
      <c r="DN28" s="7">
        <v>2</v>
      </c>
      <c r="DT28" s="7">
        <v>2</v>
      </c>
    </row>
    <row r="29" spans="2:129" ht="15.75" customHeight="1">
      <c r="B29" s="9">
        <v>0</v>
      </c>
      <c r="C29" s="9" t="s">
        <v>114</v>
      </c>
      <c r="J29" s="7">
        <v>1</v>
      </c>
      <c r="K29" s="7">
        <v>-1</v>
      </c>
      <c r="L29" s="7">
        <v>25</v>
      </c>
      <c r="W29" s="7">
        <v>-1</v>
      </c>
      <c r="X29" s="7">
        <v>25</v>
      </c>
      <c r="AF29" s="7">
        <v>-1</v>
      </c>
      <c r="AO29" s="7">
        <v>-1</v>
      </c>
      <c r="AP29" s="7">
        <v>25</v>
      </c>
      <c r="AR29" s="7">
        <v>-1</v>
      </c>
      <c r="AS29" s="8">
        <v>12.5</v>
      </c>
      <c r="BD29" s="7">
        <v>-1</v>
      </c>
      <c r="BE29" s="8">
        <v>6.25</v>
      </c>
      <c r="BG29" s="7">
        <v>-1</v>
      </c>
      <c r="BH29" s="7">
        <v>25</v>
      </c>
      <c r="BI29" s="7">
        <v>1</v>
      </c>
      <c r="BO29" s="7">
        <v>1</v>
      </c>
      <c r="BU29" s="7">
        <v>1</v>
      </c>
      <c r="CA29" s="7">
        <v>1</v>
      </c>
      <c r="CG29" s="7">
        <v>1</v>
      </c>
      <c r="CM29" s="7">
        <v>1</v>
      </c>
      <c r="CS29" s="7">
        <v>1</v>
      </c>
      <c r="CY29" s="7">
        <v>4</v>
      </c>
      <c r="DE29" s="7">
        <v>4</v>
      </c>
      <c r="DK29" s="7">
        <v>3</v>
      </c>
      <c r="DL29" s="7">
        <v>1</v>
      </c>
      <c r="DM29" s="7">
        <v>6.25</v>
      </c>
      <c r="DW29" s="7">
        <v>3</v>
      </c>
    </row>
    <row r="30" spans="2:129" ht="15.75" customHeight="1">
      <c r="B30" s="9">
        <v>0</v>
      </c>
      <c r="C30" s="9" t="s">
        <v>125</v>
      </c>
      <c r="N30" s="7">
        <v>-1</v>
      </c>
      <c r="O30" s="8">
        <v>6.75</v>
      </c>
      <c r="BC30" s="7">
        <v>1.1000000000000001</v>
      </c>
      <c r="BO30" s="7">
        <v>2</v>
      </c>
      <c r="BU30" s="7">
        <v>2</v>
      </c>
      <c r="CA30" s="7">
        <v>2</v>
      </c>
      <c r="CM30" s="7">
        <v>2</v>
      </c>
      <c r="CS30" s="7">
        <v>2</v>
      </c>
      <c r="CY30" s="7">
        <v>2</v>
      </c>
      <c r="DE30" s="7">
        <v>2</v>
      </c>
      <c r="DK30" s="7">
        <v>2</v>
      </c>
      <c r="DL30" s="7">
        <v>1</v>
      </c>
      <c r="DM30" s="7">
        <v>6.25</v>
      </c>
      <c r="DN30" s="7">
        <v>1</v>
      </c>
    </row>
    <row r="31" spans="2:129" ht="15.75" customHeight="1">
      <c r="B31" s="9">
        <v>0</v>
      </c>
      <c r="C31" s="9" t="s">
        <v>126</v>
      </c>
      <c r="N31" s="7">
        <v>-1</v>
      </c>
      <c r="O31" s="8">
        <v>6.75</v>
      </c>
      <c r="S31" s="7">
        <v>1</v>
      </c>
      <c r="T31" s="7">
        <v>-1</v>
      </c>
      <c r="CY31" s="7">
        <v>4</v>
      </c>
      <c r="DE31" s="7">
        <v>4</v>
      </c>
      <c r="DQ31" s="7">
        <v>1</v>
      </c>
      <c r="DW31" s="7">
        <v>2</v>
      </c>
      <c r="DX31" s="7">
        <v>1</v>
      </c>
      <c r="DY31" s="7">
        <v>6.25</v>
      </c>
    </row>
    <row r="32" spans="2:129" ht="15.75" customHeight="1">
      <c r="B32" s="9">
        <v>0</v>
      </c>
      <c r="C32" s="9" t="s">
        <v>127</v>
      </c>
      <c r="G32" s="7">
        <v>1.1000000000000001</v>
      </c>
      <c r="S32" s="7">
        <v>0.1</v>
      </c>
      <c r="AE32" s="7">
        <v>0.1</v>
      </c>
      <c r="AK32" s="7">
        <v>2.1</v>
      </c>
      <c r="AW32" s="7">
        <v>3.1</v>
      </c>
      <c r="BA32" s="7">
        <v>1</v>
      </c>
      <c r="BB32" s="7">
        <v>12.5</v>
      </c>
      <c r="BC32" s="7">
        <v>1.1000000000000001</v>
      </c>
      <c r="BG32" s="7">
        <v>1</v>
      </c>
      <c r="BH32" s="7">
        <v>25</v>
      </c>
      <c r="BO32" s="7">
        <v>2</v>
      </c>
      <c r="BU32" s="7">
        <v>2</v>
      </c>
      <c r="CA32" s="7">
        <v>2</v>
      </c>
      <c r="CM32" s="7">
        <v>2</v>
      </c>
      <c r="CS32" s="7">
        <v>2</v>
      </c>
      <c r="CY32" s="7">
        <v>2</v>
      </c>
      <c r="DE32" s="7">
        <v>2</v>
      </c>
      <c r="DK32" s="7">
        <v>3</v>
      </c>
      <c r="DN32" s="7">
        <v>2</v>
      </c>
      <c r="DQ32" s="7">
        <v>3</v>
      </c>
      <c r="DT32" s="7">
        <v>2</v>
      </c>
      <c r="DW32" s="7">
        <v>2</v>
      </c>
    </row>
    <row r="33" spans="2:129" ht="15.75" customHeight="1">
      <c r="B33" s="9">
        <v>0</v>
      </c>
      <c r="C33" s="9" t="s">
        <v>128</v>
      </c>
      <c r="N33" s="7">
        <v>-1</v>
      </c>
      <c r="O33" s="8">
        <v>6.75</v>
      </c>
      <c r="AH33" s="7">
        <v>1</v>
      </c>
      <c r="AN33" s="7">
        <v>1</v>
      </c>
      <c r="AQ33" s="7">
        <v>1</v>
      </c>
      <c r="AR33" s="7">
        <v>-1</v>
      </c>
      <c r="AS33" s="8">
        <v>6.25</v>
      </c>
      <c r="AW33" s="7">
        <v>3.1</v>
      </c>
      <c r="BA33" s="7">
        <v>-1</v>
      </c>
      <c r="BB33" s="7">
        <v>12.5</v>
      </c>
      <c r="BG33" s="7">
        <v>-1</v>
      </c>
      <c r="BH33" s="7">
        <v>25</v>
      </c>
      <c r="BI33" s="7">
        <v>1</v>
      </c>
      <c r="CY33" s="7">
        <v>2</v>
      </c>
      <c r="DE33" s="7">
        <v>2</v>
      </c>
      <c r="DK33" s="7">
        <v>2</v>
      </c>
      <c r="DL33" s="7">
        <v>1</v>
      </c>
      <c r="DM33" s="7">
        <v>6.25</v>
      </c>
      <c r="DN33" s="7">
        <v>2</v>
      </c>
      <c r="DQ33" s="7">
        <v>3</v>
      </c>
    </row>
    <row r="34" spans="2:129" ht="15.75" customHeight="1">
      <c r="B34" s="9">
        <v>0</v>
      </c>
      <c r="C34" s="9" t="s">
        <v>129</v>
      </c>
      <c r="AE34" s="7">
        <v>0.1</v>
      </c>
      <c r="AK34" s="7">
        <v>2.1</v>
      </c>
      <c r="AN34" s="7">
        <v>1</v>
      </c>
      <c r="AW34" s="7">
        <v>3.1</v>
      </c>
      <c r="BA34" s="7">
        <v>1</v>
      </c>
      <c r="BB34" s="7">
        <v>12.5</v>
      </c>
      <c r="BC34" s="7">
        <v>1.1000000000000001</v>
      </c>
      <c r="BG34" s="7">
        <v>1</v>
      </c>
      <c r="BH34" s="7">
        <v>25</v>
      </c>
      <c r="BI34" s="7">
        <v>2.1</v>
      </c>
    </row>
    <row r="35" spans="2:129" ht="15.75" customHeight="1">
      <c r="B35" s="9">
        <v>0</v>
      </c>
      <c r="C35" s="9" t="s">
        <v>130</v>
      </c>
      <c r="N35" s="7">
        <v>-1</v>
      </c>
      <c r="O35" s="8">
        <v>6.75</v>
      </c>
      <c r="AE35" s="7">
        <v>0.1</v>
      </c>
      <c r="AW35" s="7">
        <v>2.1</v>
      </c>
      <c r="BO35" s="7">
        <v>1</v>
      </c>
      <c r="BU35" s="7">
        <v>1</v>
      </c>
      <c r="CA35" s="7">
        <v>1</v>
      </c>
      <c r="CG35" s="7">
        <v>1</v>
      </c>
      <c r="CM35" s="7">
        <v>1</v>
      </c>
      <c r="CS35" s="7">
        <v>1</v>
      </c>
      <c r="DK35" s="7">
        <v>2</v>
      </c>
      <c r="DN35" s="7">
        <v>1</v>
      </c>
    </row>
    <row r="36" spans="2:129" ht="15.75" customHeight="1">
      <c r="B36" s="9">
        <v>0</v>
      </c>
      <c r="C36" s="9" t="s">
        <v>131</v>
      </c>
      <c r="AW36" s="7">
        <v>2.1</v>
      </c>
      <c r="DK36" s="7">
        <v>1</v>
      </c>
      <c r="DT36" s="7">
        <v>1</v>
      </c>
    </row>
    <row r="37" spans="2:129" ht="15.75" customHeight="1">
      <c r="B37" s="9">
        <v>0</v>
      </c>
      <c r="C37" s="9" t="s">
        <v>132</v>
      </c>
      <c r="S37" s="7">
        <v>0.1</v>
      </c>
      <c r="Y37" s="7">
        <v>0.1</v>
      </c>
      <c r="AK37" s="7">
        <v>2.1</v>
      </c>
      <c r="AW37" s="7">
        <v>2.1</v>
      </c>
      <c r="BC37" s="7">
        <v>1.1000000000000001</v>
      </c>
      <c r="BI37" s="7">
        <v>1.1000000000000001</v>
      </c>
      <c r="BO37" s="7">
        <v>1</v>
      </c>
      <c r="BU37" s="7">
        <v>1</v>
      </c>
      <c r="CA37" s="7">
        <v>1</v>
      </c>
      <c r="CG37" s="7">
        <v>1</v>
      </c>
      <c r="CM37" s="7">
        <v>1</v>
      </c>
      <c r="CS37" s="7">
        <v>1</v>
      </c>
      <c r="DK37" s="7">
        <v>1</v>
      </c>
      <c r="DN37" s="7">
        <v>1</v>
      </c>
    </row>
    <row r="38" spans="2:129" ht="15.75" customHeight="1">
      <c r="B38" s="9">
        <v>0</v>
      </c>
      <c r="C38" s="9" t="s">
        <v>133</v>
      </c>
      <c r="BO38" s="7">
        <v>1</v>
      </c>
      <c r="BU38" s="7">
        <v>1</v>
      </c>
      <c r="CA38" s="7">
        <v>1</v>
      </c>
      <c r="CG38" s="7">
        <v>1</v>
      </c>
      <c r="CM38" s="7">
        <v>1</v>
      </c>
      <c r="DK38" s="7">
        <v>1</v>
      </c>
      <c r="DW38" s="7">
        <v>1</v>
      </c>
    </row>
    <row r="39" spans="2:129" ht="15.75" customHeight="1">
      <c r="B39" s="9">
        <v>0</v>
      </c>
      <c r="C39" s="9" t="s">
        <v>134</v>
      </c>
      <c r="DK39" s="7">
        <v>1</v>
      </c>
    </row>
    <row r="40" spans="2:129" ht="15.75" customHeight="1">
      <c r="B40" s="9">
        <v>0</v>
      </c>
      <c r="C40" s="9" t="s">
        <v>135</v>
      </c>
      <c r="Y40" s="7">
        <v>0.1</v>
      </c>
      <c r="AK40" s="7">
        <v>2.1</v>
      </c>
      <c r="BC40" s="7">
        <v>1.1000000000000001</v>
      </c>
      <c r="BI40" s="7">
        <v>1.1000000000000001</v>
      </c>
      <c r="BO40" s="7">
        <v>2</v>
      </c>
      <c r="BU40" s="7">
        <v>2</v>
      </c>
      <c r="CA40" s="7">
        <v>2</v>
      </c>
      <c r="CG40" s="7">
        <v>2</v>
      </c>
      <c r="CM40" s="7">
        <v>2</v>
      </c>
      <c r="CY40" s="7">
        <v>2</v>
      </c>
      <c r="DE40" s="7">
        <v>2</v>
      </c>
      <c r="DK40" s="7">
        <v>1</v>
      </c>
      <c r="DQ40" s="7">
        <v>1</v>
      </c>
      <c r="DW40" s="7">
        <v>1</v>
      </c>
    </row>
    <row r="41" spans="2:129" ht="15.75" customHeight="1">
      <c r="B41" s="9" t="s">
        <v>136</v>
      </c>
      <c r="C41" s="9" t="s">
        <v>114</v>
      </c>
    </row>
    <row r="42" spans="2:129" ht="15.75" customHeight="1">
      <c r="B42" s="9">
        <v>0</v>
      </c>
      <c r="C42" s="9" t="s">
        <v>137</v>
      </c>
      <c r="DK42" s="7">
        <v>2</v>
      </c>
      <c r="DN42" s="7">
        <v>1</v>
      </c>
      <c r="DT42" s="7">
        <v>1</v>
      </c>
      <c r="DU42" s="7">
        <v>1</v>
      </c>
      <c r="DV42" s="7">
        <v>25</v>
      </c>
      <c r="DX42" s="7">
        <v>1</v>
      </c>
      <c r="DY42" s="7">
        <v>6.25</v>
      </c>
    </row>
    <row r="43" spans="2:129" ht="15.75" customHeight="1">
      <c r="B43" s="9">
        <v>0</v>
      </c>
      <c r="C43" s="9" t="s">
        <v>138</v>
      </c>
      <c r="DK43" s="7">
        <v>2</v>
      </c>
      <c r="DN43" s="7">
        <v>2</v>
      </c>
      <c r="DT43" s="7">
        <v>2</v>
      </c>
    </row>
    <row r="44" spans="2:129" ht="15.75" customHeight="1">
      <c r="B44" s="9">
        <v>0</v>
      </c>
      <c r="C44" s="10" t="s">
        <v>139</v>
      </c>
    </row>
    <row r="45" spans="2:129" ht="15.75" customHeight="1">
      <c r="B45" s="9">
        <v>0</v>
      </c>
      <c r="C45" s="10" t="s">
        <v>126</v>
      </c>
    </row>
    <row r="46" spans="2:129" ht="15.75" customHeight="1">
      <c r="B46" s="9">
        <v>0</v>
      </c>
      <c r="C46" s="10" t="s">
        <v>140</v>
      </c>
    </row>
    <row r="47" spans="2:129" ht="15.75" customHeight="1">
      <c r="B47" s="9" t="s">
        <v>141</v>
      </c>
      <c r="C47" s="9" t="s">
        <v>142</v>
      </c>
      <c r="AF47" s="7">
        <v>-1</v>
      </c>
      <c r="AG47" s="8">
        <v>6.25</v>
      </c>
      <c r="BL47" s="7">
        <v>1</v>
      </c>
      <c r="BP47" s="7">
        <v>1</v>
      </c>
      <c r="BQ47" s="8">
        <v>6.25</v>
      </c>
      <c r="BR47" s="7">
        <v>1</v>
      </c>
      <c r="BV47" s="7">
        <v>1</v>
      </c>
      <c r="BW47" s="8">
        <v>6.25</v>
      </c>
      <c r="BX47" s="7">
        <v>1</v>
      </c>
      <c r="CB47" s="7">
        <v>1</v>
      </c>
      <c r="CC47" s="8">
        <v>6.25</v>
      </c>
      <c r="CH47" s="7">
        <v>1</v>
      </c>
      <c r="CI47" s="8">
        <v>6.25</v>
      </c>
      <c r="CN47" s="7">
        <v>1</v>
      </c>
      <c r="CO47" s="8">
        <v>6.25</v>
      </c>
      <c r="CP47" s="7">
        <v>1</v>
      </c>
      <c r="CQ47" s="7">
        <v>1</v>
      </c>
      <c r="CR47" s="7">
        <v>50</v>
      </c>
      <c r="DK47" s="7">
        <v>2</v>
      </c>
    </row>
    <row r="48" spans="2:129" ht="15.75" customHeight="1">
      <c r="B48" s="9">
        <v>0</v>
      </c>
      <c r="C48" s="9" t="s">
        <v>143</v>
      </c>
    </row>
    <row r="49" spans="2:129" ht="15.75" customHeight="1">
      <c r="B49" s="9">
        <v>0</v>
      </c>
      <c r="C49" s="9" t="s">
        <v>144</v>
      </c>
      <c r="AL49" s="7">
        <v>-1</v>
      </c>
      <c r="AM49" s="8">
        <v>6.25</v>
      </c>
      <c r="DU49" s="7">
        <v>1</v>
      </c>
      <c r="DV49" s="7">
        <v>25</v>
      </c>
    </row>
    <row r="50" spans="2:129" ht="15.75" customHeight="1">
      <c r="B50" s="9">
        <v>0</v>
      </c>
      <c r="C50" s="9" t="s">
        <v>145</v>
      </c>
      <c r="AF50" s="7">
        <v>-1</v>
      </c>
      <c r="AG50" s="8">
        <v>6.25</v>
      </c>
    </row>
    <row r="51" spans="2:129" ht="15.75" customHeight="1">
      <c r="B51" s="9">
        <v>0</v>
      </c>
      <c r="C51" s="9" t="s">
        <v>146</v>
      </c>
      <c r="CZ51" s="7">
        <v>1</v>
      </c>
      <c r="DA51" s="7">
        <v>6.25</v>
      </c>
      <c r="DF51" s="7">
        <v>1</v>
      </c>
      <c r="DG51" s="7">
        <v>6.25</v>
      </c>
      <c r="DK51" s="7">
        <v>2</v>
      </c>
      <c r="DQ51" s="7">
        <v>3</v>
      </c>
    </row>
    <row r="52" spans="2:129" ht="15.75" customHeight="1">
      <c r="B52" s="9">
        <v>0</v>
      </c>
      <c r="C52" s="9" t="s">
        <v>147</v>
      </c>
    </row>
    <row r="53" spans="2:129" ht="15.75" customHeight="1">
      <c r="B53" s="9">
        <v>0</v>
      </c>
      <c r="C53" s="9" t="s">
        <v>148</v>
      </c>
    </row>
    <row r="54" spans="2:129" ht="15.75" customHeight="1">
      <c r="B54" s="9">
        <v>0</v>
      </c>
      <c r="C54" s="9" t="s">
        <v>149</v>
      </c>
      <c r="DN54" s="7">
        <v>2</v>
      </c>
      <c r="DQ54" s="7">
        <v>3</v>
      </c>
      <c r="DR54" s="7">
        <v>1</v>
      </c>
      <c r="DS54" s="7">
        <v>6.25</v>
      </c>
    </row>
    <row r="55" spans="2:129" ht="15.75" customHeight="1">
      <c r="B55" s="9">
        <v>0</v>
      </c>
      <c r="C55" s="9" t="s">
        <v>150</v>
      </c>
      <c r="AF55" s="7">
        <v>-1</v>
      </c>
      <c r="AG55" s="8">
        <v>6.25</v>
      </c>
      <c r="AL55" s="7">
        <v>-1</v>
      </c>
      <c r="AM55" s="8">
        <v>6.25</v>
      </c>
      <c r="CV55" s="7">
        <v>1</v>
      </c>
      <c r="CW55" s="7">
        <v>1</v>
      </c>
      <c r="CX55" s="7">
        <v>50</v>
      </c>
      <c r="DB55" s="7">
        <v>1</v>
      </c>
      <c r="DC55" s="7">
        <v>1</v>
      </c>
      <c r="DD55" s="7">
        <v>50</v>
      </c>
      <c r="DK55" s="7">
        <v>2</v>
      </c>
      <c r="DU55" s="7">
        <v>1</v>
      </c>
      <c r="DV55" s="7">
        <v>50</v>
      </c>
    </row>
    <row r="56" spans="2:129" ht="15.75" customHeight="1">
      <c r="B56" s="9" t="s">
        <v>151</v>
      </c>
      <c r="C56" s="9" t="s">
        <v>152</v>
      </c>
      <c r="Y56" s="7">
        <v>1</v>
      </c>
      <c r="AE56" s="7">
        <v>1</v>
      </c>
      <c r="AK56" s="7">
        <v>1</v>
      </c>
      <c r="AQ56" s="7">
        <v>2.1</v>
      </c>
      <c r="DK56" s="7">
        <v>2</v>
      </c>
      <c r="DN56" s="7">
        <v>1</v>
      </c>
    </row>
    <row r="57" spans="2:129" ht="15.75" customHeight="1">
      <c r="B57" s="9">
        <v>0</v>
      </c>
      <c r="C57" s="9" t="s">
        <v>153</v>
      </c>
      <c r="Y57" s="7">
        <v>3</v>
      </c>
      <c r="AH57" s="7">
        <v>1</v>
      </c>
      <c r="AK57" s="7">
        <v>1</v>
      </c>
      <c r="BL57" s="7">
        <v>1</v>
      </c>
      <c r="BO57" s="7">
        <v>2</v>
      </c>
      <c r="BR57" s="7">
        <v>1</v>
      </c>
      <c r="BU57" s="7">
        <v>2</v>
      </c>
      <c r="BX57" s="7">
        <v>1</v>
      </c>
      <c r="CA57" s="7">
        <v>2</v>
      </c>
      <c r="CD57" s="7">
        <v>1</v>
      </c>
      <c r="CG57" s="7">
        <v>2</v>
      </c>
      <c r="CJ57" s="7">
        <v>1</v>
      </c>
      <c r="CM57" s="7">
        <v>2</v>
      </c>
      <c r="CS57" s="7">
        <v>2</v>
      </c>
      <c r="CY57" s="7">
        <v>2</v>
      </c>
      <c r="DE57" s="7">
        <v>2</v>
      </c>
      <c r="DK57" s="7">
        <v>2</v>
      </c>
      <c r="DN57" s="7">
        <v>2</v>
      </c>
    </row>
    <row r="58" spans="2:129" ht="15.75" customHeight="1">
      <c r="B58" s="9">
        <v>0</v>
      </c>
      <c r="C58" s="9" t="s">
        <v>154</v>
      </c>
      <c r="Y58" s="7">
        <v>2</v>
      </c>
      <c r="Z58" s="7">
        <v>-1</v>
      </c>
      <c r="AH58" s="7">
        <v>1</v>
      </c>
      <c r="AK58" s="7">
        <v>2</v>
      </c>
      <c r="AL58" s="7">
        <v>-1</v>
      </c>
      <c r="AM58" s="8">
        <v>6.25</v>
      </c>
      <c r="AQ58" s="7">
        <v>3</v>
      </c>
      <c r="AR58" s="7">
        <v>-1</v>
      </c>
      <c r="AS58" s="8">
        <v>6.25</v>
      </c>
      <c r="BD58" s="7">
        <v>-1</v>
      </c>
      <c r="BE58" s="8">
        <v>6.25</v>
      </c>
      <c r="BJ58" s="7">
        <v>-1</v>
      </c>
      <c r="BK58" s="8">
        <v>6.25</v>
      </c>
      <c r="BL58" s="7">
        <v>1</v>
      </c>
      <c r="BO58" s="7">
        <v>3</v>
      </c>
      <c r="BR58" s="7">
        <v>1</v>
      </c>
      <c r="BU58" s="7">
        <v>3</v>
      </c>
      <c r="BX58" s="7">
        <v>1</v>
      </c>
      <c r="CA58" s="7">
        <v>3</v>
      </c>
      <c r="CD58" s="7">
        <v>1</v>
      </c>
      <c r="CJ58" s="7">
        <v>1</v>
      </c>
      <c r="CM58" s="7">
        <v>3</v>
      </c>
      <c r="CS58" s="7">
        <v>3</v>
      </c>
      <c r="CT58" s="7">
        <v>1</v>
      </c>
      <c r="CU58" s="8">
        <v>6.25</v>
      </c>
      <c r="CZ58" s="7">
        <v>1</v>
      </c>
      <c r="DA58" s="7">
        <v>6.25</v>
      </c>
      <c r="DF58" s="7">
        <v>1</v>
      </c>
      <c r="DG58" s="7">
        <v>6.25</v>
      </c>
      <c r="DL58" s="7">
        <v>1</v>
      </c>
      <c r="DM58" s="7">
        <v>6.25</v>
      </c>
      <c r="DN58" s="7">
        <v>3</v>
      </c>
      <c r="DO58" s="7">
        <v>1</v>
      </c>
      <c r="DP58" s="7">
        <v>25</v>
      </c>
      <c r="DR58" s="7">
        <v>1</v>
      </c>
      <c r="DS58" s="7">
        <v>6.25</v>
      </c>
      <c r="DT58" s="7">
        <v>3</v>
      </c>
      <c r="DU58" s="7">
        <v>1</v>
      </c>
      <c r="DV58" s="7">
        <v>25</v>
      </c>
      <c r="DX58" s="7">
        <v>1</v>
      </c>
      <c r="DY58" s="7">
        <v>6.25</v>
      </c>
    </row>
    <row r="59" spans="2:129" ht="15.75" customHeight="1">
      <c r="B59" s="9">
        <v>0</v>
      </c>
      <c r="C59" s="9" t="s">
        <v>155</v>
      </c>
      <c r="G59" s="7">
        <v>1</v>
      </c>
      <c r="H59" s="7">
        <v>-1</v>
      </c>
      <c r="I59" s="8">
        <v>6.25</v>
      </c>
      <c r="M59" s="7">
        <v>0.1</v>
      </c>
      <c r="W59" s="7">
        <v>-1</v>
      </c>
      <c r="X59" s="7">
        <v>25</v>
      </c>
      <c r="AF59" s="7">
        <v>-1</v>
      </c>
      <c r="AG59" s="8">
        <v>6.25</v>
      </c>
      <c r="AR59" s="7">
        <v>-1</v>
      </c>
      <c r="AS59" s="8">
        <v>6.25</v>
      </c>
      <c r="BA59" s="7">
        <v>-1</v>
      </c>
      <c r="BB59" s="7">
        <v>12.5</v>
      </c>
      <c r="BJ59" s="7">
        <v>-1</v>
      </c>
      <c r="BK59" s="8">
        <v>25</v>
      </c>
      <c r="BO59" s="7">
        <v>2</v>
      </c>
      <c r="BU59" s="7">
        <v>2</v>
      </c>
      <c r="CA59" s="7">
        <v>2</v>
      </c>
      <c r="CG59" s="7">
        <v>2</v>
      </c>
      <c r="CM59" s="7">
        <v>2</v>
      </c>
      <c r="CS59" s="7">
        <v>2</v>
      </c>
      <c r="CY59" s="7">
        <v>3</v>
      </c>
      <c r="DE59" s="7">
        <v>3</v>
      </c>
      <c r="DK59" s="7">
        <v>2</v>
      </c>
    </row>
    <row r="60" spans="2:129" ht="15.75" customHeight="1">
      <c r="B60" s="9">
        <v>0</v>
      </c>
      <c r="C60" s="9" t="s">
        <v>156</v>
      </c>
      <c r="CZ60" s="7">
        <v>1</v>
      </c>
      <c r="DA60" s="7">
        <v>6.25</v>
      </c>
      <c r="DF60" s="7">
        <v>1</v>
      </c>
      <c r="DG60" s="7">
        <v>6.25</v>
      </c>
      <c r="DL60" s="7">
        <v>1</v>
      </c>
      <c r="DM60" s="7">
        <v>6.25</v>
      </c>
      <c r="DO60" s="7">
        <v>1</v>
      </c>
      <c r="DP60" s="7">
        <v>50</v>
      </c>
      <c r="DT60" s="7">
        <v>2</v>
      </c>
    </row>
    <row r="61" spans="2:129" ht="15.75" customHeight="1">
      <c r="B61" s="9">
        <v>0</v>
      </c>
      <c r="C61" s="9" t="s">
        <v>157</v>
      </c>
      <c r="G61" s="7">
        <v>2.1</v>
      </c>
      <c r="Y61" s="7">
        <v>0.1</v>
      </c>
      <c r="AE61" s="7">
        <v>1.1000000000000001</v>
      </c>
      <c r="AK61" s="7">
        <v>2.1</v>
      </c>
      <c r="AW61" s="7">
        <v>2.1</v>
      </c>
      <c r="BA61" s="7">
        <v>1</v>
      </c>
      <c r="BB61" s="7">
        <v>25</v>
      </c>
      <c r="BC61" s="7">
        <v>2.1</v>
      </c>
      <c r="BG61" s="7">
        <v>1</v>
      </c>
      <c r="BH61" s="7">
        <v>25</v>
      </c>
      <c r="BO61" s="7">
        <v>1</v>
      </c>
      <c r="BU61" s="7">
        <v>1</v>
      </c>
      <c r="CA61" s="7">
        <v>1</v>
      </c>
      <c r="CG61" s="7">
        <v>1</v>
      </c>
      <c r="CM61" s="7">
        <v>1</v>
      </c>
    </row>
    <row r="62" spans="2:129" ht="15.75" customHeight="1">
      <c r="B62" s="9">
        <v>0</v>
      </c>
      <c r="C62" s="9" t="s">
        <v>158</v>
      </c>
      <c r="G62" s="7">
        <v>2.1</v>
      </c>
      <c r="M62" s="7">
        <v>1.1000000000000001</v>
      </c>
      <c r="AE62" s="7">
        <v>1.1000000000000001</v>
      </c>
      <c r="AK62" s="7">
        <v>2.1</v>
      </c>
      <c r="AQ62" s="7">
        <v>2.1</v>
      </c>
      <c r="BC62" s="7">
        <v>2.1</v>
      </c>
      <c r="BG62" s="7">
        <v>1</v>
      </c>
      <c r="BH62" s="7">
        <v>25</v>
      </c>
    </row>
    <row r="63" spans="2:129" ht="15.75" customHeight="1">
      <c r="B63" s="9" t="s">
        <v>159</v>
      </c>
      <c r="C63" s="9" t="s">
        <v>160</v>
      </c>
      <c r="AK63" s="7">
        <v>1.1000000000000001</v>
      </c>
    </row>
    <row r="64" spans="2:129" ht="15.75" customHeight="1">
      <c r="B64" s="9">
        <v>0</v>
      </c>
      <c r="C64" s="9" t="s">
        <v>134</v>
      </c>
      <c r="DK64" s="7">
        <v>2</v>
      </c>
    </row>
    <row r="65" spans="2:127" ht="15.75" customHeight="1">
      <c r="B65" s="9">
        <v>0</v>
      </c>
      <c r="C65" s="9" t="s">
        <v>161</v>
      </c>
      <c r="T65" s="7">
        <v>-1</v>
      </c>
      <c r="U65" s="8">
        <v>6.25</v>
      </c>
    </row>
    <row r="66" spans="2:127" ht="15.75" customHeight="1">
      <c r="B66" s="9">
        <v>0</v>
      </c>
      <c r="C66" s="9" t="s">
        <v>162</v>
      </c>
      <c r="BO66" s="7">
        <v>1</v>
      </c>
      <c r="BU66" s="7">
        <v>1</v>
      </c>
      <c r="CA66" s="7">
        <v>1</v>
      </c>
      <c r="CG66" s="7">
        <v>1</v>
      </c>
      <c r="CM66" s="7">
        <v>2</v>
      </c>
      <c r="DK66" s="7">
        <v>2</v>
      </c>
    </row>
    <row r="67" spans="2:127" ht="15.75" customHeight="1">
      <c r="B67" s="9">
        <v>0</v>
      </c>
      <c r="C67" s="9" t="s">
        <v>163</v>
      </c>
      <c r="S67" s="7">
        <v>0.1</v>
      </c>
      <c r="AQ67" s="7">
        <v>2.1</v>
      </c>
      <c r="AW67" s="7">
        <v>2.1</v>
      </c>
      <c r="CA67" s="7">
        <v>1</v>
      </c>
      <c r="CG67" s="7">
        <v>1</v>
      </c>
      <c r="CM67" s="7">
        <v>1</v>
      </c>
      <c r="DK67" s="7">
        <v>2</v>
      </c>
      <c r="DL67" s="7">
        <v>1</v>
      </c>
      <c r="DM67" s="7">
        <v>6.25</v>
      </c>
    </row>
    <row r="68" spans="2:127" ht="15.75" customHeight="1">
      <c r="B68" s="9">
        <v>0</v>
      </c>
      <c r="C68" s="9" t="s">
        <v>164</v>
      </c>
      <c r="Y68" s="7">
        <v>0.1</v>
      </c>
      <c r="DK68" s="7">
        <v>2</v>
      </c>
      <c r="DN68" s="7">
        <v>2</v>
      </c>
    </row>
    <row r="69" spans="2:127" ht="15.75" customHeight="1">
      <c r="B69" s="9">
        <v>0</v>
      </c>
      <c r="C69" s="9" t="s">
        <v>165</v>
      </c>
      <c r="CA69" s="7">
        <v>1</v>
      </c>
      <c r="CM69" s="7">
        <v>2</v>
      </c>
      <c r="DK69" s="7">
        <v>2</v>
      </c>
      <c r="DQ69" s="7">
        <v>2</v>
      </c>
      <c r="DW69" s="7">
        <v>2</v>
      </c>
    </row>
    <row r="70" spans="2:127" ht="15.75" customHeight="1">
      <c r="B70" s="9">
        <v>0</v>
      </c>
      <c r="C70" s="9" t="s">
        <v>166</v>
      </c>
      <c r="Y70" s="7">
        <v>0.1</v>
      </c>
      <c r="AK70" s="7">
        <v>1.1000000000000001</v>
      </c>
      <c r="BO70" s="7">
        <v>1</v>
      </c>
      <c r="BU70" s="7">
        <v>1</v>
      </c>
      <c r="CA70" s="7">
        <v>1</v>
      </c>
      <c r="CG70" s="7">
        <v>1</v>
      </c>
      <c r="CM70" s="7">
        <v>1</v>
      </c>
      <c r="DK70" s="7">
        <v>2</v>
      </c>
    </row>
    <row r="71" spans="2:127" ht="15.75" customHeight="1">
      <c r="B71" s="9" t="s">
        <v>105</v>
      </c>
      <c r="C71" s="9" t="s">
        <v>167</v>
      </c>
      <c r="T71" s="7">
        <v>-1</v>
      </c>
      <c r="U71" s="8">
        <v>6.25</v>
      </c>
      <c r="CA71" s="7">
        <v>2</v>
      </c>
      <c r="CM71" s="7">
        <v>2</v>
      </c>
    </row>
    <row r="72" spans="2:127" ht="15.75" customHeight="1">
      <c r="B72" s="9">
        <v>0</v>
      </c>
      <c r="C72" s="9" t="s">
        <v>168</v>
      </c>
      <c r="CA72" s="7">
        <v>2</v>
      </c>
      <c r="CG72" s="7">
        <v>1</v>
      </c>
      <c r="CM72" s="7">
        <v>2</v>
      </c>
    </row>
    <row r="73" spans="2:127" ht="15.75" customHeight="1">
      <c r="B73" s="9">
        <v>0</v>
      </c>
      <c r="C73" s="9" t="s">
        <v>169</v>
      </c>
      <c r="CA73" s="7">
        <v>2</v>
      </c>
      <c r="CG73" s="7">
        <v>2</v>
      </c>
      <c r="CM73" s="7">
        <v>2</v>
      </c>
    </row>
    <row r="74" spans="2:127" ht="15.75" customHeight="1">
      <c r="B74" s="9">
        <v>0</v>
      </c>
      <c r="C74" s="9" t="s">
        <v>170</v>
      </c>
      <c r="T74" s="7">
        <v>-1</v>
      </c>
      <c r="U74" s="8">
        <v>6.25</v>
      </c>
      <c r="CG74" s="7">
        <v>2</v>
      </c>
      <c r="CM74" s="7">
        <v>2</v>
      </c>
    </row>
    <row r="75" spans="2:127" ht="15.75" customHeight="1">
      <c r="B75" s="9">
        <v>0</v>
      </c>
      <c r="C75" s="9" t="s">
        <v>171</v>
      </c>
      <c r="CY75" s="7">
        <v>2</v>
      </c>
      <c r="DK75" s="7">
        <v>1</v>
      </c>
    </row>
    <row r="76" spans="2:127" ht="15.75" customHeight="1">
      <c r="B76" s="9">
        <v>0</v>
      </c>
      <c r="C76" s="9" t="s">
        <v>172</v>
      </c>
      <c r="CA76" s="7">
        <v>3</v>
      </c>
      <c r="CG76" s="7">
        <v>3</v>
      </c>
      <c r="CM76" s="7">
        <v>2</v>
      </c>
    </row>
    <row r="77" spans="2:127" ht="15.75" customHeight="1">
      <c r="B77" s="9">
        <v>0</v>
      </c>
      <c r="C77" s="9" t="s">
        <v>173</v>
      </c>
    </row>
    <row r="78" spans="2:127" ht="15.75" customHeight="1">
      <c r="B78" s="9">
        <v>0</v>
      </c>
      <c r="C78" s="9" t="s">
        <v>174</v>
      </c>
    </row>
    <row r="79" spans="2:127" ht="15.75" customHeight="1">
      <c r="B79" s="9">
        <v>0</v>
      </c>
      <c r="C79" s="9" t="s">
        <v>175</v>
      </c>
      <c r="DE79" s="7">
        <v>2</v>
      </c>
    </row>
    <row r="80" spans="2:127" ht="15.75" customHeight="1">
      <c r="B80" s="9" t="s">
        <v>176</v>
      </c>
      <c r="C80" s="9" t="s">
        <v>177</v>
      </c>
      <c r="BU80" s="7">
        <v>1</v>
      </c>
      <c r="CV80" s="7">
        <v>1</v>
      </c>
      <c r="CY80" s="7">
        <v>2</v>
      </c>
      <c r="DH80" s="7">
        <v>1</v>
      </c>
      <c r="DK80" s="7">
        <v>2</v>
      </c>
      <c r="DN80" s="7">
        <v>1</v>
      </c>
      <c r="DQ80" s="7">
        <v>2</v>
      </c>
    </row>
    <row r="81" spans="2:121" ht="15.75" customHeight="1">
      <c r="B81" s="9">
        <v>0</v>
      </c>
      <c r="C81" s="9" t="s">
        <v>178</v>
      </c>
      <c r="CP81" s="7">
        <v>1</v>
      </c>
      <c r="CS81" s="7">
        <v>2</v>
      </c>
      <c r="DK81" s="7">
        <v>2</v>
      </c>
    </row>
    <row r="82" spans="2:121" ht="15.75" customHeight="1">
      <c r="B82" s="9">
        <v>0</v>
      </c>
      <c r="C82" s="9" t="s">
        <v>179</v>
      </c>
      <c r="CY82" s="7">
        <v>2</v>
      </c>
      <c r="DK82" s="7">
        <v>2</v>
      </c>
      <c r="DN82" s="7">
        <v>1</v>
      </c>
      <c r="DQ82" s="7">
        <v>2</v>
      </c>
    </row>
    <row r="83" spans="2:121" ht="15.75" customHeight="1">
      <c r="B83" s="9">
        <v>0</v>
      </c>
      <c r="C83" s="9" t="s">
        <v>110</v>
      </c>
      <c r="CS83" s="7">
        <v>2</v>
      </c>
      <c r="CY83" s="7">
        <v>2</v>
      </c>
      <c r="DK83" s="7">
        <v>2</v>
      </c>
      <c r="DN83" s="7">
        <v>1</v>
      </c>
      <c r="DQ83" s="7">
        <v>2</v>
      </c>
    </row>
    <row r="84" spans="2:121" ht="15.75" customHeight="1">
      <c r="B84" s="9">
        <v>0</v>
      </c>
      <c r="C84" s="9" t="s">
        <v>111</v>
      </c>
      <c r="DK84" s="7">
        <v>1</v>
      </c>
    </row>
    <row r="85" spans="2:121" ht="15.75" customHeight="1">
      <c r="B85" s="9" t="s">
        <v>180</v>
      </c>
      <c r="C85" s="9" t="s">
        <v>181</v>
      </c>
      <c r="T85" s="7">
        <v>-1</v>
      </c>
      <c r="U85" s="8">
        <v>6.25</v>
      </c>
      <c r="BL85" s="7">
        <v>1</v>
      </c>
      <c r="BO85" s="7">
        <v>2</v>
      </c>
      <c r="BR85" s="7">
        <v>1</v>
      </c>
      <c r="BU85" s="7">
        <v>2</v>
      </c>
      <c r="BX85" s="7">
        <v>1</v>
      </c>
      <c r="CA85" s="7">
        <v>2</v>
      </c>
      <c r="CD85" s="7">
        <v>1</v>
      </c>
      <c r="CG85" s="7">
        <v>2</v>
      </c>
      <c r="CJ85" s="7">
        <v>1</v>
      </c>
      <c r="CM85" s="7">
        <v>2</v>
      </c>
      <c r="CS85" s="7">
        <v>2</v>
      </c>
      <c r="CV85" s="7">
        <v>1</v>
      </c>
      <c r="CY85" s="7">
        <v>2</v>
      </c>
      <c r="DB85" s="7">
        <v>1</v>
      </c>
      <c r="DH85" s="7">
        <v>1</v>
      </c>
      <c r="DK85" s="7">
        <v>1</v>
      </c>
      <c r="DN85" s="7">
        <v>2</v>
      </c>
      <c r="DQ85" s="7">
        <v>2</v>
      </c>
    </row>
    <row r="86" spans="2:121" ht="15.75" customHeight="1">
      <c r="B86" s="9">
        <v>0</v>
      </c>
      <c r="C86" s="9" t="s">
        <v>182</v>
      </c>
      <c r="BO86" s="7">
        <v>1</v>
      </c>
      <c r="CA86" s="7">
        <v>1</v>
      </c>
      <c r="CG86" s="7">
        <v>1</v>
      </c>
      <c r="CM86" s="7">
        <v>1</v>
      </c>
      <c r="CP86" s="7">
        <v>1</v>
      </c>
      <c r="CS86" s="7">
        <v>2</v>
      </c>
      <c r="CY86" s="7">
        <v>1</v>
      </c>
      <c r="DK86" s="7">
        <v>2</v>
      </c>
      <c r="DN86" s="7">
        <v>1</v>
      </c>
    </row>
    <row r="87" spans="2:121" ht="15.75" customHeight="1">
      <c r="B87" s="9">
        <v>0</v>
      </c>
      <c r="C87" s="9" t="s">
        <v>183</v>
      </c>
      <c r="BO87" s="7">
        <v>1</v>
      </c>
      <c r="CS87" s="7">
        <v>2</v>
      </c>
      <c r="CY87" s="7">
        <v>1</v>
      </c>
      <c r="DH87" s="7">
        <v>1</v>
      </c>
      <c r="DK87" s="7">
        <v>2</v>
      </c>
      <c r="DN87" s="7">
        <v>1</v>
      </c>
    </row>
    <row r="88" spans="2:121" ht="15.75" customHeight="1">
      <c r="B88" s="9">
        <v>0</v>
      </c>
      <c r="C88" s="9" t="s">
        <v>184</v>
      </c>
      <c r="BX88" s="7">
        <v>1</v>
      </c>
      <c r="CA88" s="7">
        <v>2</v>
      </c>
      <c r="CG88" s="7">
        <v>2</v>
      </c>
      <c r="CM88" s="7">
        <v>2</v>
      </c>
      <c r="CV88" s="7">
        <v>1</v>
      </c>
      <c r="CY88" s="7">
        <v>2</v>
      </c>
      <c r="DB88" s="7">
        <v>1</v>
      </c>
      <c r="DK88" s="7">
        <v>2</v>
      </c>
    </row>
    <row r="89" spans="2:121" ht="15.75" customHeight="1">
      <c r="B89" s="9" t="s">
        <v>185</v>
      </c>
      <c r="C89" s="9" t="s">
        <v>186</v>
      </c>
      <c r="CW89" s="7">
        <v>1</v>
      </c>
      <c r="CX89" s="7">
        <v>50</v>
      </c>
      <c r="DC89" s="7">
        <v>1</v>
      </c>
      <c r="DD89" s="7">
        <v>50</v>
      </c>
      <c r="DI89" s="7">
        <v>1</v>
      </c>
      <c r="DJ89" s="7">
        <v>100</v>
      </c>
    </row>
    <row r="90" spans="2:121" ht="15.75" customHeight="1">
      <c r="B90" s="9">
        <v>0</v>
      </c>
      <c r="C90" s="9" t="s">
        <v>187</v>
      </c>
    </row>
    <row r="91" spans="2:121" ht="15.75" customHeight="1">
      <c r="B91" s="9">
        <v>0</v>
      </c>
      <c r="C91" s="9" t="s">
        <v>188</v>
      </c>
    </row>
    <row r="92" spans="2:121" ht="15.75" customHeight="1">
      <c r="B92" s="9" t="s">
        <v>189</v>
      </c>
      <c r="C92" s="9" t="s">
        <v>190</v>
      </c>
      <c r="BS92" s="7">
        <v>1</v>
      </c>
      <c r="BY92" s="7">
        <v>1</v>
      </c>
      <c r="CE92" s="7">
        <v>1</v>
      </c>
      <c r="CK92" s="7">
        <v>1</v>
      </c>
      <c r="DN92" s="7">
        <v>1</v>
      </c>
    </row>
    <row r="93" spans="2:121" ht="15.75" customHeight="1">
      <c r="B93" s="9">
        <v>0</v>
      </c>
      <c r="C93" s="9" t="s">
        <v>191</v>
      </c>
      <c r="BM93" s="7">
        <v>1</v>
      </c>
      <c r="CQ93" s="7">
        <v>1</v>
      </c>
      <c r="CR93" s="7">
        <v>50</v>
      </c>
    </row>
    <row r="94" spans="2:121" ht="15.75" customHeight="1">
      <c r="B94" s="9">
        <v>0</v>
      </c>
      <c r="C94" s="9" t="s">
        <v>192</v>
      </c>
    </row>
    <row r="95" spans="2:121" ht="15.75" customHeight="1">
      <c r="B95" s="9">
        <v>0</v>
      </c>
      <c r="C95" s="9" t="s">
        <v>193</v>
      </c>
    </row>
    <row r="96" spans="2:121" ht="15.75" customHeight="1">
      <c r="B96" s="9" t="s">
        <v>194</v>
      </c>
      <c r="C96" s="9" t="s">
        <v>194</v>
      </c>
    </row>
    <row r="97" spans="1:225" ht="15.75" customHeight="1">
      <c r="B97" s="9">
        <v>0</v>
      </c>
      <c r="C97" s="9" t="s">
        <v>195</v>
      </c>
    </row>
    <row r="98" spans="1:225" ht="15.75" customHeight="1">
      <c r="B98" s="9">
        <v>0</v>
      </c>
      <c r="C98" s="9" t="s">
        <v>196</v>
      </c>
    </row>
    <row r="99" spans="1:225" ht="15.75" customHeight="1">
      <c r="B99" s="9" t="s">
        <v>197</v>
      </c>
      <c r="C99" s="9" t="s">
        <v>198</v>
      </c>
    </row>
    <row r="100" spans="1:225" ht="15.75" customHeight="1">
      <c r="B100" s="9">
        <v>0</v>
      </c>
      <c r="C100" s="9" t="s">
        <v>199</v>
      </c>
    </row>
    <row r="101" spans="1:225" ht="15.75" customHeight="1">
      <c r="B101" s="9">
        <v>0</v>
      </c>
      <c r="C101" s="9" t="s">
        <v>200</v>
      </c>
    </row>
    <row r="102" spans="1:225" ht="15.75" customHeight="1">
      <c r="B102" s="9">
        <v>0</v>
      </c>
      <c r="C102" s="9">
        <v>0</v>
      </c>
    </row>
    <row r="103" spans="1:225" ht="15.75" customHeight="1">
      <c r="B103" s="9">
        <v>0</v>
      </c>
      <c r="C103" s="9">
        <v>0</v>
      </c>
    </row>
    <row r="104" spans="1:225" ht="15.75" customHeight="1">
      <c r="B104" s="9">
        <v>0</v>
      </c>
      <c r="C104" s="9">
        <v>0</v>
      </c>
    </row>
    <row r="110" spans="1:225" s="22" customFormat="1" ht="15.75" customHeight="1" thickBot="1">
      <c r="I110" s="25"/>
      <c r="O110" s="25"/>
      <c r="U110" s="25"/>
      <c r="AA110" s="25"/>
      <c r="AG110" s="25"/>
      <c r="AM110" s="25"/>
      <c r="AS110" s="25"/>
      <c r="AY110" s="25"/>
      <c r="BE110" s="25"/>
      <c r="BK110" s="25"/>
      <c r="BQ110" s="25"/>
      <c r="BW110" s="25"/>
      <c r="CC110" s="25"/>
      <c r="CI110" s="25"/>
      <c r="CO110" s="25"/>
      <c r="CU110" s="25"/>
    </row>
    <row r="111" spans="1:225" ht="15" customHeight="1" thickTop="1">
      <c r="A111" s="9" t="s">
        <v>5</v>
      </c>
      <c r="D111" s="9" t="s">
        <v>15</v>
      </c>
      <c r="E111" s="9" t="s">
        <v>1</v>
      </c>
      <c r="F111" s="9" t="s">
        <v>3</v>
      </c>
      <c r="G111" s="7" t="s">
        <v>16</v>
      </c>
      <c r="H111" s="9" t="s">
        <v>17</v>
      </c>
      <c r="I111" s="11" t="s">
        <v>18</v>
      </c>
      <c r="J111" s="7" t="str">
        <f t="shared" ref="J111" si="9">D111</f>
        <v xml:space="preserve">Required </v>
      </c>
      <c r="K111" s="7" t="str">
        <f t="shared" ref="K111" si="10">E111</f>
        <v>Effects</v>
      </c>
      <c r="L111" s="7" t="str">
        <f t="shared" ref="L111" si="11">F111</f>
        <v>Effs. %</v>
      </c>
      <c r="M111" s="7" t="str">
        <f t="shared" ref="M111" si="12">G111</f>
        <v>Extra cond</v>
      </c>
      <c r="N111" s="7" t="str">
        <f t="shared" ref="N111" si="13">H111</f>
        <v>E Effs</v>
      </c>
      <c r="O111" s="8" t="str">
        <f t="shared" ref="O111" si="14">I111</f>
        <v>E Effs%</v>
      </c>
      <c r="P111" s="7" t="str">
        <f t="shared" ref="P111" si="15">J111</f>
        <v xml:space="preserve">Required </v>
      </c>
      <c r="Q111" s="7" t="str">
        <f t="shared" ref="Q111" si="16">K111</f>
        <v>Effects</v>
      </c>
      <c r="R111" s="7" t="str">
        <f t="shared" ref="R111" si="17">L111</f>
        <v>Effs. %</v>
      </c>
      <c r="S111" s="7" t="str">
        <f t="shared" ref="S111" si="18">M111</f>
        <v>Extra cond</v>
      </c>
      <c r="T111" s="7" t="str">
        <f t="shared" ref="T111" si="19">N111</f>
        <v>E Effs</v>
      </c>
      <c r="U111" s="8" t="str">
        <f t="shared" ref="U111" si="20">O111</f>
        <v>E Effs%</v>
      </c>
      <c r="V111" s="7" t="str">
        <f t="shared" ref="V111" si="21">P111</f>
        <v xml:space="preserve">Required </v>
      </c>
      <c r="W111" s="7" t="str">
        <f t="shared" ref="W111" si="22">Q111</f>
        <v>Effects</v>
      </c>
      <c r="X111" s="7" t="str">
        <f t="shared" ref="X111" si="23">R111</f>
        <v>Effs. %</v>
      </c>
      <c r="Y111" s="7" t="str">
        <f t="shared" ref="Y111" si="24">S111</f>
        <v>Extra cond</v>
      </c>
      <c r="Z111" s="7" t="str">
        <f t="shared" ref="Z111" si="25">T111</f>
        <v>E Effs</v>
      </c>
      <c r="AA111" s="8" t="str">
        <f>U111</f>
        <v>E Effs%</v>
      </c>
      <c r="AB111" s="7" t="str">
        <f>V111</f>
        <v xml:space="preserve">Required </v>
      </c>
      <c r="AC111" s="7" t="str">
        <f t="shared" ref="AC111" si="26">W111</f>
        <v>Effects</v>
      </c>
      <c r="AD111" s="7" t="str">
        <f t="shared" ref="AD111" si="27">X111</f>
        <v>Effs. %</v>
      </c>
      <c r="AE111" s="7" t="str">
        <f t="shared" ref="AE111" si="28">Y111</f>
        <v>Extra cond</v>
      </c>
      <c r="AF111" s="7" t="str">
        <f t="shared" ref="AF111" si="29">Z111</f>
        <v>E Effs</v>
      </c>
      <c r="AG111" s="8" t="str">
        <f t="shared" ref="AG111" si="30">AA111</f>
        <v>E Effs%</v>
      </c>
      <c r="AH111" s="7" t="str">
        <f>AB111</f>
        <v xml:space="preserve">Required </v>
      </c>
      <c r="AI111" s="7" t="str">
        <f t="shared" ref="AI111" si="31">AC111</f>
        <v>Effects</v>
      </c>
      <c r="AJ111" s="7" t="str">
        <f t="shared" ref="AJ111" si="32">AD111</f>
        <v>Effs. %</v>
      </c>
      <c r="AK111" s="7" t="str">
        <f t="shared" ref="AK111" si="33">AE111</f>
        <v>Extra cond</v>
      </c>
      <c r="AL111" s="7" t="str">
        <f t="shared" ref="AL111" si="34">AF111</f>
        <v>E Effs</v>
      </c>
      <c r="AM111" s="8" t="str">
        <f t="shared" ref="AM111" si="35">AG111</f>
        <v>E Effs%</v>
      </c>
      <c r="AN111" s="7" t="str">
        <f t="shared" ref="AN111" si="36">AH111</f>
        <v xml:space="preserve">Required </v>
      </c>
      <c r="AO111" s="7" t="str">
        <f t="shared" ref="AO111" si="37">AI111</f>
        <v>Effects</v>
      </c>
      <c r="AP111" s="7" t="str">
        <f t="shared" ref="AP111" si="38">AJ111</f>
        <v>Effs. %</v>
      </c>
      <c r="AQ111" s="7" t="str">
        <f t="shared" ref="AQ111" si="39">AK111</f>
        <v>Extra cond</v>
      </c>
      <c r="AR111" s="7" t="str">
        <f t="shared" ref="AR111" si="40">AL111</f>
        <v>E Effs</v>
      </c>
      <c r="AS111" s="8" t="str">
        <f t="shared" ref="AS111" si="41">AM111</f>
        <v>E Effs%</v>
      </c>
      <c r="AT111" s="7" t="str">
        <f t="shared" ref="AT111" si="42">AN111</f>
        <v xml:space="preserve">Required </v>
      </c>
      <c r="AU111" s="7" t="str">
        <f t="shared" ref="AU111" si="43">AO111</f>
        <v>Effects</v>
      </c>
      <c r="AV111" s="7" t="str">
        <f t="shared" ref="AV111" si="44">AP111</f>
        <v>Effs. %</v>
      </c>
      <c r="AW111" s="7" t="str">
        <f t="shared" ref="AW111" si="45">AQ111</f>
        <v>Extra cond</v>
      </c>
      <c r="AX111" s="7" t="str">
        <f t="shared" ref="AX111" si="46">AR111</f>
        <v>E Effs</v>
      </c>
      <c r="AY111" s="8" t="str">
        <f t="shared" ref="AY111" si="47">AS111</f>
        <v>E Effs%</v>
      </c>
      <c r="AZ111" s="7" t="str">
        <f t="shared" ref="AZ111" si="48">AT111</f>
        <v xml:space="preserve">Required </v>
      </c>
      <c r="BA111" s="7" t="str">
        <f t="shared" ref="BA111" si="49">AU111</f>
        <v>Effects</v>
      </c>
      <c r="BB111" s="7" t="str">
        <f t="shared" ref="BB111" si="50">AV111</f>
        <v>Effs. %</v>
      </c>
      <c r="BC111" s="7" t="str">
        <f t="shared" ref="BC111" si="51">AW111</f>
        <v>Extra cond</v>
      </c>
      <c r="BD111" s="7" t="str">
        <f t="shared" ref="BD111" si="52">AX111</f>
        <v>E Effs</v>
      </c>
      <c r="BE111" s="8" t="str">
        <f t="shared" ref="BE111" si="53">AY111</f>
        <v>E Effs%</v>
      </c>
      <c r="BF111" s="7" t="str">
        <f t="shared" ref="BF111" si="54">AZ111</f>
        <v xml:space="preserve">Required </v>
      </c>
      <c r="BG111" s="7" t="str">
        <f t="shared" ref="BG111" si="55">BA111</f>
        <v>Effects</v>
      </c>
      <c r="BH111" s="7" t="str">
        <f t="shared" ref="BH111" si="56">BB111</f>
        <v>Effs. %</v>
      </c>
      <c r="BI111" s="7" t="str">
        <f t="shared" ref="BI111" si="57">BC111</f>
        <v>Extra cond</v>
      </c>
      <c r="BJ111" s="7" t="str">
        <f t="shared" ref="BJ111" si="58">BD111</f>
        <v>E Effs</v>
      </c>
      <c r="BK111" s="8" t="str">
        <f t="shared" ref="BK111" si="59">BE111</f>
        <v>E Effs%</v>
      </c>
      <c r="BL111" s="7" t="str">
        <f t="shared" ref="BL111" si="60">BF111</f>
        <v xml:space="preserve">Required </v>
      </c>
      <c r="BM111" s="7" t="str">
        <f t="shared" ref="BM111" si="61">BG111</f>
        <v>Effects</v>
      </c>
      <c r="BN111" s="7" t="str">
        <f t="shared" ref="BN111" si="62">BH111</f>
        <v>Effs. %</v>
      </c>
      <c r="BO111" s="7" t="str">
        <f t="shared" ref="BO111" si="63">BI111</f>
        <v>Extra cond</v>
      </c>
      <c r="BP111" s="7" t="str">
        <f t="shared" ref="BP111" si="64">BJ111</f>
        <v>E Effs</v>
      </c>
      <c r="BQ111" s="8" t="str">
        <f t="shared" ref="BQ111" si="65">BK111</f>
        <v>E Effs%</v>
      </c>
      <c r="BR111" s="7" t="str">
        <f t="shared" ref="BR111" si="66">BL111</f>
        <v xml:space="preserve">Required </v>
      </c>
      <c r="BS111" s="7" t="str">
        <f t="shared" ref="BS111" si="67">BM111</f>
        <v>Effects</v>
      </c>
      <c r="BT111" s="7" t="str">
        <f t="shared" ref="BT111" si="68">BN111</f>
        <v>Effs. %</v>
      </c>
      <c r="BU111" s="7" t="str">
        <f t="shared" ref="BU111" si="69">BO111</f>
        <v>Extra cond</v>
      </c>
      <c r="BV111" s="7" t="str">
        <f t="shared" ref="BV111" si="70">BP111</f>
        <v>E Effs</v>
      </c>
      <c r="BW111" s="8" t="str">
        <f t="shared" ref="BW111" si="71">BQ111</f>
        <v>E Effs%</v>
      </c>
      <c r="BX111" s="7" t="str">
        <f t="shared" ref="BX111" si="72">BR111</f>
        <v xml:space="preserve">Required </v>
      </c>
      <c r="BY111" s="7" t="str">
        <f t="shared" ref="BY111" si="73">BS111</f>
        <v>Effects</v>
      </c>
      <c r="BZ111" s="7" t="str">
        <f t="shared" ref="BZ111" si="74">BT111</f>
        <v>Effs. %</v>
      </c>
      <c r="CA111" s="7" t="str">
        <f t="shared" ref="CA111" si="75">BU111</f>
        <v>Extra cond</v>
      </c>
      <c r="CB111" s="7" t="str">
        <f t="shared" ref="CB111" si="76">BV111</f>
        <v>E Effs</v>
      </c>
      <c r="CC111" s="8" t="str">
        <f t="shared" ref="CC111" si="77">BW111</f>
        <v>E Effs%</v>
      </c>
      <c r="CD111" s="7" t="str">
        <f t="shared" ref="CD111" si="78">BX111</f>
        <v xml:space="preserve">Required </v>
      </c>
      <c r="CE111" s="7" t="str">
        <f t="shared" ref="CE111" si="79">BY111</f>
        <v>Effects</v>
      </c>
      <c r="CF111" s="7" t="str">
        <f t="shared" ref="CF111" si="80">BZ111</f>
        <v>Effs. %</v>
      </c>
      <c r="CG111" s="7" t="str">
        <f t="shared" ref="CG111" si="81">CA111</f>
        <v>Extra cond</v>
      </c>
      <c r="CH111" s="7" t="str">
        <f t="shared" ref="CH111" si="82">CB111</f>
        <v>E Effs</v>
      </c>
      <c r="CI111" s="8" t="str">
        <f t="shared" ref="CI111" si="83">CC111</f>
        <v>E Effs%</v>
      </c>
      <c r="CJ111" s="7" t="str">
        <f t="shared" ref="CJ111" si="84">CD111</f>
        <v xml:space="preserve">Required </v>
      </c>
      <c r="CK111" s="7" t="str">
        <f t="shared" ref="CK111" si="85">CE111</f>
        <v>Effects</v>
      </c>
      <c r="CL111" s="7" t="str">
        <f t="shared" ref="CL111" si="86">CF111</f>
        <v>Effs. %</v>
      </c>
      <c r="CM111" s="7" t="str">
        <f t="shared" ref="CM111" si="87">CG111</f>
        <v>Extra cond</v>
      </c>
      <c r="CN111" s="7" t="str">
        <f t="shared" ref="CN111" si="88">CH111</f>
        <v>E Effs</v>
      </c>
      <c r="CO111" s="8" t="str">
        <f t="shared" ref="CO111" si="89">CI111</f>
        <v>E Effs%</v>
      </c>
      <c r="CP111" s="7" t="str">
        <f t="shared" ref="CP111" si="90">CJ111</f>
        <v xml:space="preserve">Required </v>
      </c>
      <c r="CQ111" s="7" t="str">
        <f t="shared" ref="CQ111" si="91">CK111</f>
        <v>Effects</v>
      </c>
      <c r="CR111" s="7" t="str">
        <f t="shared" ref="CR111" si="92">CL111</f>
        <v>Effs. %</v>
      </c>
      <c r="CS111" s="7" t="str">
        <f t="shared" ref="CS111" si="93">CM111</f>
        <v>Extra cond</v>
      </c>
      <c r="CT111" s="7" t="str">
        <f t="shared" ref="CT111" si="94">CN111</f>
        <v>E Effs</v>
      </c>
      <c r="CU111" s="8" t="str">
        <f t="shared" ref="CU111" si="95">CO111</f>
        <v>E Effs%</v>
      </c>
      <c r="CV111" s="7" t="str">
        <f t="shared" ref="CV111" si="96">CP111</f>
        <v xml:space="preserve">Required </v>
      </c>
      <c r="CW111" s="7" t="str">
        <f t="shared" ref="CW111" si="97">CQ111</f>
        <v>Effects</v>
      </c>
      <c r="CX111" s="7" t="str">
        <f t="shared" ref="CX111" si="98">CR111</f>
        <v>Effs. %</v>
      </c>
      <c r="CY111" s="7" t="str">
        <f t="shared" ref="CY111" si="99">CS111</f>
        <v>Extra cond</v>
      </c>
      <c r="CZ111" s="7" t="str">
        <f t="shared" ref="CZ111" si="100">CT111</f>
        <v>E Effs</v>
      </c>
      <c r="DA111" s="8" t="str">
        <f t="shared" ref="DA111" si="101">CU111</f>
        <v>E Effs%</v>
      </c>
      <c r="DB111" s="7" t="str">
        <f t="shared" ref="DB111" si="102">CV111</f>
        <v xml:space="preserve">Required </v>
      </c>
      <c r="DC111" s="7" t="str">
        <f t="shared" ref="DC111" si="103">CW111</f>
        <v>Effects</v>
      </c>
      <c r="DD111" s="7" t="str">
        <f t="shared" ref="DD111" si="104">CX111</f>
        <v>Effs. %</v>
      </c>
      <c r="DE111" s="7" t="str">
        <f t="shared" ref="DE111" si="105">CY111</f>
        <v>Extra cond</v>
      </c>
      <c r="DF111" s="7" t="str">
        <f t="shared" ref="DF111" si="106">CZ111</f>
        <v>E Effs</v>
      </c>
      <c r="DG111" s="8" t="str">
        <f t="shared" ref="DG111" si="107">DA111</f>
        <v>E Effs%</v>
      </c>
      <c r="DH111" s="7" t="str">
        <f t="shared" ref="DH111" si="108">DB111</f>
        <v xml:space="preserve">Required </v>
      </c>
      <c r="DI111" s="7" t="str">
        <f t="shared" ref="DI111" si="109">DC111</f>
        <v>Effects</v>
      </c>
      <c r="DJ111" s="7" t="str">
        <f t="shared" ref="DJ111" si="110">DD111</f>
        <v>Effs. %</v>
      </c>
      <c r="DK111" s="7" t="str">
        <f t="shared" ref="DK111" si="111">DE111</f>
        <v>Extra cond</v>
      </c>
      <c r="DL111" s="7" t="str">
        <f t="shared" ref="DL111" si="112">DF111</f>
        <v>E Effs</v>
      </c>
      <c r="DM111" s="8" t="str">
        <f t="shared" ref="DM111" si="113">DG111</f>
        <v>E Effs%</v>
      </c>
      <c r="DN111" s="7" t="str">
        <f t="shared" ref="DN111" si="114">DH111</f>
        <v xml:space="preserve">Required </v>
      </c>
      <c r="DO111" s="7" t="str">
        <f t="shared" ref="DO111" si="115">DI111</f>
        <v>Effects</v>
      </c>
      <c r="DP111" s="7" t="str">
        <f t="shared" ref="DP111" si="116">DJ111</f>
        <v>Effs. %</v>
      </c>
      <c r="DQ111" s="7" t="str">
        <f t="shared" ref="DQ111" si="117">DK111</f>
        <v>Extra cond</v>
      </c>
      <c r="DR111" s="7" t="str">
        <f t="shared" ref="DR111" si="118">DL111</f>
        <v>E Effs</v>
      </c>
      <c r="DS111" s="8" t="str">
        <f t="shared" ref="DS111" si="119">DM111</f>
        <v>E Effs%</v>
      </c>
      <c r="DT111" s="7" t="str">
        <f t="shared" ref="DT111" si="120">DN111</f>
        <v xml:space="preserve">Required </v>
      </c>
      <c r="DU111" s="7" t="str">
        <f t="shared" ref="DU111" si="121">DO111</f>
        <v>Effects</v>
      </c>
      <c r="DV111" s="7" t="str">
        <f t="shared" ref="DV111" si="122">DP111</f>
        <v>Effs. %</v>
      </c>
      <c r="DW111" s="7" t="str">
        <f t="shared" ref="DW111" si="123">DQ111</f>
        <v>Extra cond</v>
      </c>
      <c r="DX111" s="7" t="str">
        <f t="shared" ref="DX111" si="124">DR111</f>
        <v>E Effs</v>
      </c>
      <c r="DY111" s="8" t="str">
        <f t="shared" ref="DY111" si="125">DS111</f>
        <v>E Effs%</v>
      </c>
      <c r="DZ111" s="7" t="str">
        <f t="shared" ref="DZ111" si="126">DT111</f>
        <v xml:space="preserve">Required </v>
      </c>
      <c r="EA111" s="7" t="str">
        <f t="shared" ref="EA111" si="127">DU111</f>
        <v>Effects</v>
      </c>
      <c r="EB111" s="7" t="str">
        <f t="shared" ref="EB111" si="128">DV111</f>
        <v>Effs. %</v>
      </c>
      <c r="EC111" s="7" t="str">
        <f t="shared" ref="EC111" si="129">DW111</f>
        <v>Extra cond</v>
      </c>
      <c r="ED111" s="7" t="str">
        <f t="shared" ref="ED111" si="130">DX111</f>
        <v>E Effs</v>
      </c>
      <c r="EE111" s="8" t="str">
        <f t="shared" ref="EE111" si="131">DY111</f>
        <v>E Effs%</v>
      </c>
      <c r="EF111" s="7" t="str">
        <f t="shared" ref="EF111" si="132">DZ111</f>
        <v xml:space="preserve">Required </v>
      </c>
      <c r="EG111" s="7" t="str">
        <f t="shared" ref="EG111" si="133">EA111</f>
        <v>Effects</v>
      </c>
      <c r="EH111" s="7" t="str">
        <f t="shared" ref="EH111" si="134">EB111</f>
        <v>Effs. %</v>
      </c>
      <c r="EI111" s="7" t="str">
        <f t="shared" ref="EI111" si="135">EC111</f>
        <v>Extra cond</v>
      </c>
      <c r="EJ111" s="7" t="str">
        <f t="shared" ref="EJ111" si="136">ED111</f>
        <v>E Effs</v>
      </c>
      <c r="EK111" s="8" t="str">
        <f t="shared" ref="EK111" si="137">EE111</f>
        <v>E Effs%</v>
      </c>
      <c r="EL111" s="7" t="str">
        <f t="shared" ref="EL111" si="138">EF111</f>
        <v xml:space="preserve">Required </v>
      </c>
      <c r="EM111" s="7" t="str">
        <f t="shared" ref="EM111" si="139">EG111</f>
        <v>Effects</v>
      </c>
      <c r="EN111" s="7" t="str">
        <f t="shared" ref="EN111" si="140">EH111</f>
        <v>Effs. %</v>
      </c>
      <c r="EO111" s="7" t="str">
        <f t="shared" ref="EO111" si="141">EI111</f>
        <v>Extra cond</v>
      </c>
      <c r="EP111" s="7" t="str">
        <f t="shared" ref="EP111" si="142">EJ111</f>
        <v>E Effs</v>
      </c>
      <c r="EQ111" s="8" t="str">
        <f t="shared" ref="EQ111" si="143">EK111</f>
        <v>E Effs%</v>
      </c>
      <c r="ER111" s="7" t="str">
        <f t="shared" ref="ER111" si="144">EL111</f>
        <v xml:space="preserve">Required </v>
      </c>
      <c r="ES111" s="7" t="str">
        <f t="shared" ref="ES111" si="145">EM111</f>
        <v>Effects</v>
      </c>
      <c r="ET111" s="7" t="str">
        <f t="shared" ref="ET111" si="146">EN111</f>
        <v>Effs. %</v>
      </c>
      <c r="EU111" s="7" t="str">
        <f t="shared" ref="EU111" si="147">EO111</f>
        <v>Extra cond</v>
      </c>
      <c r="EV111" s="7" t="str">
        <f t="shared" ref="EV111" si="148">EP111</f>
        <v>E Effs</v>
      </c>
      <c r="EW111" s="8" t="str">
        <f t="shared" ref="EW111" si="149">EQ111</f>
        <v>E Effs%</v>
      </c>
      <c r="EX111" s="7" t="str">
        <f t="shared" ref="EX111" si="150">ER111</f>
        <v xml:space="preserve">Required </v>
      </c>
      <c r="EY111" s="7" t="str">
        <f t="shared" ref="EY111" si="151">ES111</f>
        <v>Effects</v>
      </c>
      <c r="EZ111" s="7" t="str">
        <f t="shared" ref="EZ111" si="152">ET111</f>
        <v>Effs. %</v>
      </c>
      <c r="FA111" s="7" t="str">
        <f t="shared" ref="FA111" si="153">EU111</f>
        <v>Extra cond</v>
      </c>
      <c r="FB111" s="7" t="str">
        <f t="shared" ref="FB111" si="154">EV111</f>
        <v>E Effs</v>
      </c>
      <c r="FC111" s="8" t="str">
        <f t="shared" ref="FC111" si="155">EW111</f>
        <v>E Effs%</v>
      </c>
      <c r="FD111" s="7" t="str">
        <f t="shared" ref="FD111" si="156">EX111</f>
        <v xml:space="preserve">Required </v>
      </c>
      <c r="FE111" s="7" t="str">
        <f t="shared" ref="FE111" si="157">EY111</f>
        <v>Effects</v>
      </c>
      <c r="FF111" s="7" t="str">
        <f t="shared" ref="FF111" si="158">EZ111</f>
        <v>Effs. %</v>
      </c>
      <c r="FG111" s="7" t="str">
        <f t="shared" ref="FG111" si="159">FA111</f>
        <v>Extra cond</v>
      </c>
      <c r="FH111" s="7" t="str">
        <f t="shared" ref="FH111" si="160">FB111</f>
        <v>E Effs</v>
      </c>
      <c r="FI111" s="8" t="str">
        <f t="shared" ref="FI111" si="161">FC111</f>
        <v>E Effs%</v>
      </c>
      <c r="FJ111" s="7" t="str">
        <f t="shared" ref="FJ111" si="162">FD111</f>
        <v xml:space="preserve">Required </v>
      </c>
      <c r="FK111" s="7" t="str">
        <f t="shared" ref="FK111" si="163">FE111</f>
        <v>Effects</v>
      </c>
      <c r="FL111" s="7" t="str">
        <f t="shared" ref="FL111" si="164">FF111</f>
        <v>Effs. %</v>
      </c>
      <c r="FM111" s="7" t="str">
        <f t="shared" ref="FM111" si="165">FG111</f>
        <v>Extra cond</v>
      </c>
      <c r="FN111" s="7" t="str">
        <f t="shared" ref="FN111" si="166">FH111</f>
        <v>E Effs</v>
      </c>
      <c r="FO111" s="8" t="str">
        <f t="shared" ref="FO111" si="167">FI111</f>
        <v>E Effs%</v>
      </c>
      <c r="FP111" s="7" t="str">
        <f t="shared" ref="FP111" si="168">FJ111</f>
        <v xml:space="preserve">Required </v>
      </c>
      <c r="FQ111" s="7" t="str">
        <f t="shared" ref="FQ111" si="169">FK111</f>
        <v>Effects</v>
      </c>
      <c r="FR111" s="7" t="str">
        <f t="shared" ref="FR111" si="170">FL111</f>
        <v>Effs. %</v>
      </c>
      <c r="FS111" s="7" t="str">
        <f t="shared" ref="FS111" si="171">FM111</f>
        <v>Extra cond</v>
      </c>
      <c r="FT111" s="7" t="str">
        <f t="shared" ref="FT111" si="172">FN111</f>
        <v>E Effs</v>
      </c>
      <c r="FU111" s="8" t="str">
        <f t="shared" ref="FU111" si="173">FO111</f>
        <v>E Effs%</v>
      </c>
      <c r="FV111" s="7" t="str">
        <f t="shared" ref="FV111" si="174">FP111</f>
        <v xml:space="preserve">Required </v>
      </c>
      <c r="FW111" s="7" t="str">
        <f t="shared" ref="FW111" si="175">FQ111</f>
        <v>Effects</v>
      </c>
      <c r="FX111" s="7" t="str">
        <f t="shared" ref="FX111" si="176">FR111</f>
        <v>Effs. %</v>
      </c>
      <c r="FY111" s="7" t="str">
        <f t="shared" ref="FY111" si="177">FS111</f>
        <v>Extra cond</v>
      </c>
      <c r="FZ111" s="7" t="str">
        <f t="shared" ref="FZ111" si="178">FT111</f>
        <v>E Effs</v>
      </c>
      <c r="GA111" s="8" t="str">
        <f t="shared" ref="GA111" si="179">FU111</f>
        <v>E Effs%</v>
      </c>
      <c r="GB111" s="7" t="str">
        <f t="shared" ref="GB111" si="180">FV111</f>
        <v xml:space="preserve">Required </v>
      </c>
      <c r="GC111" s="7" t="str">
        <f t="shared" ref="GC111" si="181">FW111</f>
        <v>Effects</v>
      </c>
      <c r="GD111" s="7" t="str">
        <f t="shared" ref="GD111" si="182">FX111</f>
        <v>Effs. %</v>
      </c>
      <c r="GE111" s="7" t="str">
        <f t="shared" ref="GE111" si="183">FY111</f>
        <v>Extra cond</v>
      </c>
      <c r="GF111" s="7" t="str">
        <f t="shared" ref="GF111" si="184">FZ111</f>
        <v>E Effs</v>
      </c>
      <c r="GG111" s="8" t="str">
        <f t="shared" ref="GG111" si="185">GA111</f>
        <v>E Effs%</v>
      </c>
      <c r="GH111" s="7" t="str">
        <f t="shared" ref="GH111" si="186">GB111</f>
        <v xml:space="preserve">Required </v>
      </c>
      <c r="GI111" s="7" t="str">
        <f t="shared" ref="GI111" si="187">GC111</f>
        <v>Effects</v>
      </c>
      <c r="GJ111" s="7" t="str">
        <f t="shared" ref="GJ111" si="188">GD111</f>
        <v>Effs. %</v>
      </c>
      <c r="GK111" s="7" t="str">
        <f t="shared" ref="GK111" si="189">GE111</f>
        <v>Extra cond</v>
      </c>
      <c r="GL111" s="7" t="str">
        <f t="shared" ref="GL111" si="190">GF111</f>
        <v>E Effs</v>
      </c>
      <c r="GM111" s="8" t="str">
        <f t="shared" ref="GM111" si="191">GG111</f>
        <v>E Effs%</v>
      </c>
      <c r="GN111" s="7" t="str">
        <f t="shared" ref="GN111" si="192">GH111</f>
        <v xml:space="preserve">Required </v>
      </c>
      <c r="GO111" s="7" t="str">
        <f t="shared" ref="GO111" si="193">GI111</f>
        <v>Effects</v>
      </c>
      <c r="GP111" s="7" t="str">
        <f t="shared" ref="GP111" si="194">GJ111</f>
        <v>Effs. %</v>
      </c>
      <c r="GQ111" s="7" t="str">
        <f t="shared" ref="GQ111" si="195">GK111</f>
        <v>Extra cond</v>
      </c>
      <c r="GR111" s="7" t="str">
        <f t="shared" ref="GR111" si="196">GL111</f>
        <v>E Effs</v>
      </c>
      <c r="GS111" s="8" t="str">
        <f t="shared" ref="GS111" si="197">GM111</f>
        <v>E Effs%</v>
      </c>
      <c r="GT111" s="7" t="str">
        <f t="shared" ref="GT111" si="198">GN111</f>
        <v xml:space="preserve">Required </v>
      </c>
      <c r="GU111" s="7" t="str">
        <f t="shared" ref="GU111" si="199">GO111</f>
        <v>Effects</v>
      </c>
      <c r="GV111" s="7" t="str">
        <f t="shared" ref="GV111" si="200">GP111</f>
        <v>Effs. %</v>
      </c>
      <c r="GW111" s="7" t="str">
        <f t="shared" ref="GW111" si="201">GQ111</f>
        <v>Extra cond</v>
      </c>
      <c r="GX111" s="7" t="str">
        <f t="shared" ref="GX111" si="202">GR111</f>
        <v>E Effs</v>
      </c>
      <c r="GY111" s="8" t="str">
        <f t="shared" ref="GY111" si="203">GS111</f>
        <v>E Effs%</v>
      </c>
      <c r="GZ111" s="7" t="str">
        <f t="shared" ref="GZ111" si="204">GT111</f>
        <v xml:space="preserve">Required </v>
      </c>
      <c r="HA111" s="7" t="str">
        <f t="shared" ref="HA111" si="205">GU111</f>
        <v>Effects</v>
      </c>
      <c r="HB111" s="7" t="str">
        <f t="shared" ref="HB111" si="206">GV111</f>
        <v>Effs. %</v>
      </c>
      <c r="HC111" s="7" t="str">
        <f t="shared" ref="HC111" si="207">GW111</f>
        <v>Extra cond</v>
      </c>
      <c r="HD111" s="7" t="str">
        <f t="shared" ref="HD111" si="208">GX111</f>
        <v>E Effs</v>
      </c>
      <c r="HE111" s="8" t="str">
        <f t="shared" ref="HE111" si="209">GY111</f>
        <v>E Effs%</v>
      </c>
      <c r="HF111" s="7" t="str">
        <f t="shared" ref="HF111" si="210">GZ111</f>
        <v xml:space="preserve">Required </v>
      </c>
      <c r="HG111" s="7" t="str">
        <f t="shared" ref="HG111" si="211">HA111</f>
        <v>Effects</v>
      </c>
      <c r="HH111" s="7" t="str">
        <f t="shared" ref="HH111" si="212">HB111</f>
        <v>Effs. %</v>
      </c>
      <c r="HI111" s="7" t="str">
        <f t="shared" ref="HI111" si="213">HC111</f>
        <v>Extra cond</v>
      </c>
      <c r="HJ111" s="7" t="str">
        <f t="shared" ref="HJ111" si="214">HD111</f>
        <v>E Effs</v>
      </c>
      <c r="HK111" s="8" t="str">
        <f t="shared" ref="HK111" si="215">HE111</f>
        <v>E Effs%</v>
      </c>
      <c r="HL111" s="7" t="str">
        <f t="shared" ref="HL111" si="216">HF111</f>
        <v xml:space="preserve">Required </v>
      </c>
      <c r="HM111" s="7" t="str">
        <f t="shared" ref="HM111" si="217">HG111</f>
        <v>Effects</v>
      </c>
      <c r="HN111" s="7" t="str">
        <f t="shared" ref="HN111" si="218">HH111</f>
        <v>Effs. %</v>
      </c>
      <c r="HO111" s="7" t="str">
        <f t="shared" ref="HO111" si="219">HI111</f>
        <v>Extra cond</v>
      </c>
      <c r="HP111" s="7" t="str">
        <f t="shared" ref="HP111" si="220">HJ111</f>
        <v>E Effs</v>
      </c>
      <c r="HQ111" s="8" t="str">
        <f t="shared" ref="HQ111" si="221">HK111</f>
        <v>E Effs%</v>
      </c>
    </row>
    <row r="112" spans="1:225" s="21" customFormat="1" ht="138.75" customHeight="1">
      <c r="A112" s="20"/>
      <c r="B112" s="20"/>
      <c r="C112" s="20"/>
      <c r="D112" s="23" t="str">
        <f t="shared" ref="D112:I112" si="222">D111&amp;CHAR(10)&amp;D113</f>
        <v xml:space="preserve">Required 
software(1)
 </v>
      </c>
      <c r="E112" s="23" t="str">
        <f t="shared" si="222"/>
        <v xml:space="preserve">Effects
 </v>
      </c>
      <c r="F112" s="23" t="str">
        <f t="shared" si="222"/>
        <v xml:space="preserve">Effs. %
 </v>
      </c>
      <c r="G112" s="23" t="str">
        <f t="shared" si="222"/>
        <v xml:space="preserve">Extra cond
disposable money(1), servers(1), wood(1), metal(1), plastic(1), electronics(1), fabric(1), scale(1), attention to details(1.1), efficiency(1), user rules and manuals(2.1), organizational rules and manuals(2.1),  </v>
      </c>
      <c r="H112" s="23" t="str">
        <f t="shared" si="222"/>
        <v xml:space="preserve">E Effs
disposable money(-1,6.25%), servers(-1,6.25%), wood(-1,6.25%), metal(-1,6.25%), plastic(-1,6.25%), electronics(-1,6.25%), fabric(-1,6.25%), scale(-1,6.25%), efficiency(-1,6.25%),  </v>
      </c>
      <c r="I112" s="26" t="str">
        <f t="shared" si="222"/>
        <v xml:space="preserve">E Effs%
disposable money(6.25),servers(6.25),wood(6.25),metal(6.25),plastic(6.25),electronics(6.25),fabric(6.25),scale(6.25),efficiency(6.25), </v>
      </c>
      <c r="J112" s="23" t="str">
        <f t="shared" ref="J112:BU112" si="223">J111&amp;CHAR(10)&amp;J113</f>
        <v xml:space="preserve">Required 
scale(1)
enthusiasm(1)
 </v>
      </c>
      <c r="K112" s="23" t="str">
        <f t="shared" si="223"/>
        <v xml:space="preserve">Effects
scale(-1,12.5%), enthusiasm(-1,25%),  </v>
      </c>
      <c r="L112" s="23" t="str">
        <f t="shared" si="223"/>
        <v xml:space="preserve">Effs. %
scale(12.5)
enthusiasm(25)
 </v>
      </c>
      <c r="M112" s="23" t="str">
        <f t="shared" si="223"/>
        <v xml:space="preserve">Extra cond
disposable money(1.1), scale(1.1), efficiency(0.1), organizational rules and manuals(1.1),  </v>
      </c>
      <c r="N112" s="23" t="str">
        <f t="shared" si="223"/>
        <v xml:space="preserve">E Effs
disposable money(-1,6.75%), agility(-1,6.75%), ambition(-1,6.75%), fun-ness(-1,6.75%), initiative(-1,6.75%),  </v>
      </c>
      <c r="O112" s="26" t="str">
        <f t="shared" si="223"/>
        <v xml:space="preserve">E Effs%
disposable money(6.75),agility(6.75),ambition(6.75),fun-ness(6.75),initiative(6.75), </v>
      </c>
      <c r="P112" s="23" t="str">
        <f t="shared" si="223"/>
        <v xml:space="preserve">Required 
scale(1)
enthusiasm(1)
 </v>
      </c>
      <c r="Q112" s="23" t="str">
        <f t="shared" si="223"/>
        <v xml:space="preserve">Effects
enthusiasm(-1,50%), gifted leader(-1,25%), gifted programmer(-1,25%), gifted designer(-1,25%),  </v>
      </c>
      <c r="R112" s="23" t="str">
        <f t="shared" si="223"/>
        <v xml:space="preserve">Effs. %
enthusiasm(50)
gifted leader(25)
gifted programmer(25)
gifted designer(25)
 </v>
      </c>
      <c r="S112" s="23" t="str">
        <f t="shared" si="223"/>
        <v xml:space="preserve">Extra cond
scale(1), network among members(0.1), gifted leader(1), gifted programmer(1), gifted designer(1), ambition(1), attention to details(0.1), community manager(0.1), team building(0.1),  </v>
      </c>
      <c r="T112" s="23" t="str">
        <f t="shared" si="223"/>
        <v xml:space="preserve">E Effs
ambition(-1,%), business model(-1,6.25%), web(-1,6.25%), mobile apps(-1,6.25%), aesthetics(-1,6.25%),  </v>
      </c>
      <c r="U112" s="26" t="str">
        <f t="shared" si="223"/>
        <v xml:space="preserve">E Effs%
business model(6.25),web(6.25),mobile apps(6.25),aesthetics(6.25), </v>
      </c>
      <c r="V112" s="23" t="str">
        <f t="shared" si="223"/>
        <v xml:space="preserve">Required 
scale(1)
scale(1)
 </v>
      </c>
      <c r="W112" s="23" t="str">
        <f t="shared" si="223"/>
        <v xml:space="preserve">Effects
enthusiasm(-1,25%), enthusiasm(-1,25%), efficiency(-1,25%),  </v>
      </c>
      <c r="X112" s="23" t="str">
        <f t="shared" si="223"/>
        <v xml:space="preserve">Effs. %
enthusiasm(25)
enthusiasm(25)
efficiency(25)
 </v>
      </c>
      <c r="Y112" s="23" t="str">
        <f t="shared" si="223"/>
        <v xml:space="preserve">Extra cond
community manager(0.1), administrator(0.1), spaciousness(1), ease of access(3), reputation(2), user rules and manuals(0.1), project management(0.1), negotiation(0.1),  </v>
      </c>
      <c r="Z112" s="23" t="str">
        <f t="shared" si="223"/>
        <v xml:space="preserve">E Effs
scale(-1,6.25%), reputation(-1,%),  </v>
      </c>
      <c r="AA112" s="26" t="str">
        <f t="shared" si="223"/>
        <v xml:space="preserve">E Effs%
scale(6.25), </v>
      </c>
      <c r="AB112" s="23" t="str">
        <f t="shared" si="223"/>
        <v xml:space="preserve">Required 
 </v>
      </c>
      <c r="AC112" s="23" t="str">
        <f t="shared" si="223"/>
        <v xml:space="preserve">Effects
 </v>
      </c>
      <c r="AD112" s="23" t="str">
        <f t="shared" si="223"/>
        <v xml:space="preserve">Effs. %
 </v>
      </c>
      <c r="AE112" s="23" t="str">
        <f t="shared" si="223"/>
        <v xml:space="preserve">Extra cond
scale(3), network among members(0.1), scale(1.1), attention to details(0.1), seriousness(0.1), initiative(0.1), spaciousness(1), user rules and manuals(1.1), organizational rules and manuals(1.1),  </v>
      </c>
      <c r="AF112" s="23" t="str">
        <f t="shared" si="223"/>
        <v xml:space="preserve">E Effs
disposable money(-1,6.25%), wood(-1,6.25%), fabric(-1,6.25%), enthusiasm(-1,6.25%), enthusiasm(-1,%), local biz(-1,6.25%), investors(-1,6.25%), non-profits(-1,6.25%), efficiency(-1,6.25%),  </v>
      </c>
      <c r="AG112" s="26" t="str">
        <f t="shared" si="223"/>
        <v xml:space="preserve">E Effs%
disposable money(6.25),wood(6.25),fabric(6.25),enthusiasm(6.25),local biz(6.25),investors(6.25),non-profits(6.25),efficiency(6.25), </v>
      </c>
      <c r="AH112" s="23" t="str">
        <f t="shared" si="223"/>
        <v xml:space="preserve">Required 
scale(1)
enthusiasm(2)
fun-ness(1)
ease of access(1)
reputation(1)
 </v>
      </c>
      <c r="AI112" s="23" t="str">
        <f t="shared" si="223"/>
        <v xml:space="preserve">Effects
enthusiasm(-1,25%),  </v>
      </c>
      <c r="AJ112" s="23" t="str">
        <f t="shared" si="223"/>
        <v xml:space="preserve">Effs. %
enthusiasm(25)
 </v>
      </c>
      <c r="AK112" s="23" t="str">
        <f t="shared" si="223"/>
        <v xml:space="preserve">Extra cond
scale(2), enthusiasm(2), scale(3.1), attention to details(2.1), seriousness(2.1), community manager(2.1), administrator(2.1), spaciousness(1), ease of access(1), reputation(2), user rules and manuals(2.1), organizational rules and manuals(2.1), law(1.1), negotiation(1.1),  </v>
      </c>
      <c r="AL112" s="23" t="str">
        <f t="shared" si="223"/>
        <v xml:space="preserve">E Effs
scale(-1,6.25%), enthusiasm(-1,6.25%), govt(-1,6.25%), non-profits(-1,6.25%), reputation(-1,6.25%),  </v>
      </c>
      <c r="AM112" s="26" t="str">
        <f t="shared" si="223"/>
        <v xml:space="preserve">E Effs%
scale(6.25),enthusiasm(6.25),govt(6.25),non-profits(6.25),reputation(6.25), </v>
      </c>
      <c r="AN112" s="23" t="str">
        <f t="shared" si="223"/>
        <v xml:space="preserve">Required 
scale(1)
fun-ness(1)
seriousness(1)
 </v>
      </c>
      <c r="AO112" s="23" t="str">
        <f t="shared" si="223"/>
        <v xml:space="preserve">Effects
scale(-1,25%), enthusiasm(-1,25%), enthusiasm(-1,25%),  </v>
      </c>
      <c r="AP112" s="23" t="str">
        <f t="shared" si="223"/>
        <v xml:space="preserve">Effs. %
scale(25)
enthusiasm(25)
enthusiasm(25)
 </v>
      </c>
      <c r="AQ112" s="23" t="str">
        <f t="shared" si="223"/>
        <v xml:space="preserve">Extra cond
scale(1), fun-ness(1), spaciousness(2.1), reputation(3), organizational rules and manuals(2.1), team building(2.1),  </v>
      </c>
      <c r="AR112" s="23" t="str">
        <f t="shared" si="223"/>
        <v xml:space="preserve">E Effs
enthusiasm(-1,12.5%), fun-ness(-1,6.25%), reputation(-1,6.25%), efficiency(-1,6.25%),  </v>
      </c>
      <c r="AS112" s="26" t="str">
        <f t="shared" si="223"/>
        <v xml:space="preserve">E Effs%
enthusiasm(12.5),fun-ness(6.25),reputation(6.25),efficiency(6.25), </v>
      </c>
      <c r="AT112" s="23" t="str">
        <f t="shared" si="223"/>
        <v xml:space="preserve">Required 
scale(1)
enthusiasm(1)
network among members(3.1)
 </v>
      </c>
      <c r="AU112" s="23" t="str">
        <f t="shared" si="223"/>
        <v xml:space="preserve">Effects
scale(-1,25%), enthusiasm(-1,25%),  </v>
      </c>
      <c r="AV112" s="23" t="str">
        <f t="shared" si="223"/>
        <v xml:space="preserve">Effs. %
scale(25)
enthusiasm(25)
 </v>
      </c>
      <c r="AW112" s="23" t="str">
        <f t="shared" si="223"/>
        <v xml:space="preserve">Extra cond
scale(1), enthusiasm(1), attention to details(3.1), fun-ness(3.1), seriousness(3.1), initiative(2.1), leader(2.1), community manager(2.1), user rules and manuals(2.1), team building(2.1),  </v>
      </c>
      <c r="AX112" s="23" t="str">
        <f t="shared" si="223"/>
        <v xml:space="preserve">E Effs
field knowledge(-1,6.25%), network among members(-1,6.25%), gifted assistant(-1,6.25%),  </v>
      </c>
      <c r="AY112" s="26" t="str">
        <f t="shared" si="223"/>
        <v xml:space="preserve">E Effs%
field knowledge(6.25),network among members(6.25),gifted assistant(6.25), </v>
      </c>
      <c r="AZ112" s="23" t="str">
        <f t="shared" si="223"/>
        <v xml:space="preserve">Required 
disposable money(1)
wood(1)
scale(1)
 </v>
      </c>
      <c r="BA112" s="23" t="str">
        <f t="shared" si="223"/>
        <v xml:space="preserve">Effects
disposable money(-1,12.5%), enthusiasm(-1,12.5%), attention to details(1,12.5%), fun-ness(-1,12.5%), seriousness(1,12.5%), efficiency(-1,12.5%), user rules and manuals(1,25%),  </v>
      </c>
      <c r="BB112" s="23" t="str">
        <f t="shared" si="223"/>
        <v xml:space="preserve">Effs. %
disposable money(12.5)
enthusiasm(12.5)
attention to details(12.5)
fun-ness(12.5)
seriousness(12.5)
efficiency(12.5)
user rules and manuals(25)
 </v>
      </c>
      <c r="BC112" s="23" t="str">
        <f t="shared" si="223"/>
        <v xml:space="preserve">Extra cond
wood(1), scale(1), agility(1.1), attention to details(1.1), seriousness(1.1), community manager(1.1), administrator(1.1), user rules and manuals(2.1), organizational rules and manuals(2.1),  </v>
      </c>
      <c r="BD112" s="23" t="str">
        <f t="shared" si="223"/>
        <v xml:space="preserve">E Effs
wood(-1,6.25%), scale(-1,6.25%), enthusiasm(-1,6.25%), reputation(-1,6.25%),  </v>
      </c>
      <c r="BE112" s="26" t="str">
        <f t="shared" si="223"/>
        <v xml:space="preserve">E Effs%
wood(6.25),scale(6.25),enthusiasm(6.25),reputation(6.25), </v>
      </c>
      <c r="BF112" s="23" t="str">
        <f t="shared" si="223"/>
        <v xml:space="preserve">Required 
disposable money(1)
 </v>
      </c>
      <c r="BG112" s="23" t="str">
        <f t="shared" si="223"/>
        <v xml:space="preserve">Effects
disposable money(-1,25%), plastic(-1,25%), enthusiasm(-1,25%), enthusiasm(-1,25%), attention to details(1,25%), fun-ness(-1,25%), seriousness(1,25%), user rules and manuals(1,25%), organizational rules and manuals(1,25%),  </v>
      </c>
      <c r="BH112" s="23" t="str">
        <f t="shared" si="223"/>
        <v xml:space="preserve">Effs. %
disposable money(25)
plastic(25)
enthusiasm(25)
enthusiasm(25)
attention to details(25)
fun-ness(25)
seriousness(25)
user rules and manuals(25)
organizational rules and manuals(25)
 </v>
      </c>
      <c r="BI112" s="23" t="str">
        <f t="shared" si="223"/>
        <v xml:space="preserve">Extra cond
enthusiasm(1), engineering knowledge(1.1), enthusiasm(1), fun-ness(1), seriousness(2.1), community manager(1.1), administrator(1.1),  </v>
      </c>
      <c r="BJ112" s="23" t="str">
        <f t="shared" si="223"/>
        <v xml:space="preserve">E Effs
reputation(-1,6.25%), efficiency(-1,25%),  </v>
      </c>
      <c r="BK112" s="26" t="str">
        <f t="shared" si="223"/>
        <v xml:space="preserve">E Effs%
reputation(6.25),efficiency(25), </v>
      </c>
      <c r="BL112" s="23" t="str">
        <f t="shared" si="223"/>
        <v xml:space="preserve">Required 
software(1)
scale(2)
local biz(1)
ease of access(1)
reputation(1)
aesthetics(1)
 </v>
      </c>
      <c r="BM112" s="23" t="str">
        <f t="shared" si="223"/>
        <v xml:space="preserve">Effects
disposable money(1,12.5%), biz enhancement(1,%),  </v>
      </c>
      <c r="BN112" s="23" t="str">
        <f t="shared" si="223"/>
        <v xml:space="preserve">Effs. %
disposable money(12.5)
 </v>
      </c>
      <c r="BO112" s="23" t="str">
        <f t="shared" si="223"/>
        <v xml:space="preserve">Extra cond
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2" s="23" t="str">
        <f t="shared" si="223"/>
        <v xml:space="preserve">E Effs
disposable money(1,6.25%), local biz(1,6.25%),  </v>
      </c>
      <c r="BQ112" s="26" t="str">
        <f t="shared" si="223"/>
        <v xml:space="preserve">E Effs%
disposable money(6.25),local biz(6.25), </v>
      </c>
      <c r="BR112" s="23" t="str">
        <f t="shared" si="223"/>
        <v xml:space="preserve">Required 
software(1)
wood(1)
scale(2)
scale(1)
local biz(1)
ease of access(1)
reputation(1)
aesthetics(1)
 </v>
      </c>
      <c r="BS112" s="23" t="str">
        <f t="shared" si="223"/>
        <v xml:space="preserve">Effects
disposable money(1,12.5%), biz project(1,%),  </v>
      </c>
      <c r="BT112" s="23" t="str">
        <f t="shared" si="223"/>
        <v xml:space="preserve">Effs. %
disposable money(12.5)
 </v>
      </c>
      <c r="BU112" s="23" t="str">
        <f t="shared" si="223"/>
        <v xml:space="preserve">Extra cond
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2" s="23" t="str">
        <f t="shared" ref="BV112:EG112" si="224">BV111&amp;CHAR(10)&amp;BV113</f>
        <v xml:space="preserve">E Effs
disposable money(1,6.25%), local biz(1,6.25%),  </v>
      </c>
      <c r="BW112" s="26" t="str">
        <f t="shared" si="224"/>
        <v xml:space="preserve">E Effs%
disposable money(6.25),local biz(6.25), </v>
      </c>
      <c r="BX112" s="23" t="str">
        <f t="shared" si="224"/>
        <v xml:space="preserve">Required 
software(1)
servers(1)
scale(2)
enthusiasm(1)
local biz(1)
ease of access(1)
reputation(1)
aesthetics(1)
interaction(1)
 </v>
      </c>
      <c r="BY112" s="23" t="str">
        <f t="shared" si="224"/>
        <v xml:space="preserve">Effects
disposable money(1,12.5%), biz project(1,%),  </v>
      </c>
      <c r="BZ112" s="23" t="str">
        <f t="shared" si="224"/>
        <v xml:space="preserve">Effs. %
disposable money(12.5)
 </v>
      </c>
      <c r="CA112" s="23" t="str">
        <f t="shared" si="224"/>
        <v xml:space="preserve">Extra cond
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2" s="23" t="str">
        <f t="shared" si="224"/>
        <v xml:space="preserve">E Effs
disposable money(1,6.25%), local biz(1,6.25%),  </v>
      </c>
      <c r="CC112" s="26" t="str">
        <f t="shared" si="224"/>
        <v xml:space="preserve">E Effs%
disposable money(6.25),local biz(6.25), </v>
      </c>
      <c r="CD112" s="23" t="str">
        <f t="shared" si="224"/>
        <v xml:space="preserve">Required 
software(1)
servers(1)
scale(2)
enthusiasm(1)
ease of access(1)
reputation(1)
aesthetics(1)
 </v>
      </c>
      <c r="CE112" s="23" t="str">
        <f t="shared" si="224"/>
        <v xml:space="preserve">Effects
disposable money(1,12.5%), biz project(1,%),  </v>
      </c>
      <c r="CF112" s="23" t="str">
        <f t="shared" si="224"/>
        <v xml:space="preserve">Effs. %
disposable money(12.5)
 </v>
      </c>
      <c r="CG112" s="23" t="str">
        <f t="shared" si="224"/>
        <v xml:space="preserve">Extra cond
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2" s="23" t="str">
        <f t="shared" si="224"/>
        <v xml:space="preserve">E Effs
disposable money(1,6.25%), local biz(1,6.25%),  </v>
      </c>
      <c r="CI112" s="26" t="str">
        <f t="shared" si="224"/>
        <v xml:space="preserve">E Effs%
disposable money(6.25),local biz(6.25), </v>
      </c>
      <c r="CJ112" s="23" t="str">
        <f t="shared" si="224"/>
        <v xml:space="preserve">Required 
software(1)
scale(2)
ease of access(1)
reputation(1)
aesthetics(1)
 </v>
      </c>
      <c r="CK112" s="23" t="str">
        <f t="shared" si="224"/>
        <v xml:space="preserve">Effects
disposable money(1,12.5%), biz project(1,%),  </v>
      </c>
      <c r="CL112" s="23" t="str">
        <f t="shared" si="224"/>
        <v xml:space="preserve">Effs. %
disposable money(12.5)
 </v>
      </c>
      <c r="CM112" s="23" t="str">
        <f t="shared" si="224"/>
        <v xml:space="preserve">Extra cond
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2" s="23" t="str">
        <f t="shared" si="224"/>
        <v xml:space="preserve">E Effs
disposable money(1,6.25%), local biz(1,6.25%),  </v>
      </c>
      <c r="CO112" s="26" t="str">
        <f t="shared" si="224"/>
        <v xml:space="preserve">E Effs%
disposable money(6.25),local biz(6.25), </v>
      </c>
      <c r="CP112" s="23" t="str">
        <f t="shared" si="224"/>
        <v xml:space="preserve">Required 
disposable money(1)
metal(1)
scale(2)
enthusiasm(1)
learning capacities(1)
field knowledge(1)
local biz(1)
metal processing(1)
functions(1)
 </v>
      </c>
      <c r="CQ112" s="23" t="str">
        <f t="shared" si="224"/>
        <v xml:space="preserve">Effects
local biz(1,50%), biz enhancement(1,50%),  </v>
      </c>
      <c r="CR112" s="23" t="str">
        <f t="shared" si="224"/>
        <v xml:space="preserve">Effs. %
local biz(50)
biz enhancement(50)
 </v>
      </c>
      <c r="CS112" s="23" t="str">
        <f t="shared" si="224"/>
        <v xml:space="preserve">Extra cond
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2" s="23" t="str">
        <f t="shared" si="224"/>
        <v xml:space="preserve">E Effs
disposable money(1,6.25%), reputation(1,6.25%),  </v>
      </c>
      <c r="CU112" s="26" t="str">
        <f t="shared" si="224"/>
        <v xml:space="preserve">E Effs%
disposable money(6.25),reputation(6.25), </v>
      </c>
      <c r="CV112" s="23" t="str">
        <f t="shared" si="224"/>
        <v xml:space="preserve">Required 
disposable money(1)
software(1)
wood(1)
scale(1)
enthusiasm(2)
learning capacities(1)
non-profits(1)
wood processing(1)
aesthetics(1)
interaction(1)
 </v>
      </c>
      <c r="CW112" s="23" t="str">
        <f t="shared" si="224"/>
        <v xml:space="preserve">Effects
non-profits(1,50%), social project(1,50%),  </v>
      </c>
      <c r="CX112" s="23" t="str">
        <f t="shared" si="224"/>
        <v xml:space="preserve">Effs. %
non-profits(50)
social project(50)
 </v>
      </c>
      <c r="CY112" s="23" t="str">
        <f t="shared" si="224"/>
        <v xml:space="preserve">Extra cond
gifted programmer(1), gifted designer(1), scale(2), enthusiasm(4), agility(2), ambition(4), attention to details(2), fun-ness(2), administrator(2), ease of access(2), efficiency(3), sensors(2), wood processing(2), plastic processing(2), electronics(2), aesthetics(2), functions(1), safety(1), interaction(2),  </v>
      </c>
      <c r="CZ112" s="23" t="str">
        <f t="shared" si="224"/>
        <v xml:space="preserve">E Effs
disposable money(1,6.25%), media(1,6.25%), reputation(1,6.25%), portfolio(1,6.25%),  </v>
      </c>
      <c r="DA112" s="26" t="str">
        <f t="shared" si="224"/>
        <v xml:space="preserve">E Effs%
disposable money(6.25),media(6.25),reputation(6.25),portfolio(6.25), </v>
      </c>
      <c r="DB112" s="23" t="str">
        <f t="shared" si="224"/>
        <v xml:space="preserve">Required 
disposable money(1)
software(1)
scale(1)
enthusiasm(2)
learning capacities(1)
non-profits(1)
aesthetics(1)
interaction(1)
 </v>
      </c>
      <c r="DC112" s="23" t="str">
        <f t="shared" si="224"/>
        <v xml:space="preserve">Effects
non-profits(1,50%), social project(1,50%),  </v>
      </c>
      <c r="DD112" s="23" t="str">
        <f t="shared" si="224"/>
        <v xml:space="preserve">Effs. %
non-profits(50)
social project(50)
 </v>
      </c>
      <c r="DE112" s="23" t="str">
        <f t="shared" si="224"/>
        <v xml:space="preserve">Extra cond
gifted programmer(1), gifted designer(1), scale(2), enthusiasm(4), agility(2), ambition(4), attention to details(2), fun-ness(2), administrator(2), ease of access(2), efficiency(3), VR&amp;AR(2),  </v>
      </c>
      <c r="DF112" s="23" t="str">
        <f t="shared" si="224"/>
        <v xml:space="preserve">E Effs
disposable money(1,6.25%), media(1,6.25%), reputation(1,6.25%), portfolio(1,6.25%),  </v>
      </c>
      <c r="DG112" s="26" t="str">
        <f t="shared" si="224"/>
        <v xml:space="preserve">E Effs%
disposable money(6.25),media(6.25),reputation(6.25),portfolio(6.25), </v>
      </c>
      <c r="DH112" s="23" t="str">
        <f t="shared" si="224"/>
        <v xml:space="preserve">Required 
disposable money(1)
software(1)
wood(1)
plastic(1)
scale(2)
enthusiasm(2)
scale(1)
wood processing(1)
aesthetics(1)
safety(1)
 </v>
      </c>
      <c r="DI112" s="23" t="str">
        <f t="shared" si="224"/>
        <v xml:space="preserve">Effects
disposable money(-1,100%), social project(1,100%),  </v>
      </c>
      <c r="DJ112" s="23" t="str">
        <f t="shared" si="224"/>
        <v xml:space="preserve">Effs. %
disposable money(100)
social project(100)
 </v>
      </c>
      <c r="DK112" s="23" t="str">
        <f t="shared" si="224"/>
        <v xml:space="preserve">Extra cond
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2" s="23" t="str">
        <f t="shared" si="224"/>
        <v xml:space="preserve">E Effs
scale(1,6.25%), enthusiasm(1,6.25%), network among members(1,6.25%), enthusiasm(1,6.25%), agility(1,6.25%), fun-ness(1,6.25%), reputation(1,6.25%), portfolio(1,6.25%), team building(1,6.25%),  </v>
      </c>
      <c r="DM112" s="26" t="str">
        <f t="shared" si="224"/>
        <v xml:space="preserve">E Effs%
scale(6.25),enthusiasm(6.25),network among members(6.25),enthusiasm(6.25),agility(6.25),fun-ness(6.25),reputation(6.25),portfolio(6.25),team building(6.25), </v>
      </c>
      <c r="DN112" s="23" t="str">
        <f t="shared" si="224"/>
        <v xml:space="preserve">Required 
disposable money(1)
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2" s="23" t="str">
        <f t="shared" si="224"/>
        <v xml:space="preserve">Effects
disposable money(1,100%), reputation(1,25%), portfolio(1,50%),  </v>
      </c>
      <c r="DP112" s="23" t="str">
        <f t="shared" si="224"/>
        <v xml:space="preserve">Effs. %
disposable money(100)
reputation(25)
portfolio(50)
 </v>
      </c>
      <c r="DQ112" s="23" t="str">
        <f t="shared" si="224"/>
        <v xml:space="preserve">Extra cond
wood(2), plastic(2), engineering knowledge(2), network among members(1), gifted leader(1), gifted assistant(1), gifted designer(1), ambition(1), attention to details(3), fun-ness(3), administrator(1), media(3), suppliers(3), social media(2), wood processing(2), plastic processing(2), electronics(2), aesthetics(2),  </v>
      </c>
      <c r="DR112" s="23" t="str">
        <f t="shared" si="224"/>
        <v xml:space="preserve">E Effs
disposable money(1,6.25%), suppliers(1,6.25%), reputation(1,6.25%),  </v>
      </c>
      <c r="DS112" s="26" t="str">
        <f t="shared" si="224"/>
        <v xml:space="preserve">E Effs%
disposable money(6.25),suppliers(6.25),reputation(6.25), </v>
      </c>
      <c r="DT112" s="23" t="str">
        <f t="shared" si="224"/>
        <v xml:space="preserve">Required 
disposable money(1)
scale(2)
attention to details(2)
leader(1)
fame(1)
network(2)
reputation(3)
portfolio(2)
 </v>
      </c>
      <c r="DU112" s="23" t="str">
        <f t="shared" si="224"/>
        <v xml:space="preserve">Effects
disposable money(50,%), fame(1,25%), govt(1,25%), non-profits(1,50%), reputation(1,25%),  </v>
      </c>
      <c r="DV112" s="23" t="str">
        <f t="shared" si="224"/>
        <v xml:space="preserve">Effs. %
fame(25)
govt(25)
non-profits(50)
reputation(25)
 </v>
      </c>
      <c r="DW112" s="23" t="str">
        <f t="shared" si="224"/>
        <v xml:space="preserve">Extra cond
scale(3), enthusiasm(3), enthusiasm(3), ambition(2), attention to details(2), PR(1), administrator(1), social media(2),  </v>
      </c>
      <c r="DX112" s="23" t="str">
        <f t="shared" si="224"/>
        <v xml:space="preserve">E Effs
ambition(1,6.25%), fame(1,6.25%), reputation(1,6.25%),  </v>
      </c>
      <c r="DY112" s="26" t="str">
        <f t="shared" si="224"/>
        <v xml:space="preserve">E Effs%
ambition(6.25),fame(6.25),reputation(6.25), </v>
      </c>
      <c r="DZ112" s="23" t="str">
        <f t="shared" si="224"/>
        <v xml:space="preserve">Required 
 </v>
      </c>
      <c r="EA112" s="23" t="str">
        <f t="shared" si="224"/>
        <v xml:space="preserve">Effects
 </v>
      </c>
      <c r="EB112" s="23" t="str">
        <f t="shared" si="224"/>
        <v xml:space="preserve">Effs. %
 </v>
      </c>
      <c r="EC112" s="23" t="str">
        <f t="shared" si="224"/>
        <v xml:space="preserve">Extra cond
 </v>
      </c>
      <c r="ED112" s="23" t="str">
        <f t="shared" si="224"/>
        <v xml:space="preserve">E Effs
 </v>
      </c>
      <c r="EE112" s="26" t="str">
        <f t="shared" si="224"/>
        <v xml:space="preserve">E Effs%
 </v>
      </c>
      <c r="EF112" s="23" t="str">
        <f t="shared" si="224"/>
        <v xml:space="preserve">Required 
 </v>
      </c>
      <c r="EG112" s="23" t="str">
        <f t="shared" si="224"/>
        <v xml:space="preserve">Effects
 </v>
      </c>
      <c r="EH112" s="23" t="str">
        <f t="shared" ref="EH112:GS112" si="225">EH111&amp;CHAR(10)&amp;EH113</f>
        <v xml:space="preserve">Effs. %
 </v>
      </c>
      <c r="EI112" s="23" t="str">
        <f t="shared" si="225"/>
        <v xml:space="preserve">Extra cond
 </v>
      </c>
      <c r="EJ112" s="23" t="str">
        <f t="shared" si="225"/>
        <v xml:space="preserve">E Effs
 </v>
      </c>
      <c r="EK112" s="26" t="str">
        <f t="shared" si="225"/>
        <v xml:space="preserve">E Effs%
 </v>
      </c>
      <c r="EL112" s="23" t="str">
        <f t="shared" si="225"/>
        <v xml:space="preserve">Required 
 </v>
      </c>
      <c r="EM112" s="23" t="str">
        <f t="shared" si="225"/>
        <v xml:space="preserve">Effects
 </v>
      </c>
      <c r="EN112" s="23" t="str">
        <f t="shared" si="225"/>
        <v xml:space="preserve">Effs. %
 </v>
      </c>
      <c r="EO112" s="23" t="str">
        <f t="shared" si="225"/>
        <v xml:space="preserve">Extra cond
 </v>
      </c>
      <c r="EP112" s="23" t="str">
        <f t="shared" si="225"/>
        <v xml:space="preserve">E Effs
 </v>
      </c>
      <c r="EQ112" s="26" t="str">
        <f t="shared" si="225"/>
        <v xml:space="preserve">E Effs%
 </v>
      </c>
      <c r="ER112" s="23" t="str">
        <f t="shared" si="225"/>
        <v xml:space="preserve">Required 
 </v>
      </c>
      <c r="ES112" s="23" t="str">
        <f t="shared" si="225"/>
        <v xml:space="preserve">Effects
 </v>
      </c>
      <c r="ET112" s="23" t="str">
        <f t="shared" si="225"/>
        <v xml:space="preserve">Effs. %
 </v>
      </c>
      <c r="EU112" s="23" t="str">
        <f t="shared" si="225"/>
        <v xml:space="preserve">Extra cond
 </v>
      </c>
      <c r="EV112" s="23" t="str">
        <f t="shared" si="225"/>
        <v xml:space="preserve">E Effs
 </v>
      </c>
      <c r="EW112" s="26" t="str">
        <f t="shared" si="225"/>
        <v xml:space="preserve">E Effs%
 </v>
      </c>
      <c r="EX112" s="23" t="str">
        <f t="shared" si="225"/>
        <v xml:space="preserve">Required 
 </v>
      </c>
      <c r="EY112" s="23" t="str">
        <f t="shared" si="225"/>
        <v xml:space="preserve">Effects
 </v>
      </c>
      <c r="EZ112" s="23" t="str">
        <f t="shared" si="225"/>
        <v xml:space="preserve">Effs. %
 </v>
      </c>
      <c r="FA112" s="23" t="str">
        <f t="shared" si="225"/>
        <v xml:space="preserve">Extra cond
 </v>
      </c>
      <c r="FB112" s="23" t="str">
        <f t="shared" si="225"/>
        <v xml:space="preserve">E Effs
 </v>
      </c>
      <c r="FC112" s="26" t="str">
        <f t="shared" si="225"/>
        <v xml:space="preserve">E Effs%
 </v>
      </c>
      <c r="FD112" s="23" t="str">
        <f t="shared" si="225"/>
        <v xml:space="preserve">Required 
 </v>
      </c>
      <c r="FE112" s="23" t="str">
        <f t="shared" si="225"/>
        <v xml:space="preserve">Effects
 </v>
      </c>
      <c r="FF112" s="23" t="str">
        <f t="shared" si="225"/>
        <v xml:space="preserve">Effs. %
 </v>
      </c>
      <c r="FG112" s="23" t="str">
        <f t="shared" si="225"/>
        <v xml:space="preserve">Extra cond
 </v>
      </c>
      <c r="FH112" s="23" t="str">
        <f t="shared" si="225"/>
        <v xml:space="preserve">E Effs
 </v>
      </c>
      <c r="FI112" s="26" t="str">
        <f t="shared" si="225"/>
        <v xml:space="preserve">E Effs%
 </v>
      </c>
      <c r="FJ112" s="23" t="str">
        <f t="shared" si="225"/>
        <v xml:space="preserve">Required 
 </v>
      </c>
      <c r="FK112" s="23" t="str">
        <f t="shared" si="225"/>
        <v xml:space="preserve">Effects
 </v>
      </c>
      <c r="FL112" s="23" t="str">
        <f t="shared" si="225"/>
        <v xml:space="preserve">Effs. %
 </v>
      </c>
      <c r="FM112" s="23" t="str">
        <f t="shared" si="225"/>
        <v xml:space="preserve">Extra cond
 </v>
      </c>
      <c r="FN112" s="23" t="str">
        <f t="shared" si="225"/>
        <v xml:space="preserve">E Effs
 </v>
      </c>
      <c r="FO112" s="26" t="str">
        <f t="shared" si="225"/>
        <v xml:space="preserve">E Effs%
 </v>
      </c>
      <c r="FP112" s="23" t="str">
        <f t="shared" si="225"/>
        <v xml:space="preserve">Required 
 </v>
      </c>
      <c r="FQ112" s="23" t="str">
        <f t="shared" si="225"/>
        <v xml:space="preserve">Effects
 </v>
      </c>
      <c r="FR112" s="23" t="str">
        <f t="shared" si="225"/>
        <v xml:space="preserve">Effs. %
 </v>
      </c>
      <c r="FS112" s="23" t="str">
        <f t="shared" si="225"/>
        <v xml:space="preserve">Extra cond
 </v>
      </c>
      <c r="FT112" s="23" t="str">
        <f t="shared" si="225"/>
        <v xml:space="preserve">E Effs
 </v>
      </c>
      <c r="FU112" s="26" t="str">
        <f t="shared" si="225"/>
        <v xml:space="preserve">E Effs%
 </v>
      </c>
      <c r="FV112" s="23" t="str">
        <f t="shared" si="225"/>
        <v xml:space="preserve">Required 
 </v>
      </c>
      <c r="FW112" s="23" t="str">
        <f t="shared" si="225"/>
        <v xml:space="preserve">Effects
 </v>
      </c>
      <c r="FX112" s="23" t="str">
        <f t="shared" si="225"/>
        <v xml:space="preserve">Effs. %
 </v>
      </c>
      <c r="FY112" s="23" t="str">
        <f t="shared" si="225"/>
        <v xml:space="preserve">Extra cond
 </v>
      </c>
      <c r="FZ112" s="23" t="str">
        <f t="shared" si="225"/>
        <v xml:space="preserve">E Effs
 </v>
      </c>
      <c r="GA112" s="26" t="str">
        <f t="shared" si="225"/>
        <v xml:space="preserve">E Effs%
 </v>
      </c>
      <c r="GB112" s="23" t="str">
        <f t="shared" si="225"/>
        <v xml:space="preserve">Required 
 </v>
      </c>
      <c r="GC112" s="23" t="str">
        <f t="shared" si="225"/>
        <v xml:space="preserve">Effects
 </v>
      </c>
      <c r="GD112" s="23" t="str">
        <f t="shared" si="225"/>
        <v xml:space="preserve">Effs. %
 </v>
      </c>
      <c r="GE112" s="23" t="str">
        <f t="shared" si="225"/>
        <v xml:space="preserve">Extra cond
 </v>
      </c>
      <c r="GF112" s="23" t="str">
        <f t="shared" si="225"/>
        <v xml:space="preserve">E Effs
 </v>
      </c>
      <c r="GG112" s="26" t="str">
        <f t="shared" si="225"/>
        <v xml:space="preserve">E Effs%
 </v>
      </c>
      <c r="GH112" s="23" t="str">
        <f t="shared" si="225"/>
        <v xml:space="preserve">Required 
 </v>
      </c>
      <c r="GI112" s="23" t="str">
        <f t="shared" si="225"/>
        <v xml:space="preserve">Effects
 </v>
      </c>
      <c r="GJ112" s="23" t="str">
        <f t="shared" si="225"/>
        <v xml:space="preserve">Effs. %
 </v>
      </c>
      <c r="GK112" s="23" t="str">
        <f t="shared" si="225"/>
        <v xml:space="preserve">Extra cond
 </v>
      </c>
      <c r="GL112" s="23" t="str">
        <f t="shared" si="225"/>
        <v xml:space="preserve">E Effs
 </v>
      </c>
      <c r="GM112" s="26" t="str">
        <f t="shared" si="225"/>
        <v xml:space="preserve">E Effs%
 </v>
      </c>
      <c r="GN112" s="23" t="str">
        <f t="shared" si="225"/>
        <v xml:space="preserve">Required 
 </v>
      </c>
      <c r="GO112" s="23" t="str">
        <f t="shared" si="225"/>
        <v xml:space="preserve">Effects
 </v>
      </c>
      <c r="GP112" s="23" t="str">
        <f t="shared" si="225"/>
        <v xml:space="preserve">Effs. %
 </v>
      </c>
      <c r="GQ112" s="23" t="str">
        <f t="shared" si="225"/>
        <v xml:space="preserve">Extra cond
 </v>
      </c>
      <c r="GR112" s="23" t="str">
        <f t="shared" si="225"/>
        <v xml:space="preserve">E Effs
 </v>
      </c>
      <c r="GS112" s="26" t="str">
        <f t="shared" si="225"/>
        <v xml:space="preserve">E Effs%
 </v>
      </c>
      <c r="GT112" s="23" t="str">
        <f t="shared" ref="GT112:HQ112" si="226">GT111&amp;CHAR(10)&amp;GT113</f>
        <v xml:space="preserve">Required 
 </v>
      </c>
      <c r="GU112" s="23" t="str">
        <f t="shared" si="226"/>
        <v xml:space="preserve">Effects
 </v>
      </c>
      <c r="GV112" s="23" t="str">
        <f t="shared" si="226"/>
        <v xml:space="preserve">Effs. %
 </v>
      </c>
      <c r="GW112" s="23" t="str">
        <f t="shared" si="226"/>
        <v xml:space="preserve">Extra cond
 </v>
      </c>
      <c r="GX112" s="23" t="str">
        <f t="shared" si="226"/>
        <v xml:space="preserve">E Effs
 </v>
      </c>
      <c r="GY112" s="26" t="str">
        <f t="shared" si="226"/>
        <v xml:space="preserve">E Effs%
 </v>
      </c>
      <c r="GZ112" s="23" t="str">
        <f t="shared" si="226"/>
        <v xml:space="preserve">Required 
 </v>
      </c>
      <c r="HA112" s="23" t="str">
        <f t="shared" si="226"/>
        <v xml:space="preserve">Effects
 </v>
      </c>
      <c r="HB112" s="23" t="str">
        <f t="shared" si="226"/>
        <v xml:space="preserve">Effs. %
 </v>
      </c>
      <c r="HC112" s="23" t="str">
        <f t="shared" si="226"/>
        <v xml:space="preserve">Extra cond
 </v>
      </c>
      <c r="HD112" s="23" t="str">
        <f t="shared" si="226"/>
        <v xml:space="preserve">E Effs
 </v>
      </c>
      <c r="HE112" s="26" t="str">
        <f t="shared" si="226"/>
        <v xml:space="preserve">E Effs%
 </v>
      </c>
      <c r="HF112" s="23" t="str">
        <f t="shared" si="226"/>
        <v xml:space="preserve">Required 
 </v>
      </c>
      <c r="HG112" s="23" t="str">
        <f t="shared" si="226"/>
        <v xml:space="preserve">Effects
 </v>
      </c>
      <c r="HH112" s="23" t="str">
        <f t="shared" si="226"/>
        <v xml:space="preserve">Effs. %
 </v>
      </c>
      <c r="HI112" s="23" t="str">
        <f t="shared" si="226"/>
        <v xml:space="preserve">Extra cond
 </v>
      </c>
      <c r="HJ112" s="23" t="str">
        <f t="shared" si="226"/>
        <v xml:space="preserve">E Effs
 </v>
      </c>
      <c r="HK112" s="26" t="str">
        <f t="shared" si="226"/>
        <v xml:space="preserve">E Effs%
 </v>
      </c>
      <c r="HL112" s="23" t="str">
        <f t="shared" si="226"/>
        <v xml:space="preserve">Required 
 </v>
      </c>
      <c r="HM112" s="23" t="str">
        <f t="shared" si="226"/>
        <v xml:space="preserve">Effects
 </v>
      </c>
      <c r="HN112" s="23" t="str">
        <f t="shared" si="226"/>
        <v xml:space="preserve">Effs. %
 </v>
      </c>
      <c r="HO112" s="23" t="str">
        <f t="shared" si="226"/>
        <v xml:space="preserve">Extra cond
 </v>
      </c>
      <c r="HP112" s="23" t="str">
        <f t="shared" si="226"/>
        <v xml:space="preserve">E Effs
 </v>
      </c>
      <c r="HQ112" s="26" t="str">
        <f t="shared" si="226"/>
        <v xml:space="preserve">E Effs%
 </v>
      </c>
    </row>
    <row r="113" spans="1:225" ht="15.75" customHeight="1">
      <c r="A113" s="7">
        <f>A5</f>
        <v>0</v>
      </c>
      <c r="B113" s="7" t="str">
        <f t="shared" ref="B113:C113" si="227">B5</f>
        <v>financial</v>
      </c>
      <c r="C113" s="7" t="str">
        <f t="shared" si="227"/>
        <v>budget</v>
      </c>
      <c r="D113" s="14" t="str">
        <f>IF(D5="",D114,$C113&amp;"("&amp;D5&amp;")"&amp;CHAR(10)&amp;D114)</f>
        <v xml:space="preserve">software(1)
 </v>
      </c>
      <c r="E113" s="14" t="str">
        <f>IF(E5="",E114,$C113&amp;"("&amp;E5&amp;","&amp;F5&amp;"%), "&amp;E114)</f>
        <v xml:space="preserve"> </v>
      </c>
      <c r="F113" s="14" t="str">
        <f>IF(F5="",F114,$C113&amp;"("&amp;F5&amp;")"&amp;CHAR(10)&amp;F114)</f>
        <v xml:space="preserve"> </v>
      </c>
      <c r="G113" s="14" t="str">
        <f>IF(G5="",G114,$C113&amp;"("&amp;G5&amp;"), "&amp;G114)</f>
        <v xml:space="preserve">disposable money(1), servers(1), wood(1), metal(1), plastic(1), electronics(1), fabric(1), scale(1), attention to details(1.1), efficiency(1), user rules and manuals(2.1), organizational rules and manuals(2.1),  </v>
      </c>
      <c r="H113" s="14" t="str">
        <f>IF(H5="",H114,$C113&amp;"("&amp;H5&amp;","&amp;I5&amp;"%), "&amp;H114)</f>
        <v xml:space="preserve">disposable money(-1,6.25%), servers(-1,6.25%), wood(-1,6.25%), metal(-1,6.25%), plastic(-1,6.25%), electronics(-1,6.25%), fabric(-1,6.25%), scale(-1,6.25%), efficiency(-1,6.25%),  </v>
      </c>
      <c r="I113" s="27" t="str">
        <f t="shared" ref="I113" si="228">IF(I5="",I114,$C113&amp;"("&amp;I5&amp;"),"&amp;I114)</f>
        <v xml:space="preserve">disposable money(6.25),servers(6.25),wood(6.25),metal(6.25),plastic(6.25),electronics(6.25),fabric(6.25),scale(6.25),efficiency(6.25), </v>
      </c>
      <c r="J113" s="14" t="str">
        <f t="shared" ref="J113:J176" si="229">IF(J5="",J114,$C113&amp;"("&amp;J5&amp;")"&amp;CHAR(10)&amp;J114)</f>
        <v xml:space="preserve">scale(1)
enthusiasm(1)
 </v>
      </c>
      <c r="K113" s="14" t="str">
        <f t="shared" ref="K113:K176" si="230">IF(K5="",K114,$C113&amp;"("&amp;K5&amp;","&amp;L5&amp;"%), "&amp;K114)</f>
        <v xml:space="preserve">scale(-1,12.5%), enthusiasm(-1,25%),  </v>
      </c>
      <c r="L113" s="14" t="str">
        <f t="shared" ref="L113:L176" si="231">IF(L5="",L114,$C113&amp;"("&amp;L5&amp;")"&amp;CHAR(10)&amp;L114)</f>
        <v xml:space="preserve">scale(12.5)
enthusiasm(25)
 </v>
      </c>
      <c r="M113" s="14" t="str">
        <f t="shared" ref="M113:M176" si="232">IF(M5="",M114,$C113&amp;"("&amp;M5&amp;"), "&amp;M114)</f>
        <v xml:space="preserve">disposable money(1.1), scale(1.1), efficiency(0.1), organizational rules and manuals(1.1),  </v>
      </c>
      <c r="N113" s="14" t="str">
        <f t="shared" ref="N113:N176" si="233">IF(N5="",N114,$C113&amp;"("&amp;N5&amp;","&amp;O5&amp;"%), "&amp;N114)</f>
        <v xml:space="preserve">disposable money(-1,6.75%), agility(-1,6.75%), ambition(-1,6.75%), fun-ness(-1,6.75%), initiative(-1,6.75%),  </v>
      </c>
      <c r="O113" s="27" t="str">
        <f t="shared" ref="O113:BW128" si="234">IF(O5="",O114,$C113&amp;"("&amp;O5&amp;"),"&amp;O114)</f>
        <v xml:space="preserve">disposable money(6.75),agility(6.75),ambition(6.75),fun-ness(6.75),initiative(6.75), </v>
      </c>
      <c r="P113" s="14" t="str">
        <f t="shared" ref="P113:P176" si="235">IF(P5="",P114,$C113&amp;"("&amp;P5&amp;")"&amp;CHAR(10)&amp;P114)</f>
        <v xml:space="preserve">scale(1)
enthusiasm(1)
 </v>
      </c>
      <c r="Q113" s="14" t="str">
        <f t="shared" ref="Q113:Q176" si="236">IF(Q5="",Q114,$C113&amp;"("&amp;Q5&amp;","&amp;R5&amp;"%), "&amp;Q114)</f>
        <v xml:space="preserve">enthusiasm(-1,50%), gifted leader(-1,25%), gifted programmer(-1,25%), gifted designer(-1,25%),  </v>
      </c>
      <c r="R113" s="14" t="str">
        <f t="shared" ref="R113:R176" si="237">IF(R5="",R114,$C113&amp;"("&amp;R5&amp;")"&amp;CHAR(10)&amp;R114)</f>
        <v xml:space="preserve">enthusiasm(50)
gifted leader(25)
gifted programmer(25)
gifted designer(25)
 </v>
      </c>
      <c r="S113" s="14" t="str">
        <f t="shared" ref="S113:S176" si="238">IF(S5="",S114,$C113&amp;"("&amp;S5&amp;"), "&amp;S114)</f>
        <v xml:space="preserve">scale(1), network among members(0.1), gifted leader(1), gifted programmer(1), gifted designer(1), ambition(1), attention to details(0.1), community manager(0.1), team building(0.1),  </v>
      </c>
      <c r="T113" s="14" t="str">
        <f t="shared" ref="T113:T176" si="239">IF(T5="",T114,$C113&amp;"("&amp;T5&amp;","&amp;U5&amp;"%), "&amp;T114)</f>
        <v xml:space="preserve">ambition(-1,%), business model(-1,6.25%), web(-1,6.25%), mobile apps(-1,6.25%), aesthetics(-1,6.25%),  </v>
      </c>
      <c r="U113" s="27" t="str">
        <f t="shared" ref="U113" si="240">IF(U5="",U114,$C113&amp;"("&amp;U5&amp;"),"&amp;U114)</f>
        <v xml:space="preserve">business model(6.25),web(6.25),mobile apps(6.25),aesthetics(6.25), </v>
      </c>
      <c r="V113" s="14" t="str">
        <f t="shared" ref="V113:V176" si="241">IF(V5="",V114,$C113&amp;"("&amp;V5&amp;")"&amp;CHAR(10)&amp;V114)</f>
        <v xml:space="preserve">scale(1)
scale(1)
 </v>
      </c>
      <c r="W113" s="14" t="str">
        <f t="shared" ref="W113:W176" si="242">IF(W5="",W114,$C113&amp;"("&amp;W5&amp;","&amp;X5&amp;"%), "&amp;W114)</f>
        <v xml:space="preserve">enthusiasm(-1,25%), enthusiasm(-1,25%), efficiency(-1,25%),  </v>
      </c>
      <c r="X113" s="14" t="str">
        <f t="shared" ref="X113:X176" si="243">IF(X5="",X114,$C113&amp;"("&amp;X5&amp;")"&amp;CHAR(10)&amp;X114)</f>
        <v xml:space="preserve">enthusiasm(25)
enthusiasm(25)
efficiency(25)
 </v>
      </c>
      <c r="Y113" s="14" t="str">
        <f t="shared" ref="Y113:Y176" si="244">IF(Y5="",Y114,$C113&amp;"("&amp;Y5&amp;"), "&amp;Y114)</f>
        <v xml:space="preserve">community manager(0.1), administrator(0.1), spaciousness(1), ease of access(3), reputation(2), user rules and manuals(0.1), project management(0.1), negotiation(0.1),  </v>
      </c>
      <c r="Z113" s="14" t="str">
        <f t="shared" ref="Z113:Z176" si="245">IF(Z5="",Z114,$C113&amp;"("&amp;Z5&amp;","&amp;AA5&amp;"%), "&amp;Z114)</f>
        <v xml:space="preserve">scale(-1,6.25%), reputation(-1,%),  </v>
      </c>
      <c r="AA113" s="27" t="str">
        <f t="shared" ref="AA113" si="246">IF(AA5="",AA114,$C113&amp;"("&amp;AA5&amp;"),"&amp;AA114)</f>
        <v xml:space="preserve">scale(6.25), </v>
      </c>
      <c r="AB113" s="14" t="str">
        <f t="shared" ref="AB113:AB176" si="247">IF(AB5="",AB114,$C113&amp;"("&amp;AB5&amp;")"&amp;CHAR(10)&amp;AB114)</f>
        <v xml:space="preserve"> </v>
      </c>
      <c r="AC113" s="14" t="str">
        <f t="shared" ref="AC113:AC176" si="248">IF(AC5="",AC114,$C113&amp;"("&amp;AC5&amp;","&amp;AD5&amp;"%), "&amp;AC114)</f>
        <v xml:space="preserve"> </v>
      </c>
      <c r="AD113" s="14" t="str">
        <f t="shared" ref="AD113:AD176" si="249">IF(AD5="",AD114,$C113&amp;"("&amp;AD5&amp;")"&amp;CHAR(10)&amp;AD114)</f>
        <v xml:space="preserve"> </v>
      </c>
      <c r="AE113" s="14" t="str">
        <f t="shared" ref="AE113:AE176" si="250">IF(AE5="",AE114,$C113&amp;"("&amp;AE5&amp;"), "&amp;AE114)</f>
        <v xml:space="preserve">scale(3), network among members(0.1), scale(1.1), attention to details(0.1), seriousness(0.1), initiative(0.1), spaciousness(1), user rules and manuals(1.1), organizational rules and manuals(1.1),  </v>
      </c>
      <c r="AF113" s="14" t="str">
        <f t="shared" ref="AF113:AF176" si="251">IF(AF5="",AF114,$C113&amp;"("&amp;AF5&amp;","&amp;AG5&amp;"%), "&amp;AF114)</f>
        <v xml:space="preserve">disposable money(-1,6.25%), wood(-1,6.25%), fabric(-1,6.25%), enthusiasm(-1,6.25%), enthusiasm(-1,%), local biz(-1,6.25%), investors(-1,6.25%), non-profits(-1,6.25%), efficiency(-1,6.25%),  </v>
      </c>
      <c r="AG113" s="27" t="str">
        <f t="shared" ref="AG113" si="252">IF(AG5="",AG114,$C113&amp;"("&amp;AG5&amp;"),"&amp;AG114)</f>
        <v xml:space="preserve">disposable money(6.25),wood(6.25),fabric(6.25),enthusiasm(6.25),local biz(6.25),investors(6.25),non-profits(6.25),efficiency(6.25), </v>
      </c>
      <c r="AH113" s="14" t="str">
        <f t="shared" ref="AH113:AH176" si="253">IF(AH5="",AH114,$C113&amp;"("&amp;AH5&amp;")"&amp;CHAR(10)&amp;AH114)</f>
        <v xml:space="preserve">scale(1)
enthusiasm(2)
fun-ness(1)
ease of access(1)
reputation(1)
 </v>
      </c>
      <c r="AI113" s="14" t="str">
        <f t="shared" ref="AI113:AI176" si="254">IF(AI5="",AI114,$C113&amp;"("&amp;AI5&amp;","&amp;AJ5&amp;"%), "&amp;AI114)</f>
        <v xml:space="preserve">enthusiasm(-1,25%),  </v>
      </c>
      <c r="AJ113" s="14" t="str">
        <f t="shared" ref="AJ113:AJ176" si="255">IF(AJ5="",AJ114,$C113&amp;"("&amp;AJ5&amp;")"&amp;CHAR(10)&amp;AJ114)</f>
        <v xml:space="preserve">enthusiasm(25)
 </v>
      </c>
      <c r="AK113" s="14" t="str">
        <f t="shared" ref="AK113:AK176" si="256">IF(AK5="",AK114,$C113&amp;"("&amp;AK5&amp;"), "&amp;AK114)</f>
        <v xml:space="preserve">scale(2), enthusiasm(2), scale(3.1), attention to details(2.1), seriousness(2.1), community manager(2.1), administrator(2.1), spaciousness(1), ease of access(1), reputation(2), user rules and manuals(2.1), organizational rules and manuals(2.1), law(1.1), negotiation(1.1),  </v>
      </c>
      <c r="AL113" s="14" t="str">
        <f t="shared" ref="AL113:AL176" si="257">IF(AL5="",AL114,$C113&amp;"("&amp;AL5&amp;","&amp;AM5&amp;"%), "&amp;AL114)</f>
        <v xml:space="preserve">scale(-1,6.25%), enthusiasm(-1,6.25%), govt(-1,6.25%), non-profits(-1,6.25%), reputation(-1,6.25%),  </v>
      </c>
      <c r="AM113" s="27" t="str">
        <f t="shared" ref="AM113" si="258">IF(AM5="",AM114,$C113&amp;"("&amp;AM5&amp;"),"&amp;AM114)</f>
        <v xml:space="preserve">scale(6.25),enthusiasm(6.25),govt(6.25),non-profits(6.25),reputation(6.25), </v>
      </c>
      <c r="AN113" s="14" t="str">
        <f t="shared" ref="AN113:AN176" si="259">IF(AN5="",AN114,$C113&amp;"("&amp;AN5&amp;")"&amp;CHAR(10)&amp;AN114)</f>
        <v xml:space="preserve">scale(1)
fun-ness(1)
seriousness(1)
 </v>
      </c>
      <c r="AO113" s="14" t="str">
        <f t="shared" ref="AO113:AO176" si="260">IF(AO5="",AO114,$C113&amp;"("&amp;AO5&amp;","&amp;AP5&amp;"%), "&amp;AO114)</f>
        <v xml:space="preserve">scale(-1,25%), enthusiasm(-1,25%), enthusiasm(-1,25%),  </v>
      </c>
      <c r="AP113" s="14" t="str">
        <f t="shared" ref="AP113:AP176" si="261">IF(AP5="",AP114,$C113&amp;"("&amp;AP5&amp;")"&amp;CHAR(10)&amp;AP114)</f>
        <v xml:space="preserve">scale(25)
enthusiasm(25)
enthusiasm(25)
 </v>
      </c>
      <c r="AQ113" s="14" t="str">
        <f t="shared" ref="AQ113:AQ176" si="262">IF(AQ5="",AQ114,$C113&amp;"("&amp;AQ5&amp;"), "&amp;AQ114)</f>
        <v xml:space="preserve">scale(1), fun-ness(1), spaciousness(2.1), reputation(3), organizational rules and manuals(2.1), team building(2.1),  </v>
      </c>
      <c r="AR113" s="14" t="str">
        <f t="shared" ref="AR113:AR176" si="263">IF(AR5="",AR114,$C113&amp;"("&amp;AR5&amp;","&amp;AS5&amp;"%), "&amp;AR114)</f>
        <v xml:space="preserve">enthusiasm(-1,12.5%), fun-ness(-1,6.25%), reputation(-1,6.25%), efficiency(-1,6.25%),  </v>
      </c>
      <c r="AS113" s="27" t="str">
        <f t="shared" ref="AS113" si="264">IF(AS5="",AS114,$C113&amp;"("&amp;AS5&amp;"),"&amp;AS114)</f>
        <v xml:space="preserve">enthusiasm(12.5),fun-ness(6.25),reputation(6.25),efficiency(6.25), </v>
      </c>
      <c r="AT113" s="14" t="str">
        <f t="shared" ref="AT113:AT176" si="265">IF(AT5="",AT114,$C113&amp;"("&amp;AT5&amp;")"&amp;CHAR(10)&amp;AT114)</f>
        <v xml:space="preserve">scale(1)
enthusiasm(1)
network among members(3.1)
 </v>
      </c>
      <c r="AU113" s="14" t="str">
        <f t="shared" ref="AU113:AU176" si="266">IF(AU5="",AU114,$C113&amp;"("&amp;AU5&amp;","&amp;AV5&amp;"%), "&amp;AU114)</f>
        <v xml:space="preserve">scale(-1,25%), enthusiasm(-1,25%),  </v>
      </c>
      <c r="AV113" s="14" t="str">
        <f t="shared" ref="AV113:AV176" si="267">IF(AV5="",AV114,$C113&amp;"("&amp;AV5&amp;")"&amp;CHAR(10)&amp;AV114)</f>
        <v xml:space="preserve">scale(25)
enthusiasm(25)
 </v>
      </c>
      <c r="AW113" s="14" t="str">
        <f t="shared" ref="AW113:AW176" si="268">IF(AW5="",AW114,$C113&amp;"("&amp;AW5&amp;"), "&amp;AW114)</f>
        <v xml:space="preserve">scale(1), enthusiasm(1), attention to details(3.1), fun-ness(3.1), seriousness(3.1), initiative(2.1), leader(2.1), community manager(2.1), user rules and manuals(2.1), team building(2.1),  </v>
      </c>
      <c r="AX113" s="14" t="str">
        <f t="shared" ref="AX113:AX176" si="269">IF(AX5="",AX114,$C113&amp;"("&amp;AX5&amp;","&amp;AY5&amp;"%), "&amp;AX114)</f>
        <v xml:space="preserve">field knowledge(-1,6.25%), network among members(-1,6.25%), gifted assistant(-1,6.25%),  </v>
      </c>
      <c r="AY113" s="27" t="str">
        <f t="shared" ref="AY113" si="270">IF(AY5="",AY114,$C113&amp;"("&amp;AY5&amp;"),"&amp;AY114)</f>
        <v xml:space="preserve">field knowledge(6.25),network among members(6.25),gifted assistant(6.25), </v>
      </c>
      <c r="AZ113" s="14" t="str">
        <f t="shared" ref="AZ113:AZ176" si="271">IF(AZ5="",AZ114,$C113&amp;"("&amp;AZ5&amp;")"&amp;CHAR(10)&amp;AZ114)</f>
        <v xml:space="preserve">disposable money(1)
wood(1)
scale(1)
 </v>
      </c>
      <c r="BA113" s="14" t="str">
        <f t="shared" ref="BA113:BA176" si="272">IF(BA5="",BA114,$C113&amp;"("&amp;BA5&amp;","&amp;BB5&amp;"%), "&amp;BA114)</f>
        <v xml:space="preserve">disposable money(-1,12.5%), enthusiasm(-1,12.5%), attention to details(1,12.5%), fun-ness(-1,12.5%), seriousness(1,12.5%), efficiency(-1,12.5%), user rules and manuals(1,25%),  </v>
      </c>
      <c r="BB113" s="14" t="str">
        <f t="shared" ref="BB113:BB176" si="273">IF(BB5="",BB114,$C113&amp;"("&amp;BB5&amp;")"&amp;CHAR(10)&amp;BB114)</f>
        <v xml:space="preserve">disposable money(12.5)
enthusiasm(12.5)
attention to details(12.5)
fun-ness(12.5)
seriousness(12.5)
efficiency(12.5)
user rules and manuals(25)
 </v>
      </c>
      <c r="BC113" s="14" t="str">
        <f t="shared" ref="BC113:BC176" si="274">IF(BC5="",BC114,$C113&amp;"("&amp;BC5&amp;"), "&amp;BC114)</f>
        <v xml:space="preserve">wood(1), scale(1), agility(1.1), attention to details(1.1), seriousness(1.1), community manager(1.1), administrator(1.1), user rules and manuals(2.1), organizational rules and manuals(2.1),  </v>
      </c>
      <c r="BD113" s="14" t="str">
        <f t="shared" ref="BD113:BD176" si="275">IF(BD5="",BD114,$C113&amp;"("&amp;BD5&amp;","&amp;BE5&amp;"%), "&amp;BD114)</f>
        <v xml:space="preserve">wood(-1,6.25%), scale(-1,6.25%), enthusiasm(-1,6.25%), reputation(-1,6.25%),  </v>
      </c>
      <c r="BE113" s="27" t="str">
        <f t="shared" ref="BE113" si="276">IF(BE5="",BE114,$C113&amp;"("&amp;BE5&amp;"),"&amp;BE114)</f>
        <v xml:space="preserve">wood(6.25),scale(6.25),enthusiasm(6.25),reputation(6.25), </v>
      </c>
      <c r="BF113" s="14" t="str">
        <f t="shared" ref="BF113:BF176" si="277">IF(BF5="",BF114,$C113&amp;"("&amp;BF5&amp;")"&amp;CHAR(10)&amp;BF114)</f>
        <v xml:space="preserve">disposable money(1)
 </v>
      </c>
      <c r="BG113" s="14" t="str">
        <f t="shared" ref="BG113:BG176" si="278">IF(BG5="",BG114,$C113&amp;"("&amp;BG5&amp;","&amp;BH5&amp;"%), "&amp;BG114)</f>
        <v xml:space="preserve">disposable money(-1,25%), plastic(-1,25%), enthusiasm(-1,25%), enthusiasm(-1,25%), attention to details(1,25%), fun-ness(-1,25%), seriousness(1,25%), user rules and manuals(1,25%), organizational rules and manuals(1,25%),  </v>
      </c>
      <c r="BH113" s="14" t="str">
        <f t="shared" ref="BH113:BH176" si="279">IF(BH5="",BH114,$C113&amp;"("&amp;BH5&amp;")"&amp;CHAR(10)&amp;BH114)</f>
        <v xml:space="preserve">disposable money(25)
plastic(25)
enthusiasm(25)
enthusiasm(25)
attention to details(25)
fun-ness(25)
seriousness(25)
user rules and manuals(25)
organizational rules and manuals(25)
 </v>
      </c>
      <c r="BI113" s="14" t="str">
        <f t="shared" ref="BI113:BI176" si="280">IF(BI5="",BI114,$C113&amp;"("&amp;BI5&amp;"), "&amp;BI114)</f>
        <v xml:space="preserve">enthusiasm(1), engineering knowledge(1.1), enthusiasm(1), fun-ness(1), seriousness(2.1), community manager(1.1), administrator(1.1),  </v>
      </c>
      <c r="BJ113" s="14" t="str">
        <f t="shared" ref="BJ113:BJ176" si="281">IF(BJ5="",BJ114,$C113&amp;"("&amp;BJ5&amp;","&amp;BK5&amp;"%), "&amp;BJ114)</f>
        <v xml:space="preserve">reputation(-1,6.25%), efficiency(-1,25%),  </v>
      </c>
      <c r="BK113" s="27" t="str">
        <f t="shared" ref="BK113" si="282">IF(BK5="",BK114,$C113&amp;"("&amp;BK5&amp;"),"&amp;BK114)</f>
        <v xml:space="preserve">reputation(6.25),efficiency(25), </v>
      </c>
      <c r="BL113" s="14" t="str">
        <f t="shared" ref="BL113:BL176" si="283">IF(BL5="",BL114,$C113&amp;"("&amp;BL5&amp;")"&amp;CHAR(10)&amp;BL114)</f>
        <v xml:space="preserve">software(1)
scale(2)
local biz(1)
ease of access(1)
reputation(1)
aesthetics(1)
 </v>
      </c>
      <c r="BM113" s="14" t="str">
        <f t="shared" ref="BM113:BM176" si="284">IF(BM5="",BM114,$C113&amp;"("&amp;BM5&amp;","&amp;BN5&amp;"%), "&amp;BM114)</f>
        <v xml:space="preserve">disposable money(1,12.5%), biz enhancement(1,%),  </v>
      </c>
      <c r="BN113" s="14" t="str">
        <f t="shared" ref="BN113:BN176" si="285">IF(BN5="",BN114,$C113&amp;"("&amp;BN5&amp;")"&amp;CHAR(10)&amp;BN114)</f>
        <v xml:space="preserve">disposable money(12.5)
 </v>
      </c>
      <c r="BO113" s="14" t="str">
        <f t="shared" ref="BO113:BO176" si="286">IF(BO5="",BO114,$C113&amp;"("&amp;BO5&amp;"), "&amp;BO114)</f>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3" s="14" t="str">
        <f t="shared" ref="BP113:BP176" si="287">IF(BP5="",BP114,$C113&amp;"("&amp;BP5&amp;","&amp;BQ5&amp;"%), "&amp;BP114)</f>
        <v xml:space="preserve">disposable money(1,6.25%), local biz(1,6.25%),  </v>
      </c>
      <c r="BQ113" s="27" t="str">
        <f t="shared" ref="BQ113" si="288">IF(BQ5="",BQ114,$C113&amp;"("&amp;BQ5&amp;"),"&amp;BQ114)</f>
        <v xml:space="preserve">disposable money(6.25),local biz(6.25), </v>
      </c>
      <c r="BR113" s="14" t="str">
        <f t="shared" ref="BR113:BR176" si="289">IF(BR5="",BR114,$C113&amp;"("&amp;BR5&amp;")"&amp;CHAR(10)&amp;BR114)</f>
        <v xml:space="preserve">software(1)
wood(1)
scale(2)
scale(1)
local biz(1)
ease of access(1)
reputation(1)
aesthetics(1)
 </v>
      </c>
      <c r="BS113" s="14" t="str">
        <f t="shared" ref="BS113:BS176" si="290">IF(BS5="",BS114,$C113&amp;"("&amp;BS5&amp;","&amp;BT5&amp;"%), "&amp;BS114)</f>
        <v xml:space="preserve">disposable money(1,12.5%), biz project(1,%),  </v>
      </c>
      <c r="BT113" s="14" t="str">
        <f t="shared" ref="BT113:BT176" si="291">IF(BT5="",BT114,$C113&amp;"("&amp;BT5&amp;")"&amp;CHAR(10)&amp;BT114)</f>
        <v xml:space="preserve">disposable money(12.5)
 </v>
      </c>
      <c r="BU113" s="14" t="str">
        <f t="shared" ref="BU113:BU176" si="292">IF(BU5="",BU114,$C113&amp;"("&amp;BU5&amp;"), "&amp;BU114)</f>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3" s="14" t="str">
        <f t="shared" ref="BV113:BV176" si="293">IF(BV5="",BV114,$C113&amp;"("&amp;BV5&amp;","&amp;BW5&amp;"%), "&amp;BV114)</f>
        <v xml:space="preserve">disposable money(1,6.25%), local biz(1,6.25%),  </v>
      </c>
      <c r="BW113" s="27" t="str">
        <f t="shared" ref="BW113" si="294">IF(BW5="",BW114,$C113&amp;"("&amp;BW5&amp;"),"&amp;BW114)</f>
        <v xml:space="preserve">disposable money(6.25),local biz(6.25), </v>
      </c>
      <c r="BX113" s="14" t="str">
        <f t="shared" ref="BX113:BX176" si="295">IF(BX5="",BX114,$C113&amp;"("&amp;BX5&amp;")"&amp;CHAR(10)&amp;BX114)</f>
        <v xml:space="preserve">software(1)
servers(1)
scale(2)
enthusiasm(1)
local biz(1)
ease of access(1)
reputation(1)
aesthetics(1)
interaction(1)
 </v>
      </c>
      <c r="BY113" s="14" t="str">
        <f t="shared" ref="BY113:BY176" si="296">IF(BY5="",BY114,$C113&amp;"("&amp;BY5&amp;","&amp;BZ5&amp;"%), "&amp;BY114)</f>
        <v xml:space="preserve">disposable money(1,12.5%), biz project(1,%),  </v>
      </c>
      <c r="BZ113" s="14" t="str">
        <f t="shared" ref="BZ113:BZ176" si="297">IF(BZ5="",BZ114,$C113&amp;"("&amp;BZ5&amp;")"&amp;CHAR(10)&amp;BZ114)</f>
        <v xml:space="preserve">disposable money(12.5)
 </v>
      </c>
      <c r="CA113" s="14" t="str">
        <f t="shared" ref="CA113:CA176" si="298">IF(CA5="",CA114,$C113&amp;"("&amp;CA5&amp;"), "&amp;CA114)</f>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3" s="14" t="str">
        <f t="shared" ref="CB113:CB176" si="299">IF(CB5="",CB114,$C113&amp;"("&amp;CB5&amp;","&amp;CC5&amp;"%), "&amp;CB114)</f>
        <v xml:space="preserve">disposable money(1,6.25%), local biz(1,6.25%),  </v>
      </c>
      <c r="CC113" s="27" t="str">
        <f t="shared" ref="CC113:EK128" si="300">IF(CC5="",CC114,$C113&amp;"("&amp;CC5&amp;"),"&amp;CC114)</f>
        <v xml:space="preserve">disposable money(6.25),local biz(6.25), </v>
      </c>
      <c r="CD113" s="14" t="str">
        <f t="shared" ref="CD113:CD176" si="301">IF(CD5="",CD114,$C113&amp;"("&amp;CD5&amp;")"&amp;CHAR(10)&amp;CD114)</f>
        <v xml:space="preserve">software(1)
servers(1)
scale(2)
enthusiasm(1)
ease of access(1)
reputation(1)
aesthetics(1)
 </v>
      </c>
      <c r="CE113" s="14" t="str">
        <f t="shared" ref="CE113:CE176" si="302">IF(CE5="",CE114,$C113&amp;"("&amp;CE5&amp;","&amp;CF5&amp;"%), "&amp;CE114)</f>
        <v xml:space="preserve">disposable money(1,12.5%), biz project(1,%),  </v>
      </c>
      <c r="CF113" s="14" t="str">
        <f t="shared" ref="CF113:CF176" si="303">IF(CF5="",CF114,$C113&amp;"("&amp;CF5&amp;")"&amp;CHAR(10)&amp;CF114)</f>
        <v xml:space="preserve">disposable money(12.5)
 </v>
      </c>
      <c r="CG113" s="14" t="str">
        <f t="shared" ref="CG113:CG176" si="304">IF(CG5="",CG114,$C113&amp;"("&amp;CG5&amp;"), "&amp;CG114)</f>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3" s="14" t="str">
        <f t="shared" ref="CH113:CH176" si="305">IF(CH5="",CH114,$C113&amp;"("&amp;CH5&amp;","&amp;CI5&amp;"%), "&amp;CH114)</f>
        <v xml:space="preserve">disposable money(1,6.25%), local biz(1,6.25%),  </v>
      </c>
      <c r="CI113" s="27" t="str">
        <f t="shared" ref="CI113" si="306">IF(CI5="",CI114,$C113&amp;"("&amp;CI5&amp;"),"&amp;CI114)</f>
        <v xml:space="preserve">disposable money(6.25),local biz(6.25), </v>
      </c>
      <c r="CJ113" s="14" t="str">
        <f t="shared" ref="CJ113:CJ176" si="307">IF(CJ5="",CJ114,$C113&amp;"("&amp;CJ5&amp;")"&amp;CHAR(10)&amp;CJ114)</f>
        <v xml:space="preserve">software(1)
scale(2)
ease of access(1)
reputation(1)
aesthetics(1)
 </v>
      </c>
      <c r="CK113" s="14" t="str">
        <f t="shared" ref="CK113:CK176" si="308">IF(CK5="",CK114,$C113&amp;"("&amp;CK5&amp;","&amp;CL5&amp;"%), "&amp;CK114)</f>
        <v xml:space="preserve">disposable money(1,12.5%), biz project(1,%),  </v>
      </c>
      <c r="CL113" s="14" t="str">
        <f t="shared" ref="CL113:CL176" si="309">IF(CL5="",CL114,$C113&amp;"("&amp;CL5&amp;")"&amp;CHAR(10)&amp;CL114)</f>
        <v xml:space="preserve">disposable money(12.5)
 </v>
      </c>
      <c r="CM113" s="14" t="str">
        <f t="shared" ref="CM113:CM176" si="310">IF(CM5="",CM114,$C113&amp;"("&amp;CM5&amp;"), "&amp;CM114)</f>
        <v xml:space="preserve">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3" s="14" t="str">
        <f t="shared" ref="CN113:CN176" si="311">IF(CN5="",CN114,$C113&amp;"("&amp;CN5&amp;","&amp;CO5&amp;"%), "&amp;CN114)</f>
        <v xml:space="preserve">disposable money(1,6.25%), local biz(1,6.25%),  </v>
      </c>
      <c r="CO113" s="27" t="str">
        <f t="shared" ref="CO113" si="312">IF(CO5="",CO114,$C113&amp;"("&amp;CO5&amp;"),"&amp;CO114)</f>
        <v xml:space="preserve">disposable money(6.25),local biz(6.25), </v>
      </c>
      <c r="CP113" s="14" t="str">
        <f t="shared" ref="CP113:CP176" si="313">IF(CP5="",CP114,$C113&amp;"("&amp;CP5&amp;")"&amp;CHAR(10)&amp;CP114)</f>
        <v xml:space="preserve">disposable money(1)
metal(1)
scale(2)
enthusiasm(1)
learning capacities(1)
field knowledge(1)
local biz(1)
metal processing(1)
functions(1)
 </v>
      </c>
      <c r="CQ113" s="14" t="str">
        <f t="shared" ref="CQ113:CQ176" si="314">IF(CQ5="",CQ114,$C113&amp;"("&amp;CQ5&amp;","&amp;CR5&amp;"%), "&amp;CQ114)</f>
        <v xml:space="preserve">local biz(1,50%), biz enhancement(1,50%),  </v>
      </c>
      <c r="CR113" s="14" t="str">
        <f t="shared" ref="CR113:CR176" si="315">IF(CR5="",CR114,$C113&amp;"("&amp;CR5&amp;")"&amp;CHAR(10)&amp;CR114)</f>
        <v xml:space="preserve">local biz(50)
biz enhancement(50)
 </v>
      </c>
      <c r="CS113" s="14" t="str">
        <f t="shared" ref="CS113:CS176" si="316">IF(CS5="",CS114,$C113&amp;"("&amp;CS5&amp;"), "&amp;CS114)</f>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3" s="14" t="str">
        <f t="shared" ref="CT113:CT176" si="317">IF(CT5="",CT114,$C113&amp;"("&amp;CT5&amp;","&amp;CU5&amp;"%), "&amp;CT114)</f>
        <v xml:space="preserve">disposable money(1,6.25%), reputation(1,6.25%),  </v>
      </c>
      <c r="CU113" s="27" t="str">
        <f t="shared" ref="CU113" si="318">IF(CU5="",CU114,$C113&amp;"("&amp;CU5&amp;"),"&amp;CU114)</f>
        <v xml:space="preserve">disposable money(6.25),reputation(6.25), </v>
      </c>
      <c r="CV113" s="14" t="str">
        <f t="shared" ref="CV113:CV176" si="319">IF(CV5="",CV114,$C113&amp;"("&amp;CV5&amp;")"&amp;CHAR(10)&amp;CV114)</f>
        <v xml:space="preserve">disposable money(1)
software(1)
wood(1)
scale(1)
enthusiasm(2)
learning capacities(1)
non-profits(1)
wood processing(1)
aesthetics(1)
interaction(1)
 </v>
      </c>
      <c r="CW113" s="14" t="str">
        <f t="shared" ref="CW113:CW176" si="320">IF(CW5="",CW114,$C113&amp;"("&amp;CW5&amp;","&amp;CX5&amp;"%), "&amp;CW114)</f>
        <v xml:space="preserve">non-profits(1,50%), social project(1,50%),  </v>
      </c>
      <c r="CX113" s="14" t="str">
        <f t="shared" ref="CX113:CX176" si="321">IF(CX5="",CX114,$C113&amp;"("&amp;CX5&amp;")"&amp;CHAR(10)&amp;CX114)</f>
        <v xml:space="preserve">non-profits(50)
social project(50)
 </v>
      </c>
      <c r="CY113" s="14" t="str">
        <f t="shared" ref="CY113:CY176" si="322">IF(CY5="",CY114,$C113&amp;"("&amp;CY5&amp;"), "&amp;CY114)</f>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3" s="14" t="str">
        <f t="shared" ref="CZ113:CZ176" si="323">IF(CZ5="",CZ114,$C113&amp;"("&amp;CZ5&amp;","&amp;DA5&amp;"%), "&amp;CZ114)</f>
        <v xml:space="preserve">disposable money(1,6.25%), media(1,6.25%), reputation(1,6.25%), portfolio(1,6.25%),  </v>
      </c>
      <c r="DA113" s="27" t="str">
        <f t="shared" ref="DA113" si="324">IF(DA5="",DA114,$C113&amp;"("&amp;DA5&amp;"),"&amp;DA114)</f>
        <v xml:space="preserve">disposable money(6.25),media(6.25),reputation(6.25),portfolio(6.25), </v>
      </c>
      <c r="DB113" s="14" t="str">
        <f t="shared" ref="DB113:DB176" si="325">IF(DB5="",DB114,$C113&amp;"("&amp;DB5&amp;")"&amp;CHAR(10)&amp;DB114)</f>
        <v xml:space="preserve">disposable money(1)
software(1)
scale(1)
enthusiasm(2)
learning capacities(1)
non-profits(1)
aesthetics(1)
interaction(1)
 </v>
      </c>
      <c r="DC113" s="14" t="str">
        <f t="shared" ref="DC113:DC176" si="326">IF(DC5="",DC114,$C113&amp;"("&amp;DC5&amp;","&amp;DD5&amp;"%), "&amp;DC114)</f>
        <v xml:space="preserve">non-profits(1,50%), social project(1,50%),  </v>
      </c>
      <c r="DD113" s="14" t="str">
        <f t="shared" ref="DD113:DD176" si="327">IF(DD5="",DD114,$C113&amp;"("&amp;DD5&amp;")"&amp;CHAR(10)&amp;DD114)</f>
        <v xml:space="preserve">non-profits(50)
social project(50)
 </v>
      </c>
      <c r="DE113" s="14" t="str">
        <f t="shared" ref="DE113:DE176" si="328">IF(DE5="",DE114,$C113&amp;"("&amp;DE5&amp;"), "&amp;DE114)</f>
        <v xml:space="preserve">gifted programmer(1), gifted designer(1), scale(2), enthusiasm(4), agility(2), ambition(4), attention to details(2), fun-ness(2), administrator(2), ease of access(2), efficiency(3), VR&amp;AR(2),  </v>
      </c>
      <c r="DF113" s="14" t="str">
        <f t="shared" ref="DF113:DF176" si="329">IF(DF5="",DF114,$C113&amp;"("&amp;DF5&amp;","&amp;DG5&amp;"%), "&amp;DF114)</f>
        <v xml:space="preserve">disposable money(1,6.25%), media(1,6.25%), reputation(1,6.25%), portfolio(1,6.25%),  </v>
      </c>
      <c r="DG113" s="27" t="str">
        <f t="shared" ref="DG113" si="330">IF(DG5="",DG114,$C113&amp;"("&amp;DG5&amp;"),"&amp;DG114)</f>
        <v xml:space="preserve">disposable money(6.25),media(6.25),reputation(6.25),portfolio(6.25), </v>
      </c>
      <c r="DH113" s="14" t="str">
        <f t="shared" ref="DH113:DH176" si="331">IF(DH5="",DH114,$C113&amp;"("&amp;DH5&amp;")"&amp;CHAR(10)&amp;DH114)</f>
        <v xml:space="preserve">disposable money(1)
software(1)
wood(1)
plastic(1)
scale(2)
enthusiasm(2)
scale(1)
wood processing(1)
aesthetics(1)
safety(1)
 </v>
      </c>
      <c r="DI113" s="14" t="str">
        <f t="shared" ref="DI113:DI176" si="332">IF(DI5="",DI114,$C113&amp;"("&amp;DI5&amp;","&amp;DJ5&amp;"%), "&amp;DI114)</f>
        <v xml:space="preserve">disposable money(-1,100%), social project(1,100%),  </v>
      </c>
      <c r="DJ113" s="14" t="str">
        <f t="shared" ref="DJ113:DJ176" si="333">IF(DJ5="",DJ114,$C113&amp;"("&amp;DJ5&amp;")"&amp;CHAR(10)&amp;DJ114)</f>
        <v xml:space="preserve">disposable money(100)
social project(100)
 </v>
      </c>
      <c r="DK113" s="14" t="str">
        <f t="shared" ref="DK113:DK176" si="334">IF(DK5="",DK114,$C113&amp;"("&amp;DK5&amp;"), "&amp;DK114)</f>
        <v xml:space="preserve">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3" s="14" t="str">
        <f t="shared" ref="DL113:DL176" si="335">IF(DL5="",DL114,$C113&amp;"("&amp;DL5&amp;","&amp;DM5&amp;"%), "&amp;DL114)</f>
        <v xml:space="preserve">scale(1,6.25%), enthusiasm(1,6.25%), network among members(1,6.25%), enthusiasm(1,6.25%), agility(1,6.25%), fun-ness(1,6.25%), reputation(1,6.25%), portfolio(1,6.25%), team building(1,6.25%),  </v>
      </c>
      <c r="DM113" s="27" t="str">
        <f t="shared" ref="DM113" si="336">IF(DM5="",DM114,$C113&amp;"("&amp;DM5&amp;"),"&amp;DM114)</f>
        <v xml:space="preserve">scale(6.25),enthusiasm(6.25),network among members(6.25),enthusiasm(6.25),agility(6.25),fun-ness(6.25),reputation(6.25),portfolio(6.25),team building(6.25), </v>
      </c>
      <c r="DN113" s="14" t="str">
        <f t="shared" ref="DN113:DN176" si="337">IF(DN5="",DN114,$C113&amp;"("&amp;DN5&amp;")"&amp;CHAR(10)&amp;DN114)</f>
        <v xml:space="preserve">disposable money(1)
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3" s="14" t="str">
        <f t="shared" ref="DO113:DO176" si="338">IF(DO5="",DO114,$C113&amp;"("&amp;DO5&amp;","&amp;DP5&amp;"%), "&amp;DO114)</f>
        <v xml:space="preserve">disposable money(1,100%), reputation(1,25%), portfolio(1,50%),  </v>
      </c>
      <c r="DP113" s="14" t="str">
        <f t="shared" ref="DP113:DP176" si="339">IF(DP5="",DP114,$C113&amp;"("&amp;DP5&amp;")"&amp;CHAR(10)&amp;DP114)</f>
        <v xml:space="preserve">disposable money(100)
reputation(25)
portfolio(50)
 </v>
      </c>
      <c r="DQ113" s="14" t="str">
        <f t="shared" ref="DQ113:DQ176" si="340">IF(DQ5="",DQ114,$C113&amp;"("&amp;DQ5&amp;"), "&amp;DQ114)</f>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3" s="14" t="str">
        <f t="shared" ref="DR113:DR176" si="341">IF(DR5="",DR114,$C113&amp;"("&amp;DR5&amp;","&amp;DS5&amp;"%), "&amp;DR114)</f>
        <v xml:space="preserve">disposable money(1,6.25%), suppliers(1,6.25%), reputation(1,6.25%),  </v>
      </c>
      <c r="DS113" s="27" t="str">
        <f t="shared" ref="DS113" si="342">IF(DS5="",DS114,$C113&amp;"("&amp;DS5&amp;"),"&amp;DS114)</f>
        <v xml:space="preserve">disposable money(6.25),suppliers(6.25),reputation(6.25), </v>
      </c>
      <c r="DT113" s="14" t="str">
        <f t="shared" ref="DT113:DT176" si="343">IF(DT5="",DT114,$C113&amp;"("&amp;DT5&amp;")"&amp;CHAR(10)&amp;DT114)</f>
        <v xml:space="preserve">disposable money(1)
scale(2)
attention to details(2)
leader(1)
fame(1)
network(2)
reputation(3)
portfolio(2)
 </v>
      </c>
      <c r="DU113" s="14" t="str">
        <f t="shared" ref="DU113:DU176" si="344">IF(DU5="",DU114,$C113&amp;"("&amp;DU5&amp;","&amp;DV5&amp;"%), "&amp;DU114)</f>
        <v xml:space="preserve">disposable money(50,%), fame(1,25%), govt(1,25%), non-profits(1,50%), reputation(1,25%),  </v>
      </c>
      <c r="DV113" s="14" t="str">
        <f t="shared" ref="DV113:DV176" si="345">IF(DV5="",DV114,$C113&amp;"("&amp;DV5&amp;")"&amp;CHAR(10)&amp;DV114)</f>
        <v xml:space="preserve">fame(25)
govt(25)
non-profits(50)
reputation(25)
 </v>
      </c>
      <c r="DW113" s="14" t="str">
        <f t="shared" ref="DW113:DW176" si="346">IF(DW5="",DW114,$C113&amp;"("&amp;DW5&amp;"), "&amp;DW114)</f>
        <v xml:space="preserve">scale(3), enthusiasm(3), enthusiasm(3), ambition(2), attention to details(2), PR(1), administrator(1), social media(2),  </v>
      </c>
      <c r="DX113" s="14" t="str">
        <f t="shared" ref="DX113:DX176" si="347">IF(DX5="",DX114,$C113&amp;"("&amp;DX5&amp;","&amp;DY5&amp;"%), "&amp;DX114)</f>
        <v xml:space="preserve">ambition(1,6.25%), fame(1,6.25%), reputation(1,6.25%),  </v>
      </c>
      <c r="DY113" s="27" t="str">
        <f t="shared" ref="DY113" si="348">IF(DY5="",DY114,$C113&amp;"("&amp;DY5&amp;"),"&amp;DY114)</f>
        <v xml:space="preserve">ambition(6.25),fame(6.25),reputation(6.25), </v>
      </c>
      <c r="DZ113" s="14" t="str">
        <f t="shared" ref="DZ113:DZ176" si="349">IF(DZ5="",DZ114,$C113&amp;"("&amp;DZ5&amp;")"&amp;CHAR(10)&amp;DZ114)</f>
        <v xml:space="preserve"> </v>
      </c>
      <c r="EA113" s="14" t="str">
        <f t="shared" ref="EA113:EA176" si="350">IF(EA5="",EA114,$C113&amp;"("&amp;EA5&amp;","&amp;EB5&amp;"%), "&amp;EA114)</f>
        <v xml:space="preserve"> </v>
      </c>
      <c r="EB113" s="14" t="str">
        <f t="shared" ref="EB113:EB176" si="351">IF(EB5="",EB114,$C113&amp;"("&amp;EB5&amp;")"&amp;CHAR(10)&amp;EB114)</f>
        <v xml:space="preserve"> </v>
      </c>
      <c r="EC113" s="14" t="str">
        <f t="shared" ref="EC113:EC176" si="352">IF(EC5="",EC114,$C113&amp;"("&amp;EC5&amp;"), "&amp;EC114)</f>
        <v xml:space="preserve"> </v>
      </c>
      <c r="ED113" s="14" t="str">
        <f t="shared" ref="ED113:ED176" si="353">IF(ED5="",ED114,$C113&amp;"("&amp;ED5&amp;","&amp;EE5&amp;"%), "&amp;ED114)</f>
        <v xml:space="preserve"> </v>
      </c>
      <c r="EE113" s="27" t="str">
        <f t="shared" ref="EE113" si="354">IF(EE5="",EE114,$C113&amp;"("&amp;EE5&amp;"),"&amp;EE114)</f>
        <v xml:space="preserve"> </v>
      </c>
      <c r="EF113" s="14" t="str">
        <f t="shared" ref="EF113:EF176" si="355">IF(EF5="",EF114,$C113&amp;"("&amp;EF5&amp;")"&amp;CHAR(10)&amp;EF114)</f>
        <v xml:space="preserve"> </v>
      </c>
      <c r="EG113" s="14" t="str">
        <f t="shared" ref="EG113:EG176" si="356">IF(EG5="",EG114,$C113&amp;"("&amp;EG5&amp;","&amp;EH5&amp;"%), "&amp;EG114)</f>
        <v xml:space="preserve"> </v>
      </c>
      <c r="EH113" s="14" t="str">
        <f t="shared" ref="EH113:EH176" si="357">IF(EH5="",EH114,$C113&amp;"("&amp;EH5&amp;")"&amp;CHAR(10)&amp;EH114)</f>
        <v xml:space="preserve"> </v>
      </c>
      <c r="EI113" s="14" t="str">
        <f t="shared" ref="EI113:EI176" si="358">IF(EI5="",EI114,$C113&amp;"("&amp;EI5&amp;"), "&amp;EI114)</f>
        <v xml:space="preserve"> </v>
      </c>
      <c r="EJ113" s="14" t="str">
        <f t="shared" ref="EJ113:EJ176" si="359">IF(EJ5="",EJ114,$C113&amp;"("&amp;EJ5&amp;","&amp;EK5&amp;"%), "&amp;EJ114)</f>
        <v xml:space="preserve"> </v>
      </c>
      <c r="EK113" s="27" t="str">
        <f t="shared" ref="EK113" si="360">IF(EK5="",EK114,$C113&amp;"("&amp;EK5&amp;"),"&amp;EK114)</f>
        <v xml:space="preserve"> </v>
      </c>
      <c r="EL113" s="14" t="str">
        <f t="shared" ref="EL113:EL176" si="361">IF(EL5="",EL114,$C113&amp;"("&amp;EL5&amp;")"&amp;CHAR(10)&amp;EL114)</f>
        <v xml:space="preserve"> </v>
      </c>
      <c r="EM113" s="14" t="str">
        <f t="shared" ref="EM113:EM176" si="362">IF(EM5="",EM114,$C113&amp;"("&amp;EM5&amp;","&amp;EN5&amp;"%), "&amp;EM114)</f>
        <v xml:space="preserve"> </v>
      </c>
      <c r="EN113" s="14" t="str">
        <f t="shared" ref="EN113:EN176" si="363">IF(EN5="",EN114,$C113&amp;"("&amp;EN5&amp;")"&amp;CHAR(10)&amp;EN114)</f>
        <v xml:space="preserve"> </v>
      </c>
      <c r="EO113" s="14" t="str">
        <f t="shared" ref="EO113:EO176" si="364">IF(EO5="",EO114,$C113&amp;"("&amp;EO5&amp;"), "&amp;EO114)</f>
        <v xml:space="preserve"> </v>
      </c>
      <c r="EP113" s="14" t="str">
        <f t="shared" ref="EP113:EP176" si="365">IF(EP5="",EP114,$C113&amp;"("&amp;EP5&amp;","&amp;EQ5&amp;"%), "&amp;EP114)</f>
        <v xml:space="preserve"> </v>
      </c>
      <c r="EQ113" s="27" t="str">
        <f t="shared" ref="EQ113:GY128" si="366">IF(EQ5="",EQ114,$C113&amp;"("&amp;EQ5&amp;"),"&amp;EQ114)</f>
        <v xml:space="preserve"> </v>
      </c>
      <c r="ER113" s="14" t="str">
        <f t="shared" ref="ER113:ER176" si="367">IF(ER5="",ER114,$C113&amp;"("&amp;ER5&amp;")"&amp;CHAR(10)&amp;ER114)</f>
        <v xml:space="preserve"> </v>
      </c>
      <c r="ES113" s="14" t="str">
        <f t="shared" ref="ES113:ES176" si="368">IF(ES5="",ES114,$C113&amp;"("&amp;ES5&amp;","&amp;ET5&amp;"%), "&amp;ES114)</f>
        <v xml:space="preserve"> </v>
      </c>
      <c r="ET113" s="14" t="str">
        <f t="shared" ref="ET113:ET176" si="369">IF(ET5="",ET114,$C113&amp;"("&amp;ET5&amp;")"&amp;CHAR(10)&amp;ET114)</f>
        <v xml:space="preserve"> </v>
      </c>
      <c r="EU113" s="14" t="str">
        <f t="shared" ref="EU113:EU176" si="370">IF(EU5="",EU114,$C113&amp;"("&amp;EU5&amp;"), "&amp;EU114)</f>
        <v xml:space="preserve"> </v>
      </c>
      <c r="EV113" s="14" t="str">
        <f t="shared" ref="EV113:EV176" si="371">IF(EV5="",EV114,$C113&amp;"("&amp;EV5&amp;","&amp;EW5&amp;"%), "&amp;EV114)</f>
        <v xml:space="preserve"> </v>
      </c>
      <c r="EW113" s="27" t="str">
        <f t="shared" ref="EW113" si="372">IF(EW5="",EW114,$C113&amp;"("&amp;EW5&amp;"),"&amp;EW114)</f>
        <v xml:space="preserve"> </v>
      </c>
      <c r="EX113" s="14" t="str">
        <f t="shared" ref="EX113:EX176" si="373">IF(EX5="",EX114,$C113&amp;"("&amp;EX5&amp;")"&amp;CHAR(10)&amp;EX114)</f>
        <v xml:space="preserve"> </v>
      </c>
      <c r="EY113" s="14" t="str">
        <f t="shared" ref="EY113:EY176" si="374">IF(EY5="",EY114,$C113&amp;"("&amp;EY5&amp;","&amp;EZ5&amp;"%), "&amp;EY114)</f>
        <v xml:space="preserve"> </v>
      </c>
      <c r="EZ113" s="14" t="str">
        <f t="shared" ref="EZ113:EZ176" si="375">IF(EZ5="",EZ114,$C113&amp;"("&amp;EZ5&amp;")"&amp;CHAR(10)&amp;EZ114)</f>
        <v xml:space="preserve"> </v>
      </c>
      <c r="FA113" s="14" t="str">
        <f t="shared" ref="FA113:FA176" si="376">IF(FA5="",FA114,$C113&amp;"("&amp;FA5&amp;"), "&amp;FA114)</f>
        <v xml:space="preserve"> </v>
      </c>
      <c r="FB113" s="14" t="str">
        <f t="shared" ref="FB113:FB176" si="377">IF(FB5="",FB114,$C113&amp;"("&amp;FB5&amp;","&amp;FC5&amp;"%), "&amp;FB114)</f>
        <v xml:space="preserve"> </v>
      </c>
      <c r="FC113" s="27" t="str">
        <f t="shared" ref="FC113" si="378">IF(FC5="",FC114,$C113&amp;"("&amp;FC5&amp;"),"&amp;FC114)</f>
        <v xml:space="preserve"> </v>
      </c>
      <c r="FD113" s="14" t="str">
        <f t="shared" ref="FD113:FD176" si="379">IF(FD5="",FD114,$C113&amp;"("&amp;FD5&amp;")"&amp;CHAR(10)&amp;FD114)</f>
        <v xml:space="preserve"> </v>
      </c>
      <c r="FE113" s="14" t="str">
        <f t="shared" ref="FE113:FE176" si="380">IF(FE5="",FE114,$C113&amp;"("&amp;FE5&amp;","&amp;FF5&amp;"%), "&amp;FE114)</f>
        <v xml:space="preserve"> </v>
      </c>
      <c r="FF113" s="14" t="str">
        <f t="shared" ref="FF113:FF176" si="381">IF(FF5="",FF114,$C113&amp;"("&amp;FF5&amp;")"&amp;CHAR(10)&amp;FF114)</f>
        <v xml:space="preserve"> </v>
      </c>
      <c r="FG113" s="14" t="str">
        <f t="shared" ref="FG113:FG176" si="382">IF(FG5="",FG114,$C113&amp;"("&amp;FG5&amp;"), "&amp;FG114)</f>
        <v xml:space="preserve"> </v>
      </c>
      <c r="FH113" s="14" t="str">
        <f t="shared" ref="FH113:FH176" si="383">IF(FH5="",FH114,$C113&amp;"("&amp;FH5&amp;","&amp;FI5&amp;"%), "&amp;FH114)</f>
        <v xml:space="preserve"> </v>
      </c>
      <c r="FI113" s="27" t="str">
        <f t="shared" ref="FI113" si="384">IF(FI5="",FI114,$C113&amp;"("&amp;FI5&amp;"),"&amp;FI114)</f>
        <v xml:space="preserve"> </v>
      </c>
      <c r="FJ113" s="14" t="str">
        <f t="shared" ref="FJ113:FJ176" si="385">IF(FJ5="",FJ114,$C113&amp;"("&amp;FJ5&amp;")"&amp;CHAR(10)&amp;FJ114)</f>
        <v xml:space="preserve"> </v>
      </c>
      <c r="FK113" s="14" t="str">
        <f t="shared" ref="FK113:FK176" si="386">IF(FK5="",FK114,$C113&amp;"("&amp;FK5&amp;","&amp;FL5&amp;"%), "&amp;FK114)</f>
        <v xml:space="preserve"> </v>
      </c>
      <c r="FL113" s="14" t="str">
        <f t="shared" ref="FL113:FL176" si="387">IF(FL5="",FL114,$C113&amp;"("&amp;FL5&amp;")"&amp;CHAR(10)&amp;FL114)</f>
        <v xml:space="preserve"> </v>
      </c>
      <c r="FM113" s="14" t="str">
        <f t="shared" ref="FM113:FM176" si="388">IF(FM5="",FM114,$C113&amp;"("&amp;FM5&amp;"), "&amp;FM114)</f>
        <v xml:space="preserve"> </v>
      </c>
      <c r="FN113" s="14" t="str">
        <f t="shared" ref="FN113:FN176" si="389">IF(FN5="",FN114,$C113&amp;"("&amp;FN5&amp;","&amp;FO5&amp;"%), "&amp;FN114)</f>
        <v xml:space="preserve"> </v>
      </c>
      <c r="FO113" s="27" t="str">
        <f t="shared" ref="FO113" si="390">IF(FO5="",FO114,$C113&amp;"("&amp;FO5&amp;"),"&amp;FO114)</f>
        <v xml:space="preserve"> </v>
      </c>
      <c r="FP113" s="14" t="str">
        <f t="shared" ref="FP113:FP176" si="391">IF(FP5="",FP114,$C113&amp;"("&amp;FP5&amp;")"&amp;CHAR(10)&amp;FP114)</f>
        <v xml:space="preserve"> </v>
      </c>
      <c r="FQ113" s="14" t="str">
        <f t="shared" ref="FQ113:FQ176" si="392">IF(FQ5="",FQ114,$C113&amp;"("&amp;FQ5&amp;","&amp;FR5&amp;"%), "&amp;FQ114)</f>
        <v xml:space="preserve"> </v>
      </c>
      <c r="FR113" s="14" t="str">
        <f t="shared" ref="FR113:FR176" si="393">IF(FR5="",FR114,$C113&amp;"("&amp;FR5&amp;")"&amp;CHAR(10)&amp;FR114)</f>
        <v xml:space="preserve"> </v>
      </c>
      <c r="FS113" s="14" t="str">
        <f t="shared" ref="FS113:FS176" si="394">IF(FS5="",FS114,$C113&amp;"("&amp;FS5&amp;"), "&amp;FS114)</f>
        <v xml:space="preserve"> </v>
      </c>
      <c r="FT113" s="14" t="str">
        <f t="shared" ref="FT113:FT176" si="395">IF(FT5="",FT114,$C113&amp;"("&amp;FT5&amp;","&amp;FU5&amp;"%), "&amp;FT114)</f>
        <v xml:space="preserve"> </v>
      </c>
      <c r="FU113" s="27" t="str">
        <f t="shared" ref="FU113" si="396">IF(FU5="",FU114,$C113&amp;"("&amp;FU5&amp;"),"&amp;FU114)</f>
        <v xml:space="preserve"> </v>
      </c>
      <c r="FV113" s="14" t="str">
        <f t="shared" ref="FV113:FV176" si="397">IF(FV5="",FV114,$C113&amp;"("&amp;FV5&amp;")"&amp;CHAR(10)&amp;FV114)</f>
        <v xml:space="preserve"> </v>
      </c>
      <c r="FW113" s="14" t="str">
        <f t="shared" ref="FW113:FW176" si="398">IF(FW5="",FW114,$C113&amp;"("&amp;FW5&amp;","&amp;FX5&amp;"%), "&amp;FW114)</f>
        <v xml:space="preserve"> </v>
      </c>
      <c r="FX113" s="14" t="str">
        <f t="shared" ref="FX113:FX176" si="399">IF(FX5="",FX114,$C113&amp;"("&amp;FX5&amp;")"&amp;CHAR(10)&amp;FX114)</f>
        <v xml:space="preserve"> </v>
      </c>
      <c r="FY113" s="14" t="str">
        <f t="shared" ref="FY113:FY176" si="400">IF(FY5="",FY114,$C113&amp;"("&amp;FY5&amp;"), "&amp;FY114)</f>
        <v xml:space="preserve"> </v>
      </c>
      <c r="FZ113" s="14" t="str">
        <f t="shared" ref="FZ113:FZ176" si="401">IF(FZ5="",FZ114,$C113&amp;"("&amp;FZ5&amp;","&amp;GA5&amp;"%), "&amp;FZ114)</f>
        <v xml:space="preserve"> </v>
      </c>
      <c r="GA113" s="27" t="str">
        <f t="shared" ref="GA113" si="402">IF(GA5="",GA114,$C113&amp;"("&amp;GA5&amp;"),"&amp;GA114)</f>
        <v xml:space="preserve"> </v>
      </c>
      <c r="GB113" s="14" t="str">
        <f t="shared" ref="GB113:GB176" si="403">IF(GB5="",GB114,$C113&amp;"("&amp;GB5&amp;")"&amp;CHAR(10)&amp;GB114)</f>
        <v xml:space="preserve"> </v>
      </c>
      <c r="GC113" s="14" t="str">
        <f t="shared" ref="GC113:GC176" si="404">IF(GC5="",GC114,$C113&amp;"("&amp;GC5&amp;","&amp;GD5&amp;"%), "&amp;GC114)</f>
        <v xml:space="preserve"> </v>
      </c>
      <c r="GD113" s="14" t="str">
        <f t="shared" ref="GD113:GD176" si="405">IF(GD5="",GD114,$C113&amp;"("&amp;GD5&amp;")"&amp;CHAR(10)&amp;GD114)</f>
        <v xml:space="preserve"> </v>
      </c>
      <c r="GE113" s="14" t="str">
        <f t="shared" ref="GE113:GE176" si="406">IF(GE5="",GE114,$C113&amp;"("&amp;GE5&amp;"), "&amp;GE114)</f>
        <v xml:space="preserve"> </v>
      </c>
      <c r="GF113" s="14" t="str">
        <f t="shared" ref="GF113:GF176" si="407">IF(GF5="",GF114,$C113&amp;"("&amp;GF5&amp;","&amp;GG5&amp;"%), "&amp;GF114)</f>
        <v xml:space="preserve"> </v>
      </c>
      <c r="GG113" s="27" t="str">
        <f t="shared" ref="GG113" si="408">IF(GG5="",GG114,$C113&amp;"("&amp;GG5&amp;"),"&amp;GG114)</f>
        <v xml:space="preserve"> </v>
      </c>
      <c r="GH113" s="14" t="str">
        <f t="shared" ref="GH113:GH176" si="409">IF(GH5="",GH114,$C113&amp;"("&amp;GH5&amp;")"&amp;CHAR(10)&amp;GH114)</f>
        <v xml:space="preserve"> </v>
      </c>
      <c r="GI113" s="14" t="str">
        <f t="shared" ref="GI113:GI176" si="410">IF(GI5="",GI114,$C113&amp;"("&amp;GI5&amp;","&amp;GJ5&amp;"%), "&amp;GI114)</f>
        <v xml:space="preserve"> </v>
      </c>
      <c r="GJ113" s="14" t="str">
        <f t="shared" ref="GJ113:GJ176" si="411">IF(GJ5="",GJ114,$C113&amp;"("&amp;GJ5&amp;")"&amp;CHAR(10)&amp;GJ114)</f>
        <v xml:space="preserve"> </v>
      </c>
      <c r="GK113" s="14" t="str">
        <f t="shared" ref="GK113:GK176" si="412">IF(GK5="",GK114,$C113&amp;"("&amp;GK5&amp;"), "&amp;GK114)</f>
        <v xml:space="preserve"> </v>
      </c>
      <c r="GL113" s="14" t="str">
        <f t="shared" ref="GL113:GL176" si="413">IF(GL5="",GL114,$C113&amp;"("&amp;GL5&amp;","&amp;GM5&amp;"%), "&amp;GL114)</f>
        <v xml:space="preserve"> </v>
      </c>
      <c r="GM113" s="27" t="str">
        <f t="shared" ref="GM113" si="414">IF(GM5="",GM114,$C113&amp;"("&amp;GM5&amp;"),"&amp;GM114)</f>
        <v xml:space="preserve"> </v>
      </c>
      <c r="GN113" s="14" t="str">
        <f t="shared" ref="GN113:GN176" si="415">IF(GN5="",GN114,$C113&amp;"("&amp;GN5&amp;")"&amp;CHAR(10)&amp;GN114)</f>
        <v xml:space="preserve"> </v>
      </c>
      <c r="GO113" s="14" t="str">
        <f t="shared" ref="GO113:GO176" si="416">IF(GO5="",GO114,$C113&amp;"("&amp;GO5&amp;","&amp;GP5&amp;"%), "&amp;GO114)</f>
        <v xml:space="preserve"> </v>
      </c>
      <c r="GP113" s="14" t="str">
        <f t="shared" ref="GP113:GP176" si="417">IF(GP5="",GP114,$C113&amp;"("&amp;GP5&amp;")"&amp;CHAR(10)&amp;GP114)</f>
        <v xml:space="preserve"> </v>
      </c>
      <c r="GQ113" s="14" t="str">
        <f t="shared" ref="GQ113:GQ176" si="418">IF(GQ5="",GQ114,$C113&amp;"("&amp;GQ5&amp;"), "&amp;GQ114)</f>
        <v xml:space="preserve"> </v>
      </c>
      <c r="GR113" s="14" t="str">
        <f t="shared" ref="GR113:GR176" si="419">IF(GR5="",GR114,$C113&amp;"("&amp;GR5&amp;","&amp;GS5&amp;"%), "&amp;GR114)</f>
        <v xml:space="preserve"> </v>
      </c>
      <c r="GS113" s="27" t="str">
        <f t="shared" ref="GS113" si="420">IF(GS5="",GS114,$C113&amp;"("&amp;GS5&amp;"),"&amp;GS114)</f>
        <v xml:space="preserve"> </v>
      </c>
      <c r="GT113" s="14" t="str">
        <f t="shared" ref="GT113:GT176" si="421">IF(GT5="",GT114,$C113&amp;"("&amp;GT5&amp;")"&amp;CHAR(10)&amp;GT114)</f>
        <v xml:space="preserve"> </v>
      </c>
      <c r="GU113" s="14" t="str">
        <f t="shared" ref="GU113:GU176" si="422">IF(GU5="",GU114,$C113&amp;"("&amp;GU5&amp;","&amp;GV5&amp;"%), "&amp;GU114)</f>
        <v xml:space="preserve"> </v>
      </c>
      <c r="GV113" s="14" t="str">
        <f t="shared" ref="GV113:GV176" si="423">IF(GV5="",GV114,$C113&amp;"("&amp;GV5&amp;")"&amp;CHAR(10)&amp;GV114)</f>
        <v xml:space="preserve"> </v>
      </c>
      <c r="GW113" s="14" t="str">
        <f t="shared" ref="GW113:GW176" si="424">IF(GW5="",GW114,$C113&amp;"("&amp;GW5&amp;"), "&amp;GW114)</f>
        <v xml:space="preserve"> </v>
      </c>
      <c r="GX113" s="14" t="str">
        <f t="shared" ref="GX113:GX176" si="425">IF(GX5="",GX114,$C113&amp;"("&amp;GX5&amp;","&amp;GY5&amp;"%), "&amp;GX114)</f>
        <v xml:space="preserve"> </v>
      </c>
      <c r="GY113" s="27" t="str">
        <f t="shared" ref="GY113" si="426">IF(GY5="",GY114,$C113&amp;"("&amp;GY5&amp;"),"&amp;GY114)</f>
        <v xml:space="preserve"> </v>
      </c>
      <c r="GZ113" s="14" t="str">
        <f t="shared" ref="GZ113:GZ176" si="427">IF(GZ5="",GZ114,$C113&amp;"("&amp;GZ5&amp;")"&amp;CHAR(10)&amp;GZ114)</f>
        <v xml:space="preserve"> </v>
      </c>
      <c r="HA113" s="14" t="str">
        <f t="shared" ref="HA113:HA176" si="428">IF(HA5="",HA114,$C113&amp;"("&amp;HA5&amp;","&amp;HB5&amp;"%), "&amp;HA114)</f>
        <v xml:space="preserve"> </v>
      </c>
      <c r="HB113" s="14" t="str">
        <f t="shared" ref="HB113:HB176" si="429">IF(HB5="",HB114,$C113&amp;"("&amp;HB5&amp;")"&amp;CHAR(10)&amp;HB114)</f>
        <v xml:space="preserve"> </v>
      </c>
      <c r="HC113" s="14" t="str">
        <f t="shared" ref="HC113:HC176" si="430">IF(HC5="",HC114,$C113&amp;"("&amp;HC5&amp;"), "&amp;HC114)</f>
        <v xml:space="preserve"> </v>
      </c>
      <c r="HD113" s="14" t="str">
        <f t="shared" ref="HD113:HD176" si="431">IF(HD5="",HD114,$C113&amp;"("&amp;HD5&amp;","&amp;HE5&amp;"%), "&amp;HD114)</f>
        <v xml:space="preserve"> </v>
      </c>
      <c r="HE113" s="27" t="str">
        <f t="shared" ref="HE113:HQ128" si="432">IF(HE5="",HE114,$C113&amp;"("&amp;HE5&amp;"),"&amp;HE114)</f>
        <v xml:space="preserve"> </v>
      </c>
      <c r="HF113" s="14" t="str">
        <f t="shared" ref="HF113:HF176" si="433">IF(HF5="",HF114,$C113&amp;"("&amp;HF5&amp;")"&amp;CHAR(10)&amp;HF114)</f>
        <v xml:space="preserve"> </v>
      </c>
      <c r="HG113" s="14" t="str">
        <f t="shared" ref="HG113:HG176" si="434">IF(HG5="",HG114,$C113&amp;"("&amp;HG5&amp;","&amp;HH5&amp;"%), "&amp;HG114)</f>
        <v xml:space="preserve"> </v>
      </c>
      <c r="HH113" s="14" t="str">
        <f t="shared" ref="HH113:HH176" si="435">IF(HH5="",HH114,$C113&amp;"("&amp;HH5&amp;")"&amp;CHAR(10)&amp;HH114)</f>
        <v xml:space="preserve"> </v>
      </c>
      <c r="HI113" s="14" t="str">
        <f t="shared" ref="HI113:HI176" si="436">IF(HI5="",HI114,$C113&amp;"("&amp;HI5&amp;"), "&amp;HI114)</f>
        <v xml:space="preserve"> </v>
      </c>
      <c r="HJ113" s="14" t="str">
        <f t="shared" ref="HJ113:HJ176" si="437">IF(HJ5="",HJ114,$C113&amp;"("&amp;HJ5&amp;","&amp;HK5&amp;"%), "&amp;HJ114)</f>
        <v xml:space="preserve"> </v>
      </c>
      <c r="HK113" s="27" t="str">
        <f t="shared" ref="HK113" si="438">IF(HK5="",HK114,$C113&amp;"("&amp;HK5&amp;"),"&amp;HK114)</f>
        <v xml:space="preserve"> </v>
      </c>
      <c r="HL113" s="14" t="str">
        <f t="shared" ref="HL113:HL176" si="439">IF(HL5="",HL114,$C113&amp;"("&amp;HL5&amp;")"&amp;CHAR(10)&amp;HL114)</f>
        <v xml:space="preserve"> </v>
      </c>
      <c r="HM113" s="14" t="str">
        <f t="shared" ref="HM113:HM176" si="440">IF(HM5="",HM114,$C113&amp;"("&amp;HM5&amp;","&amp;HN5&amp;"%), "&amp;HM114)</f>
        <v xml:space="preserve"> </v>
      </c>
      <c r="HN113" s="14" t="str">
        <f t="shared" ref="HN113:HN176" si="441">IF(HN5="",HN114,$C113&amp;"("&amp;HN5&amp;")"&amp;CHAR(10)&amp;HN114)</f>
        <v xml:space="preserve"> </v>
      </c>
      <c r="HO113" s="14" t="str">
        <f t="shared" ref="HO113:HO176" si="442">IF(HO5="",HO114,$C113&amp;"("&amp;HO5&amp;"), "&amp;HO114)</f>
        <v xml:space="preserve"> </v>
      </c>
      <c r="HP113" s="14" t="str">
        <f t="shared" ref="HP113:HP176" si="443">IF(HP5="",HP114,$C113&amp;"("&amp;HP5&amp;","&amp;HQ5&amp;"%), "&amp;HP114)</f>
        <v xml:space="preserve"> </v>
      </c>
      <c r="HQ113" s="27" t="str">
        <f t="shared" ref="HQ113" si="444">IF(HQ5="",HQ114,$C113&amp;"("&amp;HQ5&amp;"),"&amp;HQ114)</f>
        <v xml:space="preserve"> </v>
      </c>
    </row>
    <row r="114" spans="1:225" ht="15.75" customHeight="1">
      <c r="A114" s="7">
        <f t="shared" ref="A114:C114" si="445">A6</f>
        <v>0</v>
      </c>
      <c r="B114" s="7">
        <f t="shared" si="445"/>
        <v>0</v>
      </c>
      <c r="C114" s="7" t="str">
        <f t="shared" si="445"/>
        <v>disposable money</v>
      </c>
      <c r="D114" s="14" t="str">
        <f t="shared" ref="D114:D177" si="446">IF(D6="",D115,$C114&amp;"("&amp;D6&amp;")"&amp;CHAR(10)&amp;D115)</f>
        <v xml:space="preserve">software(1)
 </v>
      </c>
      <c r="E114" s="14" t="str">
        <f t="shared" ref="E114:E177" si="447">IF(E6="",E115,$C114&amp;"("&amp;E6&amp;","&amp;F6&amp;"%), "&amp;E115)</f>
        <v xml:space="preserve"> </v>
      </c>
      <c r="F114" s="14" t="str">
        <f t="shared" ref="F114:F177" si="448">IF(F6="",F115,$C114&amp;"("&amp;F6&amp;")"&amp;CHAR(10)&amp;F115)</f>
        <v xml:space="preserve"> </v>
      </c>
      <c r="G114" s="14" t="str">
        <f t="shared" ref="G114:G177" si="449">IF(G6="",G115,$C114&amp;"("&amp;G6&amp;"), "&amp;G115)</f>
        <v xml:space="preserve">disposable money(1), servers(1), wood(1), metal(1), plastic(1), electronics(1), fabric(1), scale(1), attention to details(1.1), efficiency(1), user rules and manuals(2.1), organizational rules and manuals(2.1),  </v>
      </c>
      <c r="H114" s="14" t="str">
        <f t="shared" ref="H114:H177" si="450">IF(H6="",H115,$C114&amp;"("&amp;H6&amp;","&amp;I6&amp;"%), "&amp;H115)</f>
        <v xml:space="preserve">disposable money(-1,6.25%), servers(-1,6.25%), wood(-1,6.25%), metal(-1,6.25%), plastic(-1,6.25%), electronics(-1,6.25%), fabric(-1,6.25%), scale(-1,6.25%), efficiency(-1,6.25%),  </v>
      </c>
      <c r="I114" s="27" t="str">
        <f t="shared" ref="I114" si="451">IF(I6="",I115,$C114&amp;"("&amp;I6&amp;"),"&amp;I115)</f>
        <v xml:space="preserve">disposable money(6.25),servers(6.25),wood(6.25),metal(6.25),plastic(6.25),electronics(6.25),fabric(6.25),scale(6.25),efficiency(6.25), </v>
      </c>
      <c r="J114" s="14" t="str">
        <f t="shared" si="229"/>
        <v xml:space="preserve">scale(1)
enthusiasm(1)
 </v>
      </c>
      <c r="K114" s="14" t="str">
        <f t="shared" si="230"/>
        <v xml:space="preserve">scale(-1,12.5%), enthusiasm(-1,25%),  </v>
      </c>
      <c r="L114" s="14" t="str">
        <f t="shared" si="231"/>
        <v xml:space="preserve">scale(12.5)
enthusiasm(25)
 </v>
      </c>
      <c r="M114" s="14" t="str">
        <f t="shared" si="232"/>
        <v xml:space="preserve">disposable money(1.1), scale(1.1), efficiency(0.1), organizational rules and manuals(1.1),  </v>
      </c>
      <c r="N114" s="14" t="str">
        <f t="shared" si="233"/>
        <v xml:space="preserve">disposable money(-1,6.75%), agility(-1,6.75%), ambition(-1,6.75%), fun-ness(-1,6.75%), initiative(-1,6.75%),  </v>
      </c>
      <c r="O114" s="27" t="str">
        <f t="shared" si="234"/>
        <v xml:space="preserve">disposable money(6.75),agility(6.75),ambition(6.75),fun-ness(6.75),initiative(6.75), </v>
      </c>
      <c r="P114" s="14" t="str">
        <f t="shared" si="235"/>
        <v xml:space="preserve">scale(1)
enthusiasm(1)
 </v>
      </c>
      <c r="Q114" s="14" t="str">
        <f t="shared" si="236"/>
        <v xml:space="preserve">enthusiasm(-1,50%), gifted leader(-1,25%), gifted programmer(-1,25%), gifted designer(-1,25%),  </v>
      </c>
      <c r="R114" s="14" t="str">
        <f t="shared" si="237"/>
        <v xml:space="preserve">enthusiasm(50)
gifted leader(25)
gifted programmer(25)
gifted designer(25)
 </v>
      </c>
      <c r="S114" s="14" t="str">
        <f t="shared" si="238"/>
        <v xml:space="preserve">scale(1), network among members(0.1), gifted leader(1), gifted programmer(1), gifted designer(1), ambition(1), attention to details(0.1), community manager(0.1), team building(0.1),  </v>
      </c>
      <c r="T114" s="14" t="str">
        <f t="shared" si="239"/>
        <v xml:space="preserve">ambition(-1,%), business model(-1,6.25%), web(-1,6.25%), mobile apps(-1,6.25%), aesthetics(-1,6.25%),  </v>
      </c>
      <c r="U114" s="27" t="str">
        <f t="shared" si="234"/>
        <v xml:space="preserve">business model(6.25),web(6.25),mobile apps(6.25),aesthetics(6.25), </v>
      </c>
      <c r="V114" s="14" t="str">
        <f t="shared" si="241"/>
        <v xml:space="preserve">scale(1)
scale(1)
 </v>
      </c>
      <c r="W114" s="14" t="str">
        <f t="shared" si="242"/>
        <v xml:space="preserve">enthusiasm(-1,25%), enthusiasm(-1,25%), efficiency(-1,25%),  </v>
      </c>
      <c r="X114" s="14" t="str">
        <f t="shared" si="243"/>
        <v xml:space="preserve">enthusiasm(25)
enthusiasm(25)
efficiency(25)
 </v>
      </c>
      <c r="Y114" s="14" t="str">
        <f t="shared" si="244"/>
        <v xml:space="preserve">community manager(0.1), administrator(0.1), spaciousness(1), ease of access(3), reputation(2), user rules and manuals(0.1), project management(0.1), negotiation(0.1),  </v>
      </c>
      <c r="Z114" s="14" t="str">
        <f t="shared" si="245"/>
        <v xml:space="preserve">scale(-1,6.25%), reputation(-1,%),  </v>
      </c>
      <c r="AA114" s="27" t="str">
        <f t="shared" si="234"/>
        <v xml:space="preserve">scale(6.25), </v>
      </c>
      <c r="AB114" s="14" t="str">
        <f t="shared" si="247"/>
        <v xml:space="preserve"> </v>
      </c>
      <c r="AC114" s="14" t="str">
        <f t="shared" si="248"/>
        <v xml:space="preserve"> </v>
      </c>
      <c r="AD114" s="14" t="str">
        <f t="shared" si="249"/>
        <v xml:space="preserve"> </v>
      </c>
      <c r="AE114" s="14" t="str">
        <f t="shared" si="250"/>
        <v xml:space="preserve">scale(3), network among members(0.1), scale(1.1), attention to details(0.1), seriousness(0.1), initiative(0.1), spaciousness(1), user rules and manuals(1.1), organizational rules and manuals(1.1),  </v>
      </c>
      <c r="AF114" s="14" t="str">
        <f t="shared" si="251"/>
        <v xml:space="preserve">disposable money(-1,6.25%), wood(-1,6.25%), fabric(-1,6.25%), enthusiasm(-1,6.25%), enthusiasm(-1,%), local biz(-1,6.25%), investors(-1,6.25%), non-profits(-1,6.25%), efficiency(-1,6.25%),  </v>
      </c>
      <c r="AG114" s="27" t="str">
        <f t="shared" si="234"/>
        <v xml:space="preserve">disposable money(6.25),wood(6.25),fabric(6.25),enthusiasm(6.25),local biz(6.25),investors(6.25),non-profits(6.25),efficiency(6.25), </v>
      </c>
      <c r="AH114" s="14" t="str">
        <f t="shared" si="253"/>
        <v xml:space="preserve">scale(1)
enthusiasm(2)
fun-ness(1)
ease of access(1)
reputation(1)
 </v>
      </c>
      <c r="AI114" s="14" t="str">
        <f t="shared" si="254"/>
        <v xml:space="preserve">enthusiasm(-1,25%),  </v>
      </c>
      <c r="AJ114" s="14" t="str">
        <f t="shared" si="255"/>
        <v xml:space="preserve">enthusiasm(25)
 </v>
      </c>
      <c r="AK114" s="14" t="str">
        <f t="shared" si="256"/>
        <v xml:space="preserve">scale(2), enthusiasm(2), scale(3.1), attention to details(2.1), seriousness(2.1), community manager(2.1), administrator(2.1), spaciousness(1), ease of access(1), reputation(2), user rules and manuals(2.1), organizational rules and manuals(2.1), law(1.1), negotiation(1.1),  </v>
      </c>
      <c r="AL114" s="14" t="str">
        <f t="shared" si="257"/>
        <v xml:space="preserve">scale(-1,6.25%), enthusiasm(-1,6.25%), govt(-1,6.25%), non-profits(-1,6.25%), reputation(-1,6.25%),  </v>
      </c>
      <c r="AM114" s="27" t="str">
        <f t="shared" si="234"/>
        <v xml:space="preserve">scale(6.25),enthusiasm(6.25),govt(6.25),non-profits(6.25),reputation(6.25), </v>
      </c>
      <c r="AN114" s="14" t="str">
        <f t="shared" si="259"/>
        <v xml:space="preserve">scale(1)
fun-ness(1)
seriousness(1)
 </v>
      </c>
      <c r="AO114" s="14" t="str">
        <f t="shared" si="260"/>
        <v xml:space="preserve">scale(-1,25%), enthusiasm(-1,25%), enthusiasm(-1,25%),  </v>
      </c>
      <c r="AP114" s="14" t="str">
        <f t="shared" si="261"/>
        <v xml:space="preserve">scale(25)
enthusiasm(25)
enthusiasm(25)
 </v>
      </c>
      <c r="AQ114" s="14" t="str">
        <f t="shared" si="262"/>
        <v xml:space="preserve">scale(1), fun-ness(1), spaciousness(2.1), reputation(3), organizational rules and manuals(2.1), team building(2.1),  </v>
      </c>
      <c r="AR114" s="14" t="str">
        <f t="shared" si="263"/>
        <v xml:space="preserve">enthusiasm(-1,12.5%), fun-ness(-1,6.25%), reputation(-1,6.25%), efficiency(-1,6.25%),  </v>
      </c>
      <c r="AS114" s="27" t="str">
        <f t="shared" si="234"/>
        <v xml:space="preserve">enthusiasm(12.5),fun-ness(6.25),reputation(6.25),efficiency(6.25), </v>
      </c>
      <c r="AT114" s="14" t="str">
        <f t="shared" si="265"/>
        <v xml:space="preserve">scale(1)
enthusiasm(1)
network among members(3.1)
 </v>
      </c>
      <c r="AU114" s="14" t="str">
        <f t="shared" si="266"/>
        <v xml:space="preserve">scale(-1,25%), enthusiasm(-1,25%),  </v>
      </c>
      <c r="AV114" s="14" t="str">
        <f t="shared" si="267"/>
        <v xml:space="preserve">scale(25)
enthusiasm(25)
 </v>
      </c>
      <c r="AW114" s="14" t="str">
        <f t="shared" si="268"/>
        <v xml:space="preserve">scale(1), enthusiasm(1), attention to details(3.1), fun-ness(3.1), seriousness(3.1), initiative(2.1), leader(2.1), community manager(2.1), user rules and manuals(2.1), team building(2.1),  </v>
      </c>
      <c r="AX114" s="14" t="str">
        <f t="shared" si="269"/>
        <v xml:space="preserve">field knowledge(-1,6.25%), network among members(-1,6.25%), gifted assistant(-1,6.25%),  </v>
      </c>
      <c r="AY114" s="27" t="str">
        <f t="shared" si="234"/>
        <v xml:space="preserve">field knowledge(6.25),network among members(6.25),gifted assistant(6.25), </v>
      </c>
      <c r="AZ114" s="14" t="str">
        <f t="shared" si="271"/>
        <v xml:space="preserve">disposable money(1)
wood(1)
scale(1)
 </v>
      </c>
      <c r="BA114" s="14" t="str">
        <f t="shared" si="272"/>
        <v xml:space="preserve">disposable money(-1,12.5%), enthusiasm(-1,12.5%), attention to details(1,12.5%), fun-ness(-1,12.5%), seriousness(1,12.5%), efficiency(-1,12.5%), user rules and manuals(1,25%),  </v>
      </c>
      <c r="BB114" s="14" t="str">
        <f t="shared" si="273"/>
        <v xml:space="preserve">disposable money(12.5)
enthusiasm(12.5)
attention to details(12.5)
fun-ness(12.5)
seriousness(12.5)
efficiency(12.5)
user rules and manuals(25)
 </v>
      </c>
      <c r="BC114" s="14" t="str">
        <f t="shared" si="274"/>
        <v xml:space="preserve">wood(1), scale(1), agility(1.1), attention to details(1.1), seriousness(1.1), community manager(1.1), administrator(1.1), user rules and manuals(2.1), organizational rules and manuals(2.1),  </v>
      </c>
      <c r="BD114" s="14" t="str">
        <f t="shared" si="275"/>
        <v xml:space="preserve">wood(-1,6.25%), scale(-1,6.25%), enthusiasm(-1,6.25%), reputation(-1,6.25%),  </v>
      </c>
      <c r="BE114" s="27" t="str">
        <f t="shared" si="234"/>
        <v xml:space="preserve">wood(6.25),scale(6.25),enthusiasm(6.25),reputation(6.25), </v>
      </c>
      <c r="BF114" s="14" t="str">
        <f t="shared" si="277"/>
        <v xml:space="preserve">disposable money(1)
 </v>
      </c>
      <c r="BG114" s="14" t="str">
        <f t="shared" si="278"/>
        <v xml:space="preserve">disposable money(-1,25%), plastic(-1,25%), enthusiasm(-1,25%), enthusiasm(-1,25%), attention to details(1,25%), fun-ness(-1,25%), seriousness(1,25%), user rules and manuals(1,25%), organizational rules and manuals(1,25%),  </v>
      </c>
      <c r="BH114" s="14" t="str">
        <f t="shared" si="279"/>
        <v xml:space="preserve">disposable money(25)
plastic(25)
enthusiasm(25)
enthusiasm(25)
attention to details(25)
fun-ness(25)
seriousness(25)
user rules and manuals(25)
organizational rules and manuals(25)
 </v>
      </c>
      <c r="BI114" s="14" t="str">
        <f t="shared" si="280"/>
        <v xml:space="preserve">enthusiasm(1), engineering knowledge(1.1), enthusiasm(1), fun-ness(1), seriousness(2.1), community manager(1.1), administrator(1.1),  </v>
      </c>
      <c r="BJ114" s="14" t="str">
        <f t="shared" si="281"/>
        <v xml:space="preserve">reputation(-1,6.25%), efficiency(-1,25%),  </v>
      </c>
      <c r="BK114" s="27" t="str">
        <f t="shared" si="234"/>
        <v xml:space="preserve">reputation(6.25),efficiency(25), </v>
      </c>
      <c r="BL114" s="14" t="str">
        <f t="shared" si="283"/>
        <v xml:space="preserve">software(1)
scale(2)
local biz(1)
ease of access(1)
reputation(1)
aesthetics(1)
 </v>
      </c>
      <c r="BM114" s="14" t="str">
        <f t="shared" si="284"/>
        <v xml:space="preserve">disposable money(1,12.5%), biz enhancement(1,%),  </v>
      </c>
      <c r="BN114" s="14" t="str">
        <f t="shared" si="285"/>
        <v xml:space="preserve">disposable money(12.5)
 </v>
      </c>
      <c r="BO114"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4" s="14" t="str">
        <f t="shared" si="287"/>
        <v xml:space="preserve">disposable money(1,6.25%), local biz(1,6.25%),  </v>
      </c>
      <c r="BQ114" s="27" t="str">
        <f t="shared" si="234"/>
        <v xml:space="preserve">disposable money(6.25),local biz(6.25), </v>
      </c>
      <c r="BR114" s="14" t="str">
        <f t="shared" si="289"/>
        <v xml:space="preserve">software(1)
wood(1)
scale(2)
scale(1)
local biz(1)
ease of access(1)
reputation(1)
aesthetics(1)
 </v>
      </c>
      <c r="BS114" s="14" t="str">
        <f t="shared" si="290"/>
        <v xml:space="preserve">disposable money(1,12.5%), biz project(1,%),  </v>
      </c>
      <c r="BT114" s="14" t="str">
        <f t="shared" si="291"/>
        <v xml:space="preserve">disposable money(12.5)
 </v>
      </c>
      <c r="BU114"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4" s="14" t="str">
        <f t="shared" si="293"/>
        <v xml:space="preserve">disposable money(1,6.25%), local biz(1,6.25%),  </v>
      </c>
      <c r="BW114" s="27" t="str">
        <f t="shared" si="234"/>
        <v xml:space="preserve">disposable money(6.25),local biz(6.25), </v>
      </c>
      <c r="BX114" s="14" t="str">
        <f t="shared" si="295"/>
        <v xml:space="preserve">software(1)
servers(1)
scale(2)
enthusiasm(1)
local biz(1)
ease of access(1)
reputation(1)
aesthetics(1)
interaction(1)
 </v>
      </c>
      <c r="BY114" s="14" t="str">
        <f t="shared" si="296"/>
        <v xml:space="preserve">disposable money(1,12.5%), biz project(1,%),  </v>
      </c>
      <c r="BZ114" s="14" t="str">
        <f t="shared" si="297"/>
        <v xml:space="preserve">disposable money(12.5)
 </v>
      </c>
      <c r="CA114"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4" s="14" t="str">
        <f t="shared" si="299"/>
        <v xml:space="preserve">disposable money(1,6.25%), local biz(1,6.25%),  </v>
      </c>
      <c r="CC114" s="27" t="str">
        <f t="shared" si="300"/>
        <v xml:space="preserve">disposable money(6.25),local biz(6.25), </v>
      </c>
      <c r="CD114" s="14" t="str">
        <f t="shared" si="301"/>
        <v xml:space="preserve">software(1)
servers(1)
scale(2)
enthusiasm(1)
ease of access(1)
reputation(1)
aesthetics(1)
 </v>
      </c>
      <c r="CE114" s="14" t="str">
        <f t="shared" si="302"/>
        <v xml:space="preserve">disposable money(1,12.5%), biz project(1,%),  </v>
      </c>
      <c r="CF114" s="14" t="str">
        <f t="shared" si="303"/>
        <v xml:space="preserve">disposable money(12.5)
 </v>
      </c>
      <c r="CG114"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4" s="14" t="str">
        <f t="shared" si="305"/>
        <v xml:space="preserve">disposable money(1,6.25%), local biz(1,6.25%),  </v>
      </c>
      <c r="CI114" s="27" t="str">
        <f t="shared" si="300"/>
        <v xml:space="preserve">disposable money(6.25),local biz(6.25), </v>
      </c>
      <c r="CJ114" s="14" t="str">
        <f t="shared" si="307"/>
        <v xml:space="preserve">software(1)
scale(2)
ease of access(1)
reputation(1)
aesthetics(1)
 </v>
      </c>
      <c r="CK114" s="14" t="str">
        <f t="shared" si="308"/>
        <v xml:space="preserve">disposable money(1,12.5%), biz project(1,%),  </v>
      </c>
      <c r="CL114" s="14" t="str">
        <f t="shared" si="309"/>
        <v xml:space="preserve">disposable money(12.5)
 </v>
      </c>
      <c r="CM114" s="14" t="str">
        <f t="shared" si="310"/>
        <v xml:space="preserve">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4" s="14" t="str">
        <f t="shared" si="311"/>
        <v xml:space="preserve">disposable money(1,6.25%), local biz(1,6.25%),  </v>
      </c>
      <c r="CO114" s="27" t="str">
        <f t="shared" si="300"/>
        <v xml:space="preserve">disposable money(6.25),local biz(6.25), </v>
      </c>
      <c r="CP114" s="14" t="str">
        <f t="shared" si="313"/>
        <v xml:space="preserve">disposable money(1)
metal(1)
scale(2)
enthusiasm(1)
learning capacities(1)
field knowledge(1)
local biz(1)
metal processing(1)
functions(1)
 </v>
      </c>
      <c r="CQ114" s="14" t="str">
        <f t="shared" si="314"/>
        <v xml:space="preserve">local biz(1,50%), biz enhancement(1,50%),  </v>
      </c>
      <c r="CR114" s="14" t="str">
        <f t="shared" si="315"/>
        <v xml:space="preserve">local biz(50)
biz enhancement(50)
 </v>
      </c>
      <c r="CS114"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4" s="14" t="str">
        <f t="shared" si="317"/>
        <v xml:space="preserve">disposable money(1,6.25%), reputation(1,6.25%),  </v>
      </c>
      <c r="CU114" s="27" t="str">
        <f t="shared" si="300"/>
        <v xml:space="preserve">disposable money(6.25),reputation(6.25), </v>
      </c>
      <c r="CV114" s="14" t="str">
        <f t="shared" si="319"/>
        <v xml:space="preserve">disposable money(1)
software(1)
wood(1)
scale(1)
enthusiasm(2)
learning capacities(1)
non-profits(1)
wood processing(1)
aesthetics(1)
interaction(1)
 </v>
      </c>
      <c r="CW114" s="14" t="str">
        <f t="shared" si="320"/>
        <v xml:space="preserve">non-profits(1,50%), social project(1,50%),  </v>
      </c>
      <c r="CX114" s="14" t="str">
        <f t="shared" si="321"/>
        <v xml:space="preserve">non-profits(50)
social project(50)
 </v>
      </c>
      <c r="CY114"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4" s="14" t="str">
        <f t="shared" si="323"/>
        <v xml:space="preserve">disposable money(1,6.25%), media(1,6.25%), reputation(1,6.25%), portfolio(1,6.25%),  </v>
      </c>
      <c r="DA114" s="27" t="str">
        <f t="shared" si="300"/>
        <v xml:space="preserve">disposable money(6.25),media(6.25),reputation(6.25),portfolio(6.25), </v>
      </c>
      <c r="DB114" s="14" t="str">
        <f t="shared" si="325"/>
        <v xml:space="preserve">disposable money(1)
software(1)
scale(1)
enthusiasm(2)
learning capacities(1)
non-profits(1)
aesthetics(1)
interaction(1)
 </v>
      </c>
      <c r="DC114" s="14" t="str">
        <f t="shared" si="326"/>
        <v xml:space="preserve">non-profits(1,50%), social project(1,50%),  </v>
      </c>
      <c r="DD114" s="14" t="str">
        <f t="shared" si="327"/>
        <v xml:space="preserve">non-profits(50)
social project(50)
 </v>
      </c>
      <c r="DE114" s="14" t="str">
        <f t="shared" si="328"/>
        <v xml:space="preserve">gifted programmer(1), gifted designer(1), scale(2), enthusiasm(4), agility(2), ambition(4), attention to details(2), fun-ness(2), administrator(2), ease of access(2), efficiency(3), VR&amp;AR(2),  </v>
      </c>
      <c r="DF114" s="14" t="str">
        <f t="shared" si="329"/>
        <v xml:space="preserve">disposable money(1,6.25%), media(1,6.25%), reputation(1,6.25%), portfolio(1,6.25%),  </v>
      </c>
      <c r="DG114" s="27" t="str">
        <f t="shared" si="300"/>
        <v xml:space="preserve">disposable money(6.25),media(6.25),reputation(6.25),portfolio(6.25), </v>
      </c>
      <c r="DH114" s="14" t="str">
        <f t="shared" si="331"/>
        <v xml:space="preserve">disposable money(1)
software(1)
wood(1)
plastic(1)
scale(2)
enthusiasm(2)
scale(1)
wood processing(1)
aesthetics(1)
safety(1)
 </v>
      </c>
      <c r="DI114" s="14" t="str">
        <f t="shared" si="332"/>
        <v xml:space="preserve">disposable money(-1,100%), social project(1,100%),  </v>
      </c>
      <c r="DJ114" s="14" t="str">
        <f t="shared" si="333"/>
        <v xml:space="preserve">disposable money(100)
social project(100)
 </v>
      </c>
      <c r="DK114" s="14" t="str">
        <f t="shared" si="334"/>
        <v xml:space="preserve">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4" s="14" t="str">
        <f t="shared" si="335"/>
        <v xml:space="preserve">scale(1,6.25%), enthusiasm(1,6.25%), network among members(1,6.25%), enthusiasm(1,6.25%), agility(1,6.25%), fun-ness(1,6.25%), reputation(1,6.25%), portfolio(1,6.25%), team building(1,6.25%),  </v>
      </c>
      <c r="DM114" s="27" t="str">
        <f t="shared" si="300"/>
        <v xml:space="preserve">scale(6.25),enthusiasm(6.25),network among members(6.25),enthusiasm(6.25),agility(6.25),fun-ness(6.25),reputation(6.25),portfolio(6.25),team building(6.25), </v>
      </c>
      <c r="DN114" s="14" t="str">
        <f t="shared" si="337"/>
        <v xml:space="preserve">disposable money(1)
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4" s="14" t="str">
        <f t="shared" si="338"/>
        <v xml:space="preserve">disposable money(1,100%), reputation(1,25%), portfolio(1,50%),  </v>
      </c>
      <c r="DP114" s="14" t="str">
        <f t="shared" si="339"/>
        <v xml:space="preserve">disposable money(100)
reputation(25)
portfolio(50)
 </v>
      </c>
      <c r="DQ114"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4" s="14" t="str">
        <f t="shared" si="341"/>
        <v xml:space="preserve">disposable money(1,6.25%), suppliers(1,6.25%), reputation(1,6.25%),  </v>
      </c>
      <c r="DS114" s="27" t="str">
        <f t="shared" si="300"/>
        <v xml:space="preserve">disposable money(6.25),suppliers(6.25),reputation(6.25), </v>
      </c>
      <c r="DT114" s="14" t="str">
        <f t="shared" si="343"/>
        <v xml:space="preserve">disposable money(1)
scale(2)
attention to details(2)
leader(1)
fame(1)
network(2)
reputation(3)
portfolio(2)
 </v>
      </c>
      <c r="DU114" s="14" t="str">
        <f t="shared" si="344"/>
        <v xml:space="preserve">disposable money(50,%), fame(1,25%), govt(1,25%), non-profits(1,50%), reputation(1,25%),  </v>
      </c>
      <c r="DV114" s="14" t="str">
        <f t="shared" si="345"/>
        <v xml:space="preserve">fame(25)
govt(25)
non-profits(50)
reputation(25)
 </v>
      </c>
      <c r="DW114" s="14" t="str">
        <f t="shared" si="346"/>
        <v xml:space="preserve">scale(3), enthusiasm(3), enthusiasm(3), ambition(2), attention to details(2), PR(1), administrator(1), social media(2),  </v>
      </c>
      <c r="DX114" s="14" t="str">
        <f t="shared" si="347"/>
        <v xml:space="preserve">ambition(1,6.25%), fame(1,6.25%), reputation(1,6.25%),  </v>
      </c>
      <c r="DY114" s="27" t="str">
        <f t="shared" si="300"/>
        <v xml:space="preserve">ambition(6.25),fame(6.25),reputation(6.25), </v>
      </c>
      <c r="DZ114" s="14" t="str">
        <f t="shared" si="349"/>
        <v xml:space="preserve"> </v>
      </c>
      <c r="EA114" s="14" t="str">
        <f t="shared" si="350"/>
        <v xml:space="preserve"> </v>
      </c>
      <c r="EB114" s="14" t="str">
        <f t="shared" si="351"/>
        <v xml:space="preserve"> </v>
      </c>
      <c r="EC114" s="14" t="str">
        <f t="shared" si="352"/>
        <v xml:space="preserve"> </v>
      </c>
      <c r="ED114" s="14" t="str">
        <f t="shared" si="353"/>
        <v xml:space="preserve"> </v>
      </c>
      <c r="EE114" s="27" t="str">
        <f t="shared" si="300"/>
        <v xml:space="preserve"> </v>
      </c>
      <c r="EF114" s="14" t="str">
        <f t="shared" si="355"/>
        <v xml:space="preserve"> </v>
      </c>
      <c r="EG114" s="14" t="str">
        <f t="shared" si="356"/>
        <v xml:space="preserve"> </v>
      </c>
      <c r="EH114" s="14" t="str">
        <f t="shared" si="357"/>
        <v xml:space="preserve"> </v>
      </c>
      <c r="EI114" s="14" t="str">
        <f t="shared" si="358"/>
        <v xml:space="preserve"> </v>
      </c>
      <c r="EJ114" s="14" t="str">
        <f t="shared" si="359"/>
        <v xml:space="preserve"> </v>
      </c>
      <c r="EK114" s="27" t="str">
        <f t="shared" si="300"/>
        <v xml:space="preserve"> </v>
      </c>
      <c r="EL114" s="14" t="str">
        <f t="shared" si="361"/>
        <v xml:space="preserve"> </v>
      </c>
      <c r="EM114" s="14" t="str">
        <f t="shared" si="362"/>
        <v xml:space="preserve"> </v>
      </c>
      <c r="EN114" s="14" t="str">
        <f t="shared" si="363"/>
        <v xml:space="preserve"> </v>
      </c>
      <c r="EO114" s="14" t="str">
        <f t="shared" si="364"/>
        <v xml:space="preserve"> </v>
      </c>
      <c r="EP114" s="14" t="str">
        <f t="shared" si="365"/>
        <v xml:space="preserve"> </v>
      </c>
      <c r="EQ114" s="27" t="str">
        <f t="shared" si="366"/>
        <v xml:space="preserve"> </v>
      </c>
      <c r="ER114" s="14" t="str">
        <f t="shared" si="367"/>
        <v xml:space="preserve"> </v>
      </c>
      <c r="ES114" s="14" t="str">
        <f t="shared" si="368"/>
        <v xml:space="preserve"> </v>
      </c>
      <c r="ET114" s="14" t="str">
        <f t="shared" si="369"/>
        <v xml:space="preserve"> </v>
      </c>
      <c r="EU114" s="14" t="str">
        <f t="shared" si="370"/>
        <v xml:space="preserve"> </v>
      </c>
      <c r="EV114" s="14" t="str">
        <f t="shared" si="371"/>
        <v xml:space="preserve"> </v>
      </c>
      <c r="EW114" s="27" t="str">
        <f t="shared" si="366"/>
        <v xml:space="preserve"> </v>
      </c>
      <c r="EX114" s="14" t="str">
        <f t="shared" si="373"/>
        <v xml:space="preserve"> </v>
      </c>
      <c r="EY114" s="14" t="str">
        <f t="shared" si="374"/>
        <v xml:space="preserve"> </v>
      </c>
      <c r="EZ114" s="14" t="str">
        <f t="shared" si="375"/>
        <v xml:space="preserve"> </v>
      </c>
      <c r="FA114" s="14" t="str">
        <f t="shared" si="376"/>
        <v xml:space="preserve"> </v>
      </c>
      <c r="FB114" s="14" t="str">
        <f t="shared" si="377"/>
        <v xml:space="preserve"> </v>
      </c>
      <c r="FC114" s="27" t="str">
        <f t="shared" si="366"/>
        <v xml:space="preserve"> </v>
      </c>
      <c r="FD114" s="14" t="str">
        <f t="shared" si="379"/>
        <v xml:space="preserve"> </v>
      </c>
      <c r="FE114" s="14" t="str">
        <f t="shared" si="380"/>
        <v xml:space="preserve"> </v>
      </c>
      <c r="FF114" s="14" t="str">
        <f t="shared" si="381"/>
        <v xml:space="preserve"> </v>
      </c>
      <c r="FG114" s="14" t="str">
        <f t="shared" si="382"/>
        <v xml:space="preserve"> </v>
      </c>
      <c r="FH114" s="14" t="str">
        <f t="shared" si="383"/>
        <v xml:space="preserve"> </v>
      </c>
      <c r="FI114" s="27" t="str">
        <f t="shared" si="366"/>
        <v xml:space="preserve"> </v>
      </c>
      <c r="FJ114" s="14" t="str">
        <f t="shared" si="385"/>
        <v xml:space="preserve"> </v>
      </c>
      <c r="FK114" s="14" t="str">
        <f t="shared" si="386"/>
        <v xml:space="preserve"> </v>
      </c>
      <c r="FL114" s="14" t="str">
        <f t="shared" si="387"/>
        <v xml:space="preserve"> </v>
      </c>
      <c r="FM114" s="14" t="str">
        <f t="shared" si="388"/>
        <v xml:space="preserve"> </v>
      </c>
      <c r="FN114" s="14" t="str">
        <f t="shared" si="389"/>
        <v xml:space="preserve"> </v>
      </c>
      <c r="FO114" s="27" t="str">
        <f t="shared" si="366"/>
        <v xml:space="preserve"> </v>
      </c>
      <c r="FP114" s="14" t="str">
        <f t="shared" si="391"/>
        <v xml:space="preserve"> </v>
      </c>
      <c r="FQ114" s="14" t="str">
        <f t="shared" si="392"/>
        <v xml:space="preserve"> </v>
      </c>
      <c r="FR114" s="14" t="str">
        <f t="shared" si="393"/>
        <v xml:space="preserve"> </v>
      </c>
      <c r="FS114" s="14" t="str">
        <f t="shared" si="394"/>
        <v xml:space="preserve"> </v>
      </c>
      <c r="FT114" s="14" t="str">
        <f t="shared" si="395"/>
        <v xml:space="preserve"> </v>
      </c>
      <c r="FU114" s="27" t="str">
        <f t="shared" si="366"/>
        <v xml:space="preserve"> </v>
      </c>
      <c r="FV114" s="14" t="str">
        <f t="shared" si="397"/>
        <v xml:space="preserve"> </v>
      </c>
      <c r="FW114" s="14" t="str">
        <f t="shared" si="398"/>
        <v xml:space="preserve"> </v>
      </c>
      <c r="FX114" s="14" t="str">
        <f t="shared" si="399"/>
        <v xml:space="preserve"> </v>
      </c>
      <c r="FY114" s="14" t="str">
        <f t="shared" si="400"/>
        <v xml:space="preserve"> </v>
      </c>
      <c r="FZ114" s="14" t="str">
        <f t="shared" si="401"/>
        <v xml:space="preserve"> </v>
      </c>
      <c r="GA114" s="27" t="str">
        <f t="shared" si="366"/>
        <v xml:space="preserve"> </v>
      </c>
      <c r="GB114" s="14" t="str">
        <f t="shared" si="403"/>
        <v xml:space="preserve"> </v>
      </c>
      <c r="GC114" s="14" t="str">
        <f t="shared" si="404"/>
        <v xml:space="preserve"> </v>
      </c>
      <c r="GD114" s="14" t="str">
        <f t="shared" si="405"/>
        <v xml:space="preserve"> </v>
      </c>
      <c r="GE114" s="14" t="str">
        <f t="shared" si="406"/>
        <v xml:space="preserve"> </v>
      </c>
      <c r="GF114" s="14" t="str">
        <f t="shared" si="407"/>
        <v xml:space="preserve"> </v>
      </c>
      <c r="GG114" s="27" t="str">
        <f t="shared" si="366"/>
        <v xml:space="preserve"> </v>
      </c>
      <c r="GH114" s="14" t="str">
        <f t="shared" si="409"/>
        <v xml:space="preserve"> </v>
      </c>
      <c r="GI114" s="14" t="str">
        <f t="shared" si="410"/>
        <v xml:space="preserve"> </v>
      </c>
      <c r="GJ114" s="14" t="str">
        <f t="shared" si="411"/>
        <v xml:space="preserve"> </v>
      </c>
      <c r="GK114" s="14" t="str">
        <f t="shared" si="412"/>
        <v xml:space="preserve"> </v>
      </c>
      <c r="GL114" s="14" t="str">
        <f t="shared" si="413"/>
        <v xml:space="preserve"> </v>
      </c>
      <c r="GM114" s="27" t="str">
        <f t="shared" si="366"/>
        <v xml:space="preserve"> </v>
      </c>
      <c r="GN114" s="14" t="str">
        <f t="shared" si="415"/>
        <v xml:space="preserve"> </v>
      </c>
      <c r="GO114" s="14" t="str">
        <f t="shared" si="416"/>
        <v xml:space="preserve"> </v>
      </c>
      <c r="GP114" s="14" t="str">
        <f t="shared" si="417"/>
        <v xml:space="preserve"> </v>
      </c>
      <c r="GQ114" s="14" t="str">
        <f t="shared" si="418"/>
        <v xml:space="preserve"> </v>
      </c>
      <c r="GR114" s="14" t="str">
        <f t="shared" si="419"/>
        <v xml:space="preserve"> </v>
      </c>
      <c r="GS114" s="27" t="str">
        <f t="shared" si="366"/>
        <v xml:space="preserve"> </v>
      </c>
      <c r="GT114" s="14" t="str">
        <f t="shared" si="421"/>
        <v xml:space="preserve"> </v>
      </c>
      <c r="GU114" s="14" t="str">
        <f t="shared" si="422"/>
        <v xml:space="preserve"> </v>
      </c>
      <c r="GV114" s="14" t="str">
        <f t="shared" si="423"/>
        <v xml:space="preserve"> </v>
      </c>
      <c r="GW114" s="14" t="str">
        <f t="shared" si="424"/>
        <v xml:space="preserve"> </v>
      </c>
      <c r="GX114" s="14" t="str">
        <f t="shared" si="425"/>
        <v xml:space="preserve"> </v>
      </c>
      <c r="GY114" s="27" t="str">
        <f t="shared" si="366"/>
        <v xml:space="preserve"> </v>
      </c>
      <c r="GZ114" s="14" t="str">
        <f t="shared" si="427"/>
        <v xml:space="preserve"> </v>
      </c>
      <c r="HA114" s="14" t="str">
        <f t="shared" si="428"/>
        <v xml:space="preserve"> </v>
      </c>
      <c r="HB114" s="14" t="str">
        <f t="shared" si="429"/>
        <v xml:space="preserve"> </v>
      </c>
      <c r="HC114" s="14" t="str">
        <f t="shared" si="430"/>
        <v xml:space="preserve"> </v>
      </c>
      <c r="HD114" s="14" t="str">
        <f t="shared" si="431"/>
        <v xml:space="preserve"> </v>
      </c>
      <c r="HE114" s="27" t="str">
        <f t="shared" si="432"/>
        <v xml:space="preserve"> </v>
      </c>
      <c r="HF114" s="14" t="str">
        <f t="shared" si="433"/>
        <v xml:space="preserve"> </v>
      </c>
      <c r="HG114" s="14" t="str">
        <f t="shared" si="434"/>
        <v xml:space="preserve"> </v>
      </c>
      <c r="HH114" s="14" t="str">
        <f t="shared" si="435"/>
        <v xml:space="preserve"> </v>
      </c>
      <c r="HI114" s="14" t="str">
        <f t="shared" si="436"/>
        <v xml:space="preserve"> </v>
      </c>
      <c r="HJ114" s="14" t="str">
        <f t="shared" si="437"/>
        <v xml:space="preserve"> </v>
      </c>
      <c r="HK114" s="27" t="str">
        <f t="shared" si="432"/>
        <v xml:space="preserve"> </v>
      </c>
      <c r="HL114" s="14" t="str">
        <f t="shared" si="439"/>
        <v xml:space="preserve"> </v>
      </c>
      <c r="HM114" s="14" t="str">
        <f t="shared" si="440"/>
        <v xml:space="preserve"> </v>
      </c>
      <c r="HN114" s="14" t="str">
        <f t="shared" si="441"/>
        <v xml:space="preserve"> </v>
      </c>
      <c r="HO114" s="14" t="str">
        <f t="shared" si="442"/>
        <v xml:space="preserve"> </v>
      </c>
      <c r="HP114" s="14" t="str">
        <f t="shared" si="443"/>
        <v xml:space="preserve"> </v>
      </c>
      <c r="HQ114" s="27" t="str">
        <f t="shared" si="432"/>
        <v xml:space="preserve"> </v>
      </c>
    </row>
    <row r="115" spans="1:225" ht="15.75" customHeight="1">
      <c r="A115" s="7">
        <f t="shared" ref="A115:C115" si="452">A7</f>
        <v>0</v>
      </c>
      <c r="B115" s="7">
        <f t="shared" si="452"/>
        <v>0</v>
      </c>
      <c r="C115" s="7" t="str">
        <f t="shared" si="452"/>
        <v>profit-loss</v>
      </c>
      <c r="D115" s="14" t="str">
        <f t="shared" si="446"/>
        <v xml:space="preserve">software(1)
 </v>
      </c>
      <c r="E115" s="14" t="str">
        <f t="shared" si="447"/>
        <v xml:space="preserve"> </v>
      </c>
      <c r="F115" s="14" t="str">
        <f t="shared" si="448"/>
        <v xml:space="preserve"> </v>
      </c>
      <c r="G115" s="14" t="str">
        <f t="shared" si="449"/>
        <v xml:space="preserve">servers(1), wood(1), metal(1), plastic(1), electronics(1), fabric(1), scale(1), attention to details(1.1), efficiency(1), user rules and manuals(2.1), organizational rules and manuals(2.1),  </v>
      </c>
      <c r="H115" s="14" t="str">
        <f t="shared" si="450"/>
        <v xml:space="preserve">servers(-1,6.25%), wood(-1,6.25%), metal(-1,6.25%), plastic(-1,6.25%), electronics(-1,6.25%), fabric(-1,6.25%), scale(-1,6.25%), efficiency(-1,6.25%),  </v>
      </c>
      <c r="I115" s="27" t="str">
        <f t="shared" ref="I115" si="453">IF(I7="",I116,$C115&amp;"("&amp;I7&amp;"),"&amp;I116)</f>
        <v xml:space="preserve">servers(6.25),wood(6.25),metal(6.25),plastic(6.25),electronics(6.25),fabric(6.25),scale(6.25),efficiency(6.25), </v>
      </c>
      <c r="J115" s="14" t="str">
        <f t="shared" si="229"/>
        <v xml:space="preserve">scale(1)
enthusiasm(1)
 </v>
      </c>
      <c r="K115" s="14" t="str">
        <f t="shared" si="230"/>
        <v xml:space="preserve">scale(-1,12.5%), enthusiasm(-1,25%),  </v>
      </c>
      <c r="L115" s="14" t="str">
        <f t="shared" si="231"/>
        <v xml:space="preserve">scale(12.5)
enthusiasm(25)
 </v>
      </c>
      <c r="M115" s="14" t="str">
        <f t="shared" si="232"/>
        <v xml:space="preserve">scale(1.1), efficiency(0.1), organizational rules and manuals(1.1),  </v>
      </c>
      <c r="N115" s="14" t="str">
        <f t="shared" si="233"/>
        <v xml:space="preserve">agility(-1,6.75%), ambition(-1,6.75%), fun-ness(-1,6.75%), initiative(-1,6.75%),  </v>
      </c>
      <c r="O115" s="27" t="str">
        <f t="shared" si="234"/>
        <v xml:space="preserve">agility(6.75),ambition(6.75),fun-ness(6.75),initiative(6.75), </v>
      </c>
      <c r="P115" s="14" t="str">
        <f t="shared" si="235"/>
        <v xml:space="preserve">scale(1)
enthusiasm(1)
 </v>
      </c>
      <c r="Q115" s="14" t="str">
        <f t="shared" si="236"/>
        <v xml:space="preserve">enthusiasm(-1,50%), gifted leader(-1,25%), gifted programmer(-1,25%), gifted designer(-1,25%),  </v>
      </c>
      <c r="R115" s="14" t="str">
        <f t="shared" si="237"/>
        <v xml:space="preserve">enthusiasm(50)
gifted leader(25)
gifted programmer(25)
gifted designer(25)
 </v>
      </c>
      <c r="S115" s="14" t="str">
        <f t="shared" si="238"/>
        <v xml:space="preserve">scale(1), network among members(0.1), gifted leader(1), gifted programmer(1), gifted designer(1), ambition(1), attention to details(0.1), community manager(0.1), team building(0.1),  </v>
      </c>
      <c r="T115" s="14" t="str">
        <f t="shared" si="239"/>
        <v xml:space="preserve">ambition(-1,%), business model(-1,6.25%), web(-1,6.25%), mobile apps(-1,6.25%), aesthetics(-1,6.25%),  </v>
      </c>
      <c r="U115" s="27" t="str">
        <f t="shared" si="234"/>
        <v xml:space="preserve">business model(6.25),web(6.25),mobile apps(6.25),aesthetics(6.25), </v>
      </c>
      <c r="V115" s="14" t="str">
        <f t="shared" si="241"/>
        <v xml:space="preserve">scale(1)
scale(1)
 </v>
      </c>
      <c r="W115" s="14" t="str">
        <f t="shared" si="242"/>
        <v xml:space="preserve">enthusiasm(-1,25%), enthusiasm(-1,25%), efficiency(-1,25%),  </v>
      </c>
      <c r="X115" s="14" t="str">
        <f t="shared" si="243"/>
        <v xml:space="preserve">enthusiasm(25)
enthusiasm(25)
efficiency(25)
 </v>
      </c>
      <c r="Y115" s="14" t="str">
        <f t="shared" si="244"/>
        <v xml:space="preserve">community manager(0.1), administrator(0.1), spaciousness(1), ease of access(3), reputation(2), user rules and manuals(0.1), project management(0.1), negotiation(0.1),  </v>
      </c>
      <c r="Z115" s="14" t="str">
        <f t="shared" si="245"/>
        <v xml:space="preserve">scale(-1,6.25%), reputation(-1,%),  </v>
      </c>
      <c r="AA115" s="27" t="str">
        <f t="shared" si="234"/>
        <v xml:space="preserve">scale(6.25), </v>
      </c>
      <c r="AB115" s="14" t="str">
        <f t="shared" si="247"/>
        <v xml:space="preserve"> </v>
      </c>
      <c r="AC115" s="14" t="str">
        <f t="shared" si="248"/>
        <v xml:space="preserve"> </v>
      </c>
      <c r="AD115" s="14" t="str">
        <f t="shared" si="249"/>
        <v xml:space="preserve"> </v>
      </c>
      <c r="AE115" s="14" t="str">
        <f t="shared" si="250"/>
        <v xml:space="preserve">scale(3), network among members(0.1), scale(1.1), attention to details(0.1), seriousness(0.1), initiative(0.1), spaciousness(1), user rules and manuals(1.1), organizational rules and manuals(1.1),  </v>
      </c>
      <c r="AF115" s="14" t="str">
        <f t="shared" si="251"/>
        <v xml:space="preserve">wood(-1,6.25%), fabric(-1,6.25%), enthusiasm(-1,6.25%), enthusiasm(-1,%), local biz(-1,6.25%), investors(-1,6.25%), non-profits(-1,6.25%), efficiency(-1,6.25%),  </v>
      </c>
      <c r="AG115" s="27" t="str">
        <f t="shared" si="234"/>
        <v xml:space="preserve">wood(6.25),fabric(6.25),enthusiasm(6.25),local biz(6.25),investors(6.25),non-profits(6.25),efficiency(6.25), </v>
      </c>
      <c r="AH115" s="14" t="str">
        <f t="shared" si="253"/>
        <v xml:space="preserve">scale(1)
enthusiasm(2)
fun-ness(1)
ease of access(1)
reputation(1)
 </v>
      </c>
      <c r="AI115" s="14" t="str">
        <f t="shared" si="254"/>
        <v xml:space="preserve">enthusiasm(-1,25%),  </v>
      </c>
      <c r="AJ115" s="14" t="str">
        <f t="shared" si="255"/>
        <v xml:space="preserve">enthusiasm(25)
 </v>
      </c>
      <c r="AK115" s="14" t="str">
        <f t="shared" si="256"/>
        <v xml:space="preserve">scale(2), enthusiasm(2), scale(3.1), attention to details(2.1), seriousness(2.1), community manager(2.1), administrator(2.1), spaciousness(1), ease of access(1), reputation(2), user rules and manuals(2.1), organizational rules and manuals(2.1), law(1.1), negotiation(1.1),  </v>
      </c>
      <c r="AL115" s="14" t="str">
        <f t="shared" si="257"/>
        <v xml:space="preserve">scale(-1,6.25%), enthusiasm(-1,6.25%), govt(-1,6.25%), non-profits(-1,6.25%), reputation(-1,6.25%),  </v>
      </c>
      <c r="AM115" s="27" t="str">
        <f t="shared" si="234"/>
        <v xml:space="preserve">scale(6.25),enthusiasm(6.25),govt(6.25),non-profits(6.25),reputation(6.25), </v>
      </c>
      <c r="AN115" s="14" t="str">
        <f t="shared" si="259"/>
        <v xml:space="preserve">scale(1)
fun-ness(1)
seriousness(1)
 </v>
      </c>
      <c r="AO115" s="14" t="str">
        <f t="shared" si="260"/>
        <v xml:space="preserve">scale(-1,25%), enthusiasm(-1,25%), enthusiasm(-1,25%),  </v>
      </c>
      <c r="AP115" s="14" t="str">
        <f t="shared" si="261"/>
        <v xml:space="preserve">scale(25)
enthusiasm(25)
enthusiasm(25)
 </v>
      </c>
      <c r="AQ115" s="14" t="str">
        <f t="shared" si="262"/>
        <v xml:space="preserve">scale(1), fun-ness(1), spaciousness(2.1), reputation(3), organizational rules and manuals(2.1), team building(2.1),  </v>
      </c>
      <c r="AR115" s="14" t="str">
        <f t="shared" si="263"/>
        <v xml:space="preserve">enthusiasm(-1,12.5%), fun-ness(-1,6.25%), reputation(-1,6.25%), efficiency(-1,6.25%),  </v>
      </c>
      <c r="AS115" s="27" t="str">
        <f t="shared" si="234"/>
        <v xml:space="preserve">enthusiasm(12.5),fun-ness(6.25),reputation(6.25),efficiency(6.25), </v>
      </c>
      <c r="AT115" s="14" t="str">
        <f t="shared" si="265"/>
        <v xml:space="preserve">scale(1)
enthusiasm(1)
network among members(3.1)
 </v>
      </c>
      <c r="AU115" s="14" t="str">
        <f t="shared" si="266"/>
        <v xml:space="preserve">scale(-1,25%), enthusiasm(-1,25%),  </v>
      </c>
      <c r="AV115" s="14" t="str">
        <f t="shared" si="267"/>
        <v xml:space="preserve">scale(25)
enthusiasm(25)
 </v>
      </c>
      <c r="AW115" s="14" t="str">
        <f t="shared" si="268"/>
        <v xml:space="preserve">scale(1), enthusiasm(1), attention to details(3.1), fun-ness(3.1), seriousness(3.1), initiative(2.1), leader(2.1), community manager(2.1), user rules and manuals(2.1), team building(2.1),  </v>
      </c>
      <c r="AX115" s="14" t="str">
        <f t="shared" si="269"/>
        <v xml:space="preserve">field knowledge(-1,6.25%), network among members(-1,6.25%), gifted assistant(-1,6.25%),  </v>
      </c>
      <c r="AY115" s="27" t="str">
        <f t="shared" si="234"/>
        <v xml:space="preserve">field knowledge(6.25),network among members(6.25),gifted assistant(6.25), </v>
      </c>
      <c r="AZ115" s="14" t="str">
        <f t="shared" si="271"/>
        <v xml:space="preserve">wood(1)
scale(1)
 </v>
      </c>
      <c r="BA115" s="14" t="str">
        <f t="shared" si="272"/>
        <v xml:space="preserve">enthusiasm(-1,12.5%), attention to details(1,12.5%), fun-ness(-1,12.5%), seriousness(1,12.5%), efficiency(-1,12.5%), user rules and manuals(1,25%),  </v>
      </c>
      <c r="BB115" s="14" t="str">
        <f t="shared" si="273"/>
        <v xml:space="preserve">enthusiasm(12.5)
attention to details(12.5)
fun-ness(12.5)
seriousness(12.5)
efficiency(12.5)
user rules and manuals(25)
 </v>
      </c>
      <c r="BC115" s="14" t="str">
        <f t="shared" si="274"/>
        <v xml:space="preserve">wood(1), scale(1), agility(1.1), attention to details(1.1), seriousness(1.1), community manager(1.1), administrator(1.1), user rules and manuals(2.1), organizational rules and manuals(2.1),  </v>
      </c>
      <c r="BD115" s="14" t="str">
        <f t="shared" si="275"/>
        <v xml:space="preserve">wood(-1,6.25%), scale(-1,6.25%), enthusiasm(-1,6.25%), reputation(-1,6.25%),  </v>
      </c>
      <c r="BE115" s="27" t="str">
        <f t="shared" si="234"/>
        <v xml:space="preserve">wood(6.25),scale(6.25),enthusiasm(6.25),reputation(6.25), </v>
      </c>
      <c r="BF115" s="14" t="str">
        <f t="shared" si="277"/>
        <v xml:space="preserve"> </v>
      </c>
      <c r="BG115" s="14" t="str">
        <f t="shared" si="278"/>
        <v xml:space="preserve">plastic(-1,25%), enthusiasm(-1,25%), enthusiasm(-1,25%), attention to details(1,25%), fun-ness(-1,25%), seriousness(1,25%), user rules and manuals(1,25%), organizational rules and manuals(1,25%),  </v>
      </c>
      <c r="BH115" s="14" t="str">
        <f t="shared" si="279"/>
        <v xml:space="preserve">plastic(25)
enthusiasm(25)
enthusiasm(25)
attention to details(25)
fun-ness(25)
seriousness(25)
user rules and manuals(25)
organizational rules and manuals(25)
 </v>
      </c>
      <c r="BI115" s="14" t="str">
        <f t="shared" si="280"/>
        <v xml:space="preserve">enthusiasm(1), engineering knowledge(1.1), enthusiasm(1), fun-ness(1), seriousness(2.1), community manager(1.1), administrator(1.1),  </v>
      </c>
      <c r="BJ115" s="14" t="str">
        <f t="shared" si="281"/>
        <v xml:space="preserve">reputation(-1,6.25%), efficiency(-1,25%),  </v>
      </c>
      <c r="BK115" s="27" t="str">
        <f t="shared" si="234"/>
        <v xml:space="preserve">reputation(6.25),efficiency(25), </v>
      </c>
      <c r="BL115" s="14" t="str">
        <f t="shared" si="283"/>
        <v xml:space="preserve">software(1)
scale(2)
local biz(1)
ease of access(1)
reputation(1)
aesthetics(1)
 </v>
      </c>
      <c r="BM115" s="14" t="str">
        <f t="shared" si="284"/>
        <v xml:space="preserve">biz enhancement(1,%),  </v>
      </c>
      <c r="BN115" s="14" t="str">
        <f t="shared" si="285"/>
        <v xml:space="preserve"> </v>
      </c>
      <c r="BO115"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5" s="14" t="str">
        <f t="shared" si="287"/>
        <v xml:space="preserve">local biz(1,6.25%),  </v>
      </c>
      <c r="BQ115" s="27" t="str">
        <f t="shared" si="234"/>
        <v xml:space="preserve">local biz(6.25), </v>
      </c>
      <c r="BR115" s="14" t="str">
        <f t="shared" si="289"/>
        <v xml:space="preserve">software(1)
wood(1)
scale(2)
scale(1)
local biz(1)
ease of access(1)
reputation(1)
aesthetics(1)
 </v>
      </c>
      <c r="BS115" s="14" t="str">
        <f t="shared" si="290"/>
        <v xml:space="preserve">biz project(1,%),  </v>
      </c>
      <c r="BT115" s="14" t="str">
        <f t="shared" si="291"/>
        <v xml:space="preserve"> </v>
      </c>
      <c r="BU115"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5" s="14" t="str">
        <f t="shared" si="293"/>
        <v xml:space="preserve">local biz(1,6.25%),  </v>
      </c>
      <c r="BW115" s="27" t="str">
        <f t="shared" si="234"/>
        <v xml:space="preserve">local biz(6.25), </v>
      </c>
      <c r="BX115" s="14" t="str">
        <f t="shared" si="295"/>
        <v xml:space="preserve">software(1)
servers(1)
scale(2)
enthusiasm(1)
local biz(1)
ease of access(1)
reputation(1)
aesthetics(1)
interaction(1)
 </v>
      </c>
      <c r="BY115" s="14" t="str">
        <f t="shared" si="296"/>
        <v xml:space="preserve">biz project(1,%),  </v>
      </c>
      <c r="BZ115" s="14" t="str">
        <f t="shared" si="297"/>
        <v xml:space="preserve"> </v>
      </c>
      <c r="CA115"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5" s="14" t="str">
        <f t="shared" si="299"/>
        <v xml:space="preserve">local biz(1,6.25%),  </v>
      </c>
      <c r="CC115" s="27" t="str">
        <f t="shared" si="300"/>
        <v xml:space="preserve">local biz(6.25), </v>
      </c>
      <c r="CD115" s="14" t="str">
        <f t="shared" si="301"/>
        <v xml:space="preserve">software(1)
servers(1)
scale(2)
enthusiasm(1)
ease of access(1)
reputation(1)
aesthetics(1)
 </v>
      </c>
      <c r="CE115" s="14" t="str">
        <f t="shared" si="302"/>
        <v xml:space="preserve">biz project(1,%),  </v>
      </c>
      <c r="CF115" s="14" t="str">
        <f t="shared" si="303"/>
        <v xml:space="preserve"> </v>
      </c>
      <c r="CG115"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5" s="14" t="str">
        <f t="shared" si="305"/>
        <v xml:space="preserve">local biz(1,6.25%),  </v>
      </c>
      <c r="CI115" s="27" t="str">
        <f t="shared" si="300"/>
        <v xml:space="preserve">local biz(6.25), </v>
      </c>
      <c r="CJ115" s="14" t="str">
        <f t="shared" si="307"/>
        <v xml:space="preserve">software(1)
scale(2)
ease of access(1)
reputation(1)
aesthetics(1)
 </v>
      </c>
      <c r="CK115" s="14" t="str">
        <f t="shared" si="308"/>
        <v xml:space="preserve">biz project(1,%),  </v>
      </c>
      <c r="CL115" s="14" t="str">
        <f t="shared" si="309"/>
        <v xml:space="preserve"> </v>
      </c>
      <c r="CM115" s="14" t="str">
        <f t="shared" si="310"/>
        <v xml:space="preserve">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5" s="14" t="str">
        <f t="shared" si="311"/>
        <v xml:space="preserve">local biz(1,6.25%),  </v>
      </c>
      <c r="CO115" s="27" t="str">
        <f t="shared" si="300"/>
        <v xml:space="preserve">local biz(6.25), </v>
      </c>
      <c r="CP115" s="14" t="str">
        <f t="shared" si="313"/>
        <v xml:space="preserve">metal(1)
scale(2)
enthusiasm(1)
learning capacities(1)
field knowledge(1)
local biz(1)
metal processing(1)
functions(1)
 </v>
      </c>
      <c r="CQ115" s="14" t="str">
        <f t="shared" si="314"/>
        <v xml:space="preserve">local biz(1,50%), biz enhancement(1,50%),  </v>
      </c>
      <c r="CR115" s="14" t="str">
        <f t="shared" si="315"/>
        <v xml:space="preserve">local biz(50)
biz enhancement(50)
 </v>
      </c>
      <c r="CS115"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5" s="14" t="str">
        <f t="shared" si="317"/>
        <v xml:space="preserve">reputation(1,6.25%),  </v>
      </c>
      <c r="CU115" s="27" t="str">
        <f t="shared" si="300"/>
        <v xml:space="preserve">reputation(6.25), </v>
      </c>
      <c r="CV115" s="14" t="str">
        <f t="shared" si="319"/>
        <v xml:space="preserve">software(1)
wood(1)
scale(1)
enthusiasm(2)
learning capacities(1)
non-profits(1)
wood processing(1)
aesthetics(1)
interaction(1)
 </v>
      </c>
      <c r="CW115" s="14" t="str">
        <f t="shared" si="320"/>
        <v xml:space="preserve">non-profits(1,50%), social project(1,50%),  </v>
      </c>
      <c r="CX115" s="14" t="str">
        <f t="shared" si="321"/>
        <v xml:space="preserve">non-profits(50)
social project(50)
 </v>
      </c>
      <c r="CY115"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5" s="14" t="str">
        <f t="shared" si="323"/>
        <v xml:space="preserve">media(1,6.25%), reputation(1,6.25%), portfolio(1,6.25%),  </v>
      </c>
      <c r="DA115" s="27" t="str">
        <f t="shared" si="300"/>
        <v xml:space="preserve">media(6.25),reputation(6.25),portfolio(6.25), </v>
      </c>
      <c r="DB115" s="14" t="str">
        <f t="shared" si="325"/>
        <v xml:space="preserve">software(1)
scale(1)
enthusiasm(2)
learning capacities(1)
non-profits(1)
aesthetics(1)
interaction(1)
 </v>
      </c>
      <c r="DC115" s="14" t="str">
        <f t="shared" si="326"/>
        <v xml:space="preserve">non-profits(1,50%), social project(1,50%),  </v>
      </c>
      <c r="DD115" s="14" t="str">
        <f t="shared" si="327"/>
        <v xml:space="preserve">non-profits(50)
social project(50)
 </v>
      </c>
      <c r="DE115" s="14" t="str">
        <f t="shared" si="328"/>
        <v xml:space="preserve">gifted programmer(1), gifted designer(1), scale(2), enthusiasm(4), agility(2), ambition(4), attention to details(2), fun-ness(2), administrator(2), ease of access(2), efficiency(3), VR&amp;AR(2),  </v>
      </c>
      <c r="DF115" s="14" t="str">
        <f t="shared" si="329"/>
        <v xml:space="preserve">media(1,6.25%), reputation(1,6.25%), portfolio(1,6.25%),  </v>
      </c>
      <c r="DG115" s="27" t="str">
        <f t="shared" si="300"/>
        <v xml:space="preserve">media(6.25),reputation(6.25),portfolio(6.25), </v>
      </c>
      <c r="DH115" s="14" t="str">
        <f t="shared" si="331"/>
        <v xml:space="preserve">software(1)
wood(1)
plastic(1)
scale(2)
enthusiasm(2)
scale(1)
wood processing(1)
aesthetics(1)
safety(1)
 </v>
      </c>
      <c r="DI115" s="14" t="str">
        <f t="shared" si="332"/>
        <v xml:space="preserve">social project(1,100%),  </v>
      </c>
      <c r="DJ115" s="14" t="str">
        <f t="shared" si="333"/>
        <v xml:space="preserve">social project(100)
 </v>
      </c>
      <c r="DK115" s="14" t="str">
        <f t="shared" si="334"/>
        <v xml:space="preserve">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5" s="14" t="str">
        <f t="shared" si="335"/>
        <v xml:space="preserve">scale(1,6.25%), enthusiasm(1,6.25%), network among members(1,6.25%), enthusiasm(1,6.25%), agility(1,6.25%), fun-ness(1,6.25%), reputation(1,6.25%), portfolio(1,6.25%), team building(1,6.25%),  </v>
      </c>
      <c r="DM115" s="27" t="str">
        <f t="shared" si="300"/>
        <v xml:space="preserve">scale(6.25),enthusiasm(6.25),network among members(6.25),enthusiasm(6.25),agility(6.25),fun-ness(6.25),reputation(6.25),portfolio(6.25),team building(6.25), </v>
      </c>
      <c r="DN115" s="14" t="str">
        <f t="shared" si="337"/>
        <v xml:space="preserve">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5" s="14" t="str">
        <f t="shared" si="338"/>
        <v xml:space="preserve">reputation(1,25%), portfolio(1,50%),  </v>
      </c>
      <c r="DP115" s="14" t="str">
        <f t="shared" si="339"/>
        <v xml:space="preserve">reputation(25)
portfolio(50)
 </v>
      </c>
      <c r="DQ115"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5" s="14" t="str">
        <f t="shared" si="341"/>
        <v xml:space="preserve">suppliers(1,6.25%), reputation(1,6.25%),  </v>
      </c>
      <c r="DS115" s="27" t="str">
        <f t="shared" si="300"/>
        <v xml:space="preserve">suppliers(6.25),reputation(6.25), </v>
      </c>
      <c r="DT115" s="14" t="str">
        <f t="shared" si="343"/>
        <v xml:space="preserve">scale(2)
attention to details(2)
leader(1)
fame(1)
network(2)
reputation(3)
portfolio(2)
 </v>
      </c>
      <c r="DU115" s="14" t="str">
        <f t="shared" si="344"/>
        <v xml:space="preserve">fame(1,25%), govt(1,25%), non-profits(1,50%), reputation(1,25%),  </v>
      </c>
      <c r="DV115" s="14" t="str">
        <f t="shared" si="345"/>
        <v xml:space="preserve">fame(25)
govt(25)
non-profits(50)
reputation(25)
 </v>
      </c>
      <c r="DW115" s="14" t="str">
        <f t="shared" si="346"/>
        <v xml:space="preserve">scale(3), enthusiasm(3), enthusiasm(3), ambition(2), attention to details(2), PR(1), administrator(1), social media(2),  </v>
      </c>
      <c r="DX115" s="14" t="str">
        <f t="shared" si="347"/>
        <v xml:space="preserve">ambition(1,6.25%), fame(1,6.25%), reputation(1,6.25%),  </v>
      </c>
      <c r="DY115" s="27" t="str">
        <f t="shared" si="300"/>
        <v xml:space="preserve">ambition(6.25),fame(6.25),reputation(6.25), </v>
      </c>
      <c r="DZ115" s="14" t="str">
        <f t="shared" si="349"/>
        <v xml:space="preserve"> </v>
      </c>
      <c r="EA115" s="14" t="str">
        <f t="shared" si="350"/>
        <v xml:space="preserve"> </v>
      </c>
      <c r="EB115" s="14" t="str">
        <f t="shared" si="351"/>
        <v xml:space="preserve"> </v>
      </c>
      <c r="EC115" s="14" t="str">
        <f t="shared" si="352"/>
        <v xml:space="preserve"> </v>
      </c>
      <c r="ED115" s="14" t="str">
        <f t="shared" si="353"/>
        <v xml:space="preserve"> </v>
      </c>
      <c r="EE115" s="27" t="str">
        <f t="shared" si="300"/>
        <v xml:space="preserve"> </v>
      </c>
      <c r="EF115" s="14" t="str">
        <f t="shared" si="355"/>
        <v xml:space="preserve"> </v>
      </c>
      <c r="EG115" s="14" t="str">
        <f t="shared" si="356"/>
        <v xml:space="preserve"> </v>
      </c>
      <c r="EH115" s="14" t="str">
        <f t="shared" si="357"/>
        <v xml:space="preserve"> </v>
      </c>
      <c r="EI115" s="14" t="str">
        <f t="shared" si="358"/>
        <v xml:space="preserve"> </v>
      </c>
      <c r="EJ115" s="14" t="str">
        <f t="shared" si="359"/>
        <v xml:space="preserve"> </v>
      </c>
      <c r="EK115" s="27" t="str">
        <f t="shared" si="300"/>
        <v xml:space="preserve"> </v>
      </c>
      <c r="EL115" s="14" t="str">
        <f t="shared" si="361"/>
        <v xml:space="preserve"> </v>
      </c>
      <c r="EM115" s="14" t="str">
        <f t="shared" si="362"/>
        <v xml:space="preserve"> </v>
      </c>
      <c r="EN115" s="14" t="str">
        <f t="shared" si="363"/>
        <v xml:space="preserve"> </v>
      </c>
      <c r="EO115" s="14" t="str">
        <f t="shared" si="364"/>
        <v xml:space="preserve"> </v>
      </c>
      <c r="EP115" s="14" t="str">
        <f t="shared" si="365"/>
        <v xml:space="preserve"> </v>
      </c>
      <c r="EQ115" s="27" t="str">
        <f t="shared" si="366"/>
        <v xml:space="preserve"> </v>
      </c>
      <c r="ER115" s="14" t="str">
        <f t="shared" si="367"/>
        <v xml:space="preserve"> </v>
      </c>
      <c r="ES115" s="14" t="str">
        <f t="shared" si="368"/>
        <v xml:space="preserve"> </v>
      </c>
      <c r="ET115" s="14" t="str">
        <f t="shared" si="369"/>
        <v xml:space="preserve"> </v>
      </c>
      <c r="EU115" s="14" t="str">
        <f t="shared" si="370"/>
        <v xml:space="preserve"> </v>
      </c>
      <c r="EV115" s="14" t="str">
        <f t="shared" si="371"/>
        <v xml:space="preserve"> </v>
      </c>
      <c r="EW115" s="27" t="str">
        <f t="shared" si="366"/>
        <v xml:space="preserve"> </v>
      </c>
      <c r="EX115" s="14" t="str">
        <f t="shared" si="373"/>
        <v xml:space="preserve"> </v>
      </c>
      <c r="EY115" s="14" t="str">
        <f t="shared" si="374"/>
        <v xml:space="preserve"> </v>
      </c>
      <c r="EZ115" s="14" t="str">
        <f t="shared" si="375"/>
        <v xml:space="preserve"> </v>
      </c>
      <c r="FA115" s="14" t="str">
        <f t="shared" si="376"/>
        <v xml:space="preserve"> </v>
      </c>
      <c r="FB115" s="14" t="str">
        <f t="shared" si="377"/>
        <v xml:space="preserve"> </v>
      </c>
      <c r="FC115" s="27" t="str">
        <f t="shared" si="366"/>
        <v xml:space="preserve"> </v>
      </c>
      <c r="FD115" s="14" t="str">
        <f t="shared" si="379"/>
        <v xml:space="preserve"> </v>
      </c>
      <c r="FE115" s="14" t="str">
        <f t="shared" si="380"/>
        <v xml:space="preserve"> </v>
      </c>
      <c r="FF115" s="14" t="str">
        <f t="shared" si="381"/>
        <v xml:space="preserve"> </v>
      </c>
      <c r="FG115" s="14" t="str">
        <f t="shared" si="382"/>
        <v xml:space="preserve"> </v>
      </c>
      <c r="FH115" s="14" t="str">
        <f t="shared" si="383"/>
        <v xml:space="preserve"> </v>
      </c>
      <c r="FI115" s="27" t="str">
        <f t="shared" si="366"/>
        <v xml:space="preserve"> </v>
      </c>
      <c r="FJ115" s="14" t="str">
        <f t="shared" si="385"/>
        <v xml:space="preserve"> </v>
      </c>
      <c r="FK115" s="14" t="str">
        <f t="shared" si="386"/>
        <v xml:space="preserve"> </v>
      </c>
      <c r="FL115" s="14" t="str">
        <f t="shared" si="387"/>
        <v xml:space="preserve"> </v>
      </c>
      <c r="FM115" s="14" t="str">
        <f t="shared" si="388"/>
        <v xml:space="preserve"> </v>
      </c>
      <c r="FN115" s="14" t="str">
        <f t="shared" si="389"/>
        <v xml:space="preserve"> </v>
      </c>
      <c r="FO115" s="27" t="str">
        <f t="shared" si="366"/>
        <v xml:space="preserve"> </v>
      </c>
      <c r="FP115" s="14" t="str">
        <f t="shared" si="391"/>
        <v xml:space="preserve"> </v>
      </c>
      <c r="FQ115" s="14" t="str">
        <f t="shared" si="392"/>
        <v xml:space="preserve"> </v>
      </c>
      <c r="FR115" s="14" t="str">
        <f t="shared" si="393"/>
        <v xml:space="preserve"> </v>
      </c>
      <c r="FS115" s="14" t="str">
        <f t="shared" si="394"/>
        <v xml:space="preserve"> </v>
      </c>
      <c r="FT115" s="14" t="str">
        <f t="shared" si="395"/>
        <v xml:space="preserve"> </v>
      </c>
      <c r="FU115" s="27" t="str">
        <f t="shared" si="366"/>
        <v xml:space="preserve"> </v>
      </c>
      <c r="FV115" s="14" t="str">
        <f t="shared" si="397"/>
        <v xml:space="preserve"> </v>
      </c>
      <c r="FW115" s="14" t="str">
        <f t="shared" si="398"/>
        <v xml:space="preserve"> </v>
      </c>
      <c r="FX115" s="14" t="str">
        <f t="shared" si="399"/>
        <v xml:space="preserve"> </v>
      </c>
      <c r="FY115" s="14" t="str">
        <f t="shared" si="400"/>
        <v xml:space="preserve"> </v>
      </c>
      <c r="FZ115" s="14" t="str">
        <f t="shared" si="401"/>
        <v xml:space="preserve"> </v>
      </c>
      <c r="GA115" s="27" t="str">
        <f t="shared" si="366"/>
        <v xml:space="preserve"> </v>
      </c>
      <c r="GB115" s="14" t="str">
        <f t="shared" si="403"/>
        <v xml:space="preserve"> </v>
      </c>
      <c r="GC115" s="14" t="str">
        <f t="shared" si="404"/>
        <v xml:space="preserve"> </v>
      </c>
      <c r="GD115" s="14" t="str">
        <f t="shared" si="405"/>
        <v xml:space="preserve"> </v>
      </c>
      <c r="GE115" s="14" t="str">
        <f t="shared" si="406"/>
        <v xml:space="preserve"> </v>
      </c>
      <c r="GF115" s="14" t="str">
        <f t="shared" si="407"/>
        <v xml:space="preserve"> </v>
      </c>
      <c r="GG115" s="27" t="str">
        <f t="shared" si="366"/>
        <v xml:space="preserve"> </v>
      </c>
      <c r="GH115" s="14" t="str">
        <f t="shared" si="409"/>
        <v xml:space="preserve"> </v>
      </c>
      <c r="GI115" s="14" t="str">
        <f t="shared" si="410"/>
        <v xml:space="preserve"> </v>
      </c>
      <c r="GJ115" s="14" t="str">
        <f t="shared" si="411"/>
        <v xml:space="preserve"> </v>
      </c>
      <c r="GK115" s="14" t="str">
        <f t="shared" si="412"/>
        <v xml:space="preserve"> </v>
      </c>
      <c r="GL115" s="14" t="str">
        <f t="shared" si="413"/>
        <v xml:space="preserve"> </v>
      </c>
      <c r="GM115" s="27" t="str">
        <f t="shared" si="366"/>
        <v xml:space="preserve"> </v>
      </c>
      <c r="GN115" s="14" t="str">
        <f t="shared" si="415"/>
        <v xml:space="preserve"> </v>
      </c>
      <c r="GO115" s="14" t="str">
        <f t="shared" si="416"/>
        <v xml:space="preserve"> </v>
      </c>
      <c r="GP115" s="14" t="str">
        <f t="shared" si="417"/>
        <v xml:space="preserve"> </v>
      </c>
      <c r="GQ115" s="14" t="str">
        <f t="shared" si="418"/>
        <v xml:space="preserve"> </v>
      </c>
      <c r="GR115" s="14" t="str">
        <f t="shared" si="419"/>
        <v xml:space="preserve"> </v>
      </c>
      <c r="GS115" s="27" t="str">
        <f t="shared" si="366"/>
        <v xml:space="preserve"> </v>
      </c>
      <c r="GT115" s="14" t="str">
        <f t="shared" si="421"/>
        <v xml:space="preserve"> </v>
      </c>
      <c r="GU115" s="14" t="str">
        <f t="shared" si="422"/>
        <v xml:space="preserve"> </v>
      </c>
      <c r="GV115" s="14" t="str">
        <f t="shared" si="423"/>
        <v xml:space="preserve"> </v>
      </c>
      <c r="GW115" s="14" t="str">
        <f t="shared" si="424"/>
        <v xml:space="preserve"> </v>
      </c>
      <c r="GX115" s="14" t="str">
        <f t="shared" si="425"/>
        <v xml:space="preserve"> </v>
      </c>
      <c r="GY115" s="27" t="str">
        <f t="shared" si="366"/>
        <v xml:space="preserve"> </v>
      </c>
      <c r="GZ115" s="14" t="str">
        <f t="shared" si="427"/>
        <v xml:space="preserve"> </v>
      </c>
      <c r="HA115" s="14" t="str">
        <f t="shared" si="428"/>
        <v xml:space="preserve"> </v>
      </c>
      <c r="HB115" s="14" t="str">
        <f t="shared" si="429"/>
        <v xml:space="preserve"> </v>
      </c>
      <c r="HC115" s="14" t="str">
        <f t="shared" si="430"/>
        <v xml:space="preserve"> </v>
      </c>
      <c r="HD115" s="14" t="str">
        <f t="shared" si="431"/>
        <v xml:space="preserve"> </v>
      </c>
      <c r="HE115" s="27" t="str">
        <f t="shared" si="432"/>
        <v xml:space="preserve"> </v>
      </c>
      <c r="HF115" s="14" t="str">
        <f t="shared" si="433"/>
        <v xml:space="preserve"> </v>
      </c>
      <c r="HG115" s="14" t="str">
        <f t="shared" si="434"/>
        <v xml:space="preserve"> </v>
      </c>
      <c r="HH115" s="14" t="str">
        <f t="shared" si="435"/>
        <v xml:space="preserve"> </v>
      </c>
      <c r="HI115" s="14" t="str">
        <f t="shared" si="436"/>
        <v xml:space="preserve"> </v>
      </c>
      <c r="HJ115" s="14" t="str">
        <f t="shared" si="437"/>
        <v xml:space="preserve"> </v>
      </c>
      <c r="HK115" s="27" t="str">
        <f t="shared" si="432"/>
        <v xml:space="preserve"> </v>
      </c>
      <c r="HL115" s="14" t="str">
        <f t="shared" si="439"/>
        <v xml:space="preserve"> </v>
      </c>
      <c r="HM115" s="14" t="str">
        <f t="shared" si="440"/>
        <v xml:space="preserve"> </v>
      </c>
      <c r="HN115" s="14" t="str">
        <f t="shared" si="441"/>
        <v xml:space="preserve"> </v>
      </c>
      <c r="HO115" s="14" t="str">
        <f t="shared" si="442"/>
        <v xml:space="preserve"> </v>
      </c>
      <c r="HP115" s="14" t="str">
        <f t="shared" si="443"/>
        <v xml:space="preserve"> </v>
      </c>
      <c r="HQ115" s="27" t="str">
        <f t="shared" si="432"/>
        <v xml:space="preserve"> </v>
      </c>
    </row>
    <row r="116" spans="1:225" ht="15.75" customHeight="1">
      <c r="A116" s="7">
        <f t="shared" ref="A116:C116" si="454">A8</f>
        <v>0</v>
      </c>
      <c r="B116" s="7">
        <f t="shared" si="454"/>
        <v>0</v>
      </c>
      <c r="C116" s="7" t="str">
        <f t="shared" si="454"/>
        <v>asset-debt</v>
      </c>
      <c r="D116" s="14" t="str">
        <f t="shared" si="446"/>
        <v xml:space="preserve">software(1)
 </v>
      </c>
      <c r="E116" s="14" t="str">
        <f t="shared" si="447"/>
        <v xml:space="preserve"> </v>
      </c>
      <c r="F116" s="14" t="str">
        <f t="shared" si="448"/>
        <v xml:space="preserve"> </v>
      </c>
      <c r="G116" s="14" t="str">
        <f t="shared" si="449"/>
        <v xml:space="preserve">servers(1), wood(1), metal(1), plastic(1), electronics(1), fabric(1), scale(1), attention to details(1.1), efficiency(1), user rules and manuals(2.1), organizational rules and manuals(2.1),  </v>
      </c>
      <c r="H116" s="14" t="str">
        <f t="shared" si="450"/>
        <v xml:space="preserve">servers(-1,6.25%), wood(-1,6.25%), metal(-1,6.25%), plastic(-1,6.25%), electronics(-1,6.25%), fabric(-1,6.25%), scale(-1,6.25%), efficiency(-1,6.25%),  </v>
      </c>
      <c r="I116" s="27" t="str">
        <f t="shared" ref="I116" si="455">IF(I8="",I117,$C116&amp;"("&amp;I8&amp;"),"&amp;I117)</f>
        <v xml:space="preserve">servers(6.25),wood(6.25),metal(6.25),plastic(6.25),electronics(6.25),fabric(6.25),scale(6.25),efficiency(6.25), </v>
      </c>
      <c r="J116" s="14" t="str">
        <f t="shared" si="229"/>
        <v xml:space="preserve">scale(1)
enthusiasm(1)
 </v>
      </c>
      <c r="K116" s="14" t="str">
        <f t="shared" si="230"/>
        <v xml:space="preserve">scale(-1,12.5%), enthusiasm(-1,25%),  </v>
      </c>
      <c r="L116" s="14" t="str">
        <f t="shared" si="231"/>
        <v xml:space="preserve">scale(12.5)
enthusiasm(25)
 </v>
      </c>
      <c r="M116" s="14" t="str">
        <f t="shared" si="232"/>
        <v xml:space="preserve">scale(1.1), efficiency(0.1), organizational rules and manuals(1.1),  </v>
      </c>
      <c r="N116" s="14" t="str">
        <f t="shared" si="233"/>
        <v xml:space="preserve">agility(-1,6.75%), ambition(-1,6.75%), fun-ness(-1,6.75%), initiative(-1,6.75%),  </v>
      </c>
      <c r="O116" s="27" t="str">
        <f t="shared" si="234"/>
        <v xml:space="preserve">agility(6.75),ambition(6.75),fun-ness(6.75),initiative(6.75), </v>
      </c>
      <c r="P116" s="14" t="str">
        <f t="shared" si="235"/>
        <v xml:space="preserve">scale(1)
enthusiasm(1)
 </v>
      </c>
      <c r="Q116" s="14" t="str">
        <f t="shared" si="236"/>
        <v xml:space="preserve">enthusiasm(-1,50%), gifted leader(-1,25%), gifted programmer(-1,25%), gifted designer(-1,25%),  </v>
      </c>
      <c r="R116" s="14" t="str">
        <f t="shared" si="237"/>
        <v xml:space="preserve">enthusiasm(50)
gifted leader(25)
gifted programmer(25)
gifted designer(25)
 </v>
      </c>
      <c r="S116" s="14" t="str">
        <f t="shared" si="238"/>
        <v xml:space="preserve">scale(1), network among members(0.1), gifted leader(1), gifted programmer(1), gifted designer(1), ambition(1), attention to details(0.1), community manager(0.1), team building(0.1),  </v>
      </c>
      <c r="T116" s="14" t="str">
        <f t="shared" si="239"/>
        <v xml:space="preserve">ambition(-1,%), business model(-1,6.25%), web(-1,6.25%), mobile apps(-1,6.25%), aesthetics(-1,6.25%),  </v>
      </c>
      <c r="U116" s="27" t="str">
        <f t="shared" si="234"/>
        <v xml:space="preserve">business model(6.25),web(6.25),mobile apps(6.25),aesthetics(6.25), </v>
      </c>
      <c r="V116" s="14" t="str">
        <f t="shared" si="241"/>
        <v xml:space="preserve">scale(1)
scale(1)
 </v>
      </c>
      <c r="W116" s="14" t="str">
        <f t="shared" si="242"/>
        <v xml:space="preserve">enthusiasm(-1,25%), enthusiasm(-1,25%), efficiency(-1,25%),  </v>
      </c>
      <c r="X116" s="14" t="str">
        <f t="shared" si="243"/>
        <v xml:space="preserve">enthusiasm(25)
enthusiasm(25)
efficiency(25)
 </v>
      </c>
      <c r="Y116" s="14" t="str">
        <f t="shared" si="244"/>
        <v xml:space="preserve">community manager(0.1), administrator(0.1), spaciousness(1), ease of access(3), reputation(2), user rules and manuals(0.1), project management(0.1), negotiation(0.1),  </v>
      </c>
      <c r="Z116" s="14" t="str">
        <f t="shared" si="245"/>
        <v xml:space="preserve">scale(-1,6.25%), reputation(-1,%),  </v>
      </c>
      <c r="AA116" s="27" t="str">
        <f t="shared" si="234"/>
        <v xml:space="preserve">scale(6.25), </v>
      </c>
      <c r="AB116" s="14" t="str">
        <f t="shared" si="247"/>
        <v xml:space="preserve"> </v>
      </c>
      <c r="AC116" s="14" t="str">
        <f t="shared" si="248"/>
        <v xml:space="preserve"> </v>
      </c>
      <c r="AD116" s="14" t="str">
        <f t="shared" si="249"/>
        <v xml:space="preserve"> </v>
      </c>
      <c r="AE116" s="14" t="str">
        <f t="shared" si="250"/>
        <v xml:space="preserve">scale(3), network among members(0.1), scale(1.1), attention to details(0.1), seriousness(0.1), initiative(0.1), spaciousness(1), user rules and manuals(1.1), organizational rules and manuals(1.1),  </v>
      </c>
      <c r="AF116" s="14" t="str">
        <f t="shared" si="251"/>
        <v xml:space="preserve">wood(-1,6.25%), fabric(-1,6.25%), enthusiasm(-1,6.25%), enthusiasm(-1,%), local biz(-1,6.25%), investors(-1,6.25%), non-profits(-1,6.25%), efficiency(-1,6.25%),  </v>
      </c>
      <c r="AG116" s="27" t="str">
        <f t="shared" si="234"/>
        <v xml:space="preserve">wood(6.25),fabric(6.25),enthusiasm(6.25),local biz(6.25),investors(6.25),non-profits(6.25),efficiency(6.25), </v>
      </c>
      <c r="AH116" s="14" t="str">
        <f t="shared" si="253"/>
        <v xml:space="preserve">scale(1)
enthusiasm(2)
fun-ness(1)
ease of access(1)
reputation(1)
 </v>
      </c>
      <c r="AI116" s="14" t="str">
        <f t="shared" si="254"/>
        <v xml:space="preserve">enthusiasm(-1,25%),  </v>
      </c>
      <c r="AJ116" s="14" t="str">
        <f t="shared" si="255"/>
        <v xml:space="preserve">enthusiasm(25)
 </v>
      </c>
      <c r="AK116" s="14" t="str">
        <f t="shared" si="256"/>
        <v xml:space="preserve">scale(2), enthusiasm(2), scale(3.1), attention to details(2.1), seriousness(2.1), community manager(2.1), administrator(2.1), spaciousness(1), ease of access(1), reputation(2), user rules and manuals(2.1), organizational rules and manuals(2.1), law(1.1), negotiation(1.1),  </v>
      </c>
      <c r="AL116" s="14" t="str">
        <f t="shared" si="257"/>
        <v xml:space="preserve">scale(-1,6.25%), enthusiasm(-1,6.25%), govt(-1,6.25%), non-profits(-1,6.25%), reputation(-1,6.25%),  </v>
      </c>
      <c r="AM116" s="27" t="str">
        <f t="shared" si="234"/>
        <v xml:space="preserve">scale(6.25),enthusiasm(6.25),govt(6.25),non-profits(6.25),reputation(6.25), </v>
      </c>
      <c r="AN116" s="14" t="str">
        <f t="shared" si="259"/>
        <v xml:space="preserve">scale(1)
fun-ness(1)
seriousness(1)
 </v>
      </c>
      <c r="AO116" s="14" t="str">
        <f t="shared" si="260"/>
        <v xml:space="preserve">scale(-1,25%), enthusiasm(-1,25%), enthusiasm(-1,25%),  </v>
      </c>
      <c r="AP116" s="14" t="str">
        <f t="shared" si="261"/>
        <v xml:space="preserve">scale(25)
enthusiasm(25)
enthusiasm(25)
 </v>
      </c>
      <c r="AQ116" s="14" t="str">
        <f t="shared" si="262"/>
        <v xml:space="preserve">scale(1), fun-ness(1), spaciousness(2.1), reputation(3), organizational rules and manuals(2.1), team building(2.1),  </v>
      </c>
      <c r="AR116" s="14" t="str">
        <f t="shared" si="263"/>
        <v xml:space="preserve">enthusiasm(-1,12.5%), fun-ness(-1,6.25%), reputation(-1,6.25%), efficiency(-1,6.25%),  </v>
      </c>
      <c r="AS116" s="27" t="str">
        <f t="shared" si="234"/>
        <v xml:space="preserve">enthusiasm(12.5),fun-ness(6.25),reputation(6.25),efficiency(6.25), </v>
      </c>
      <c r="AT116" s="14" t="str">
        <f t="shared" si="265"/>
        <v xml:space="preserve">scale(1)
enthusiasm(1)
network among members(3.1)
 </v>
      </c>
      <c r="AU116" s="14" t="str">
        <f t="shared" si="266"/>
        <v xml:space="preserve">scale(-1,25%), enthusiasm(-1,25%),  </v>
      </c>
      <c r="AV116" s="14" t="str">
        <f t="shared" si="267"/>
        <v xml:space="preserve">scale(25)
enthusiasm(25)
 </v>
      </c>
      <c r="AW116" s="14" t="str">
        <f t="shared" si="268"/>
        <v xml:space="preserve">scale(1), enthusiasm(1), attention to details(3.1), fun-ness(3.1), seriousness(3.1), initiative(2.1), leader(2.1), community manager(2.1), user rules and manuals(2.1), team building(2.1),  </v>
      </c>
      <c r="AX116" s="14" t="str">
        <f t="shared" si="269"/>
        <v xml:space="preserve">field knowledge(-1,6.25%), network among members(-1,6.25%), gifted assistant(-1,6.25%),  </v>
      </c>
      <c r="AY116" s="27" t="str">
        <f t="shared" si="234"/>
        <v xml:space="preserve">field knowledge(6.25),network among members(6.25),gifted assistant(6.25), </v>
      </c>
      <c r="AZ116" s="14" t="str">
        <f t="shared" si="271"/>
        <v xml:space="preserve">wood(1)
scale(1)
 </v>
      </c>
      <c r="BA116" s="14" t="str">
        <f t="shared" si="272"/>
        <v xml:space="preserve">enthusiasm(-1,12.5%), attention to details(1,12.5%), fun-ness(-1,12.5%), seriousness(1,12.5%), efficiency(-1,12.5%), user rules and manuals(1,25%),  </v>
      </c>
      <c r="BB116" s="14" t="str">
        <f t="shared" si="273"/>
        <v xml:space="preserve">enthusiasm(12.5)
attention to details(12.5)
fun-ness(12.5)
seriousness(12.5)
efficiency(12.5)
user rules and manuals(25)
 </v>
      </c>
      <c r="BC116" s="14" t="str">
        <f t="shared" si="274"/>
        <v xml:space="preserve">wood(1), scale(1), agility(1.1), attention to details(1.1), seriousness(1.1), community manager(1.1), administrator(1.1), user rules and manuals(2.1), organizational rules and manuals(2.1),  </v>
      </c>
      <c r="BD116" s="14" t="str">
        <f t="shared" si="275"/>
        <v xml:space="preserve">wood(-1,6.25%), scale(-1,6.25%), enthusiasm(-1,6.25%), reputation(-1,6.25%),  </v>
      </c>
      <c r="BE116" s="27" t="str">
        <f t="shared" si="234"/>
        <v xml:space="preserve">wood(6.25),scale(6.25),enthusiasm(6.25),reputation(6.25), </v>
      </c>
      <c r="BF116" s="14" t="str">
        <f t="shared" si="277"/>
        <v xml:space="preserve"> </v>
      </c>
      <c r="BG116" s="14" t="str">
        <f t="shared" si="278"/>
        <v xml:space="preserve">plastic(-1,25%), enthusiasm(-1,25%), enthusiasm(-1,25%), attention to details(1,25%), fun-ness(-1,25%), seriousness(1,25%), user rules and manuals(1,25%), organizational rules and manuals(1,25%),  </v>
      </c>
      <c r="BH116" s="14" t="str">
        <f t="shared" si="279"/>
        <v xml:space="preserve">plastic(25)
enthusiasm(25)
enthusiasm(25)
attention to details(25)
fun-ness(25)
seriousness(25)
user rules and manuals(25)
organizational rules and manuals(25)
 </v>
      </c>
      <c r="BI116" s="14" t="str">
        <f t="shared" si="280"/>
        <v xml:space="preserve">enthusiasm(1), engineering knowledge(1.1), enthusiasm(1), fun-ness(1), seriousness(2.1), community manager(1.1), administrator(1.1),  </v>
      </c>
      <c r="BJ116" s="14" t="str">
        <f t="shared" si="281"/>
        <v xml:space="preserve">reputation(-1,6.25%), efficiency(-1,25%),  </v>
      </c>
      <c r="BK116" s="27" t="str">
        <f t="shared" si="234"/>
        <v xml:space="preserve">reputation(6.25),efficiency(25), </v>
      </c>
      <c r="BL116" s="14" t="str">
        <f t="shared" si="283"/>
        <v xml:space="preserve">software(1)
scale(2)
local biz(1)
ease of access(1)
reputation(1)
aesthetics(1)
 </v>
      </c>
      <c r="BM116" s="14" t="str">
        <f t="shared" si="284"/>
        <v xml:space="preserve">biz enhancement(1,%),  </v>
      </c>
      <c r="BN116" s="14" t="str">
        <f t="shared" si="285"/>
        <v xml:space="preserve"> </v>
      </c>
      <c r="BO116"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6" s="14" t="str">
        <f t="shared" si="287"/>
        <v xml:space="preserve">local biz(1,6.25%),  </v>
      </c>
      <c r="BQ116" s="27" t="str">
        <f t="shared" si="234"/>
        <v xml:space="preserve">local biz(6.25), </v>
      </c>
      <c r="BR116" s="14" t="str">
        <f t="shared" si="289"/>
        <v xml:space="preserve">software(1)
wood(1)
scale(2)
scale(1)
local biz(1)
ease of access(1)
reputation(1)
aesthetics(1)
 </v>
      </c>
      <c r="BS116" s="14" t="str">
        <f t="shared" si="290"/>
        <v xml:space="preserve">biz project(1,%),  </v>
      </c>
      <c r="BT116" s="14" t="str">
        <f t="shared" si="291"/>
        <v xml:space="preserve"> </v>
      </c>
      <c r="BU116"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6" s="14" t="str">
        <f t="shared" si="293"/>
        <v xml:space="preserve">local biz(1,6.25%),  </v>
      </c>
      <c r="BW116" s="27" t="str">
        <f t="shared" si="234"/>
        <v xml:space="preserve">local biz(6.25), </v>
      </c>
      <c r="BX116" s="14" t="str">
        <f t="shared" si="295"/>
        <v xml:space="preserve">software(1)
servers(1)
scale(2)
enthusiasm(1)
local biz(1)
ease of access(1)
reputation(1)
aesthetics(1)
interaction(1)
 </v>
      </c>
      <c r="BY116" s="14" t="str">
        <f t="shared" si="296"/>
        <v xml:space="preserve">biz project(1,%),  </v>
      </c>
      <c r="BZ116" s="14" t="str">
        <f t="shared" si="297"/>
        <v xml:space="preserve"> </v>
      </c>
      <c r="CA116"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6" s="14" t="str">
        <f t="shared" si="299"/>
        <v xml:space="preserve">local biz(1,6.25%),  </v>
      </c>
      <c r="CC116" s="27" t="str">
        <f t="shared" si="300"/>
        <v xml:space="preserve">local biz(6.25), </v>
      </c>
      <c r="CD116" s="14" t="str">
        <f t="shared" si="301"/>
        <v xml:space="preserve">software(1)
servers(1)
scale(2)
enthusiasm(1)
ease of access(1)
reputation(1)
aesthetics(1)
 </v>
      </c>
      <c r="CE116" s="14" t="str">
        <f t="shared" si="302"/>
        <v xml:space="preserve">biz project(1,%),  </v>
      </c>
      <c r="CF116" s="14" t="str">
        <f t="shared" si="303"/>
        <v xml:space="preserve"> </v>
      </c>
      <c r="CG116"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6" s="14" t="str">
        <f t="shared" si="305"/>
        <v xml:space="preserve">local biz(1,6.25%),  </v>
      </c>
      <c r="CI116" s="27" t="str">
        <f t="shared" si="300"/>
        <v xml:space="preserve">local biz(6.25), </v>
      </c>
      <c r="CJ116" s="14" t="str">
        <f t="shared" si="307"/>
        <v xml:space="preserve">software(1)
scale(2)
ease of access(1)
reputation(1)
aesthetics(1)
 </v>
      </c>
      <c r="CK116" s="14" t="str">
        <f t="shared" si="308"/>
        <v xml:space="preserve">biz project(1,%),  </v>
      </c>
      <c r="CL116" s="14" t="str">
        <f t="shared" si="309"/>
        <v xml:space="preserve"> </v>
      </c>
      <c r="CM116" s="14" t="str">
        <f t="shared" si="310"/>
        <v xml:space="preserve">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6" s="14" t="str">
        <f t="shared" si="311"/>
        <v xml:space="preserve">local biz(1,6.25%),  </v>
      </c>
      <c r="CO116" s="27" t="str">
        <f t="shared" si="300"/>
        <v xml:space="preserve">local biz(6.25), </v>
      </c>
      <c r="CP116" s="14" t="str">
        <f t="shared" si="313"/>
        <v xml:space="preserve">metal(1)
scale(2)
enthusiasm(1)
learning capacities(1)
field knowledge(1)
local biz(1)
metal processing(1)
functions(1)
 </v>
      </c>
      <c r="CQ116" s="14" t="str">
        <f t="shared" si="314"/>
        <v xml:space="preserve">local biz(1,50%), biz enhancement(1,50%),  </v>
      </c>
      <c r="CR116" s="14" t="str">
        <f t="shared" si="315"/>
        <v xml:space="preserve">local biz(50)
biz enhancement(50)
 </v>
      </c>
      <c r="CS116"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6" s="14" t="str">
        <f t="shared" si="317"/>
        <v xml:space="preserve">reputation(1,6.25%),  </v>
      </c>
      <c r="CU116" s="27" t="str">
        <f t="shared" si="300"/>
        <v xml:space="preserve">reputation(6.25), </v>
      </c>
      <c r="CV116" s="14" t="str">
        <f t="shared" si="319"/>
        <v xml:space="preserve">software(1)
wood(1)
scale(1)
enthusiasm(2)
learning capacities(1)
non-profits(1)
wood processing(1)
aesthetics(1)
interaction(1)
 </v>
      </c>
      <c r="CW116" s="14" t="str">
        <f t="shared" si="320"/>
        <v xml:space="preserve">non-profits(1,50%), social project(1,50%),  </v>
      </c>
      <c r="CX116" s="14" t="str">
        <f t="shared" si="321"/>
        <v xml:space="preserve">non-profits(50)
social project(50)
 </v>
      </c>
      <c r="CY116"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6" s="14" t="str">
        <f t="shared" si="323"/>
        <v xml:space="preserve">media(1,6.25%), reputation(1,6.25%), portfolio(1,6.25%),  </v>
      </c>
      <c r="DA116" s="27" t="str">
        <f t="shared" si="300"/>
        <v xml:space="preserve">media(6.25),reputation(6.25),portfolio(6.25), </v>
      </c>
      <c r="DB116" s="14" t="str">
        <f t="shared" si="325"/>
        <v xml:space="preserve">software(1)
scale(1)
enthusiasm(2)
learning capacities(1)
non-profits(1)
aesthetics(1)
interaction(1)
 </v>
      </c>
      <c r="DC116" s="14" t="str">
        <f t="shared" si="326"/>
        <v xml:space="preserve">non-profits(1,50%), social project(1,50%),  </v>
      </c>
      <c r="DD116" s="14" t="str">
        <f t="shared" si="327"/>
        <v xml:space="preserve">non-profits(50)
social project(50)
 </v>
      </c>
      <c r="DE116" s="14" t="str">
        <f t="shared" si="328"/>
        <v xml:space="preserve">gifted programmer(1), gifted designer(1), scale(2), enthusiasm(4), agility(2), ambition(4), attention to details(2), fun-ness(2), administrator(2), ease of access(2), efficiency(3), VR&amp;AR(2),  </v>
      </c>
      <c r="DF116" s="14" t="str">
        <f t="shared" si="329"/>
        <v xml:space="preserve">media(1,6.25%), reputation(1,6.25%), portfolio(1,6.25%),  </v>
      </c>
      <c r="DG116" s="27" t="str">
        <f t="shared" si="300"/>
        <v xml:space="preserve">media(6.25),reputation(6.25),portfolio(6.25), </v>
      </c>
      <c r="DH116" s="14" t="str">
        <f t="shared" si="331"/>
        <v xml:space="preserve">software(1)
wood(1)
plastic(1)
scale(2)
enthusiasm(2)
scale(1)
wood processing(1)
aesthetics(1)
safety(1)
 </v>
      </c>
      <c r="DI116" s="14" t="str">
        <f t="shared" si="332"/>
        <v xml:space="preserve">social project(1,100%),  </v>
      </c>
      <c r="DJ116" s="14" t="str">
        <f t="shared" si="333"/>
        <v xml:space="preserve">social project(100)
 </v>
      </c>
      <c r="DK116" s="14" t="str">
        <f t="shared" si="334"/>
        <v xml:space="preserve">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6" s="14" t="str">
        <f t="shared" si="335"/>
        <v xml:space="preserve">scale(1,6.25%), enthusiasm(1,6.25%), network among members(1,6.25%), enthusiasm(1,6.25%), agility(1,6.25%), fun-ness(1,6.25%), reputation(1,6.25%), portfolio(1,6.25%), team building(1,6.25%),  </v>
      </c>
      <c r="DM116" s="27" t="str">
        <f t="shared" si="300"/>
        <v xml:space="preserve">scale(6.25),enthusiasm(6.25),network among members(6.25),enthusiasm(6.25),agility(6.25),fun-ness(6.25),reputation(6.25),portfolio(6.25),team building(6.25), </v>
      </c>
      <c r="DN116" s="14" t="str">
        <f t="shared" si="337"/>
        <v xml:space="preserve">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6" s="14" t="str">
        <f t="shared" si="338"/>
        <v xml:space="preserve">reputation(1,25%), portfolio(1,50%),  </v>
      </c>
      <c r="DP116" s="14" t="str">
        <f t="shared" si="339"/>
        <v xml:space="preserve">reputation(25)
portfolio(50)
 </v>
      </c>
      <c r="DQ116"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6" s="14" t="str">
        <f t="shared" si="341"/>
        <v xml:space="preserve">suppliers(1,6.25%), reputation(1,6.25%),  </v>
      </c>
      <c r="DS116" s="27" t="str">
        <f t="shared" si="300"/>
        <v xml:space="preserve">suppliers(6.25),reputation(6.25), </v>
      </c>
      <c r="DT116" s="14" t="str">
        <f t="shared" si="343"/>
        <v xml:space="preserve">scale(2)
attention to details(2)
leader(1)
fame(1)
network(2)
reputation(3)
portfolio(2)
 </v>
      </c>
      <c r="DU116" s="14" t="str">
        <f t="shared" si="344"/>
        <v xml:space="preserve">fame(1,25%), govt(1,25%), non-profits(1,50%), reputation(1,25%),  </v>
      </c>
      <c r="DV116" s="14" t="str">
        <f t="shared" si="345"/>
        <v xml:space="preserve">fame(25)
govt(25)
non-profits(50)
reputation(25)
 </v>
      </c>
      <c r="DW116" s="14" t="str">
        <f t="shared" si="346"/>
        <v xml:space="preserve">scale(3), enthusiasm(3), enthusiasm(3), ambition(2), attention to details(2), PR(1), administrator(1), social media(2),  </v>
      </c>
      <c r="DX116" s="14" t="str">
        <f t="shared" si="347"/>
        <v xml:space="preserve">ambition(1,6.25%), fame(1,6.25%), reputation(1,6.25%),  </v>
      </c>
      <c r="DY116" s="27" t="str">
        <f t="shared" si="300"/>
        <v xml:space="preserve">ambition(6.25),fame(6.25),reputation(6.25), </v>
      </c>
      <c r="DZ116" s="14" t="str">
        <f t="shared" si="349"/>
        <v xml:space="preserve"> </v>
      </c>
      <c r="EA116" s="14" t="str">
        <f t="shared" si="350"/>
        <v xml:space="preserve"> </v>
      </c>
      <c r="EB116" s="14" t="str">
        <f t="shared" si="351"/>
        <v xml:space="preserve"> </v>
      </c>
      <c r="EC116" s="14" t="str">
        <f t="shared" si="352"/>
        <v xml:space="preserve"> </v>
      </c>
      <c r="ED116" s="14" t="str">
        <f t="shared" si="353"/>
        <v xml:space="preserve"> </v>
      </c>
      <c r="EE116" s="27" t="str">
        <f t="shared" si="300"/>
        <v xml:space="preserve"> </v>
      </c>
      <c r="EF116" s="14" t="str">
        <f t="shared" si="355"/>
        <v xml:space="preserve"> </v>
      </c>
      <c r="EG116" s="14" t="str">
        <f t="shared" si="356"/>
        <v xml:space="preserve"> </v>
      </c>
      <c r="EH116" s="14" t="str">
        <f t="shared" si="357"/>
        <v xml:space="preserve"> </v>
      </c>
      <c r="EI116" s="14" t="str">
        <f t="shared" si="358"/>
        <v xml:space="preserve"> </v>
      </c>
      <c r="EJ116" s="14" t="str">
        <f t="shared" si="359"/>
        <v xml:space="preserve"> </v>
      </c>
      <c r="EK116" s="27" t="str">
        <f t="shared" si="300"/>
        <v xml:space="preserve"> </v>
      </c>
      <c r="EL116" s="14" t="str">
        <f t="shared" si="361"/>
        <v xml:space="preserve"> </v>
      </c>
      <c r="EM116" s="14" t="str">
        <f t="shared" si="362"/>
        <v xml:space="preserve"> </v>
      </c>
      <c r="EN116" s="14" t="str">
        <f t="shared" si="363"/>
        <v xml:space="preserve"> </v>
      </c>
      <c r="EO116" s="14" t="str">
        <f t="shared" si="364"/>
        <v xml:space="preserve"> </v>
      </c>
      <c r="EP116" s="14" t="str">
        <f t="shared" si="365"/>
        <v xml:space="preserve"> </v>
      </c>
      <c r="EQ116" s="27" t="str">
        <f t="shared" si="366"/>
        <v xml:space="preserve"> </v>
      </c>
      <c r="ER116" s="14" t="str">
        <f t="shared" si="367"/>
        <v xml:space="preserve"> </v>
      </c>
      <c r="ES116" s="14" t="str">
        <f t="shared" si="368"/>
        <v xml:space="preserve"> </v>
      </c>
      <c r="ET116" s="14" t="str">
        <f t="shared" si="369"/>
        <v xml:space="preserve"> </v>
      </c>
      <c r="EU116" s="14" t="str">
        <f t="shared" si="370"/>
        <v xml:space="preserve"> </v>
      </c>
      <c r="EV116" s="14" t="str">
        <f t="shared" si="371"/>
        <v xml:space="preserve"> </v>
      </c>
      <c r="EW116" s="27" t="str">
        <f t="shared" si="366"/>
        <v xml:space="preserve"> </v>
      </c>
      <c r="EX116" s="14" t="str">
        <f t="shared" si="373"/>
        <v xml:space="preserve"> </v>
      </c>
      <c r="EY116" s="14" t="str">
        <f t="shared" si="374"/>
        <v xml:space="preserve"> </v>
      </c>
      <c r="EZ116" s="14" t="str">
        <f t="shared" si="375"/>
        <v xml:space="preserve"> </v>
      </c>
      <c r="FA116" s="14" t="str">
        <f t="shared" si="376"/>
        <v xml:space="preserve"> </v>
      </c>
      <c r="FB116" s="14" t="str">
        <f t="shared" si="377"/>
        <v xml:space="preserve"> </v>
      </c>
      <c r="FC116" s="27" t="str">
        <f t="shared" si="366"/>
        <v xml:space="preserve"> </v>
      </c>
      <c r="FD116" s="14" t="str">
        <f t="shared" si="379"/>
        <v xml:space="preserve"> </v>
      </c>
      <c r="FE116" s="14" t="str">
        <f t="shared" si="380"/>
        <v xml:space="preserve"> </v>
      </c>
      <c r="FF116" s="14" t="str">
        <f t="shared" si="381"/>
        <v xml:space="preserve"> </v>
      </c>
      <c r="FG116" s="14" t="str">
        <f t="shared" si="382"/>
        <v xml:space="preserve"> </v>
      </c>
      <c r="FH116" s="14" t="str">
        <f t="shared" si="383"/>
        <v xml:space="preserve"> </v>
      </c>
      <c r="FI116" s="27" t="str">
        <f t="shared" si="366"/>
        <v xml:space="preserve"> </v>
      </c>
      <c r="FJ116" s="14" t="str">
        <f t="shared" si="385"/>
        <v xml:space="preserve"> </v>
      </c>
      <c r="FK116" s="14" t="str">
        <f t="shared" si="386"/>
        <v xml:space="preserve"> </v>
      </c>
      <c r="FL116" s="14" t="str">
        <f t="shared" si="387"/>
        <v xml:space="preserve"> </v>
      </c>
      <c r="FM116" s="14" t="str">
        <f t="shared" si="388"/>
        <v xml:space="preserve"> </v>
      </c>
      <c r="FN116" s="14" t="str">
        <f t="shared" si="389"/>
        <v xml:space="preserve"> </v>
      </c>
      <c r="FO116" s="27" t="str">
        <f t="shared" si="366"/>
        <v xml:space="preserve"> </v>
      </c>
      <c r="FP116" s="14" t="str">
        <f t="shared" si="391"/>
        <v xml:space="preserve"> </v>
      </c>
      <c r="FQ116" s="14" t="str">
        <f t="shared" si="392"/>
        <v xml:space="preserve"> </v>
      </c>
      <c r="FR116" s="14" t="str">
        <f t="shared" si="393"/>
        <v xml:space="preserve"> </v>
      </c>
      <c r="FS116" s="14" t="str">
        <f t="shared" si="394"/>
        <v xml:space="preserve"> </v>
      </c>
      <c r="FT116" s="14" t="str">
        <f t="shared" si="395"/>
        <v xml:space="preserve"> </v>
      </c>
      <c r="FU116" s="27" t="str">
        <f t="shared" si="366"/>
        <v xml:space="preserve"> </v>
      </c>
      <c r="FV116" s="14" t="str">
        <f t="shared" si="397"/>
        <v xml:space="preserve"> </v>
      </c>
      <c r="FW116" s="14" t="str">
        <f t="shared" si="398"/>
        <v xml:space="preserve"> </v>
      </c>
      <c r="FX116" s="14" t="str">
        <f t="shared" si="399"/>
        <v xml:space="preserve"> </v>
      </c>
      <c r="FY116" s="14" t="str">
        <f t="shared" si="400"/>
        <v xml:space="preserve"> </v>
      </c>
      <c r="FZ116" s="14" t="str">
        <f t="shared" si="401"/>
        <v xml:space="preserve"> </v>
      </c>
      <c r="GA116" s="27" t="str">
        <f t="shared" si="366"/>
        <v xml:space="preserve"> </v>
      </c>
      <c r="GB116" s="14" t="str">
        <f t="shared" si="403"/>
        <v xml:space="preserve"> </v>
      </c>
      <c r="GC116" s="14" t="str">
        <f t="shared" si="404"/>
        <v xml:space="preserve"> </v>
      </c>
      <c r="GD116" s="14" t="str">
        <f t="shared" si="405"/>
        <v xml:space="preserve"> </v>
      </c>
      <c r="GE116" s="14" t="str">
        <f t="shared" si="406"/>
        <v xml:space="preserve"> </v>
      </c>
      <c r="GF116" s="14" t="str">
        <f t="shared" si="407"/>
        <v xml:space="preserve"> </v>
      </c>
      <c r="GG116" s="27" t="str">
        <f t="shared" si="366"/>
        <v xml:space="preserve"> </v>
      </c>
      <c r="GH116" s="14" t="str">
        <f t="shared" si="409"/>
        <v xml:space="preserve"> </v>
      </c>
      <c r="GI116" s="14" t="str">
        <f t="shared" si="410"/>
        <v xml:space="preserve"> </v>
      </c>
      <c r="GJ116" s="14" t="str">
        <f t="shared" si="411"/>
        <v xml:space="preserve"> </v>
      </c>
      <c r="GK116" s="14" t="str">
        <f t="shared" si="412"/>
        <v xml:space="preserve"> </v>
      </c>
      <c r="GL116" s="14" t="str">
        <f t="shared" si="413"/>
        <v xml:space="preserve"> </v>
      </c>
      <c r="GM116" s="27" t="str">
        <f t="shared" si="366"/>
        <v xml:space="preserve"> </v>
      </c>
      <c r="GN116" s="14" t="str">
        <f t="shared" si="415"/>
        <v xml:space="preserve"> </v>
      </c>
      <c r="GO116" s="14" t="str">
        <f t="shared" si="416"/>
        <v xml:space="preserve"> </v>
      </c>
      <c r="GP116" s="14" t="str">
        <f t="shared" si="417"/>
        <v xml:space="preserve"> </v>
      </c>
      <c r="GQ116" s="14" t="str">
        <f t="shared" si="418"/>
        <v xml:space="preserve"> </v>
      </c>
      <c r="GR116" s="14" t="str">
        <f t="shared" si="419"/>
        <v xml:space="preserve"> </v>
      </c>
      <c r="GS116" s="27" t="str">
        <f t="shared" si="366"/>
        <v xml:space="preserve"> </v>
      </c>
      <c r="GT116" s="14" t="str">
        <f t="shared" si="421"/>
        <v xml:space="preserve"> </v>
      </c>
      <c r="GU116" s="14" t="str">
        <f t="shared" si="422"/>
        <v xml:space="preserve"> </v>
      </c>
      <c r="GV116" s="14" t="str">
        <f t="shared" si="423"/>
        <v xml:space="preserve"> </v>
      </c>
      <c r="GW116" s="14" t="str">
        <f t="shared" si="424"/>
        <v xml:space="preserve"> </v>
      </c>
      <c r="GX116" s="14" t="str">
        <f t="shared" si="425"/>
        <v xml:space="preserve"> </v>
      </c>
      <c r="GY116" s="27" t="str">
        <f t="shared" si="366"/>
        <v xml:space="preserve"> </v>
      </c>
      <c r="GZ116" s="14" t="str">
        <f t="shared" si="427"/>
        <v xml:space="preserve"> </v>
      </c>
      <c r="HA116" s="14" t="str">
        <f t="shared" si="428"/>
        <v xml:space="preserve"> </v>
      </c>
      <c r="HB116" s="14" t="str">
        <f t="shared" si="429"/>
        <v xml:space="preserve"> </v>
      </c>
      <c r="HC116" s="14" t="str">
        <f t="shared" si="430"/>
        <v xml:space="preserve"> </v>
      </c>
      <c r="HD116" s="14" t="str">
        <f t="shared" si="431"/>
        <v xml:space="preserve"> </v>
      </c>
      <c r="HE116" s="27" t="str">
        <f t="shared" si="432"/>
        <v xml:space="preserve"> </v>
      </c>
      <c r="HF116" s="14" t="str">
        <f t="shared" si="433"/>
        <v xml:space="preserve"> </v>
      </c>
      <c r="HG116" s="14" t="str">
        <f t="shared" si="434"/>
        <v xml:space="preserve"> </v>
      </c>
      <c r="HH116" s="14" t="str">
        <f t="shared" si="435"/>
        <v xml:space="preserve"> </v>
      </c>
      <c r="HI116" s="14" t="str">
        <f t="shared" si="436"/>
        <v xml:space="preserve"> </v>
      </c>
      <c r="HJ116" s="14" t="str">
        <f t="shared" si="437"/>
        <v xml:space="preserve"> </v>
      </c>
      <c r="HK116" s="27" t="str">
        <f t="shared" si="432"/>
        <v xml:space="preserve"> </v>
      </c>
      <c r="HL116" s="14" t="str">
        <f t="shared" si="439"/>
        <v xml:space="preserve"> </v>
      </c>
      <c r="HM116" s="14" t="str">
        <f t="shared" si="440"/>
        <v xml:space="preserve"> </v>
      </c>
      <c r="HN116" s="14" t="str">
        <f t="shared" si="441"/>
        <v xml:space="preserve"> </v>
      </c>
      <c r="HO116" s="14" t="str">
        <f t="shared" si="442"/>
        <v xml:space="preserve"> </v>
      </c>
      <c r="HP116" s="14" t="str">
        <f t="shared" si="443"/>
        <v xml:space="preserve"> </v>
      </c>
      <c r="HQ116" s="27" t="str">
        <f t="shared" si="432"/>
        <v xml:space="preserve"> </v>
      </c>
    </row>
    <row r="117" spans="1:225" ht="15.75" customHeight="1">
      <c r="A117" s="7">
        <f t="shared" ref="A117:C117" si="456">A9</f>
        <v>0</v>
      </c>
      <c r="B117" s="7">
        <f t="shared" si="456"/>
        <v>0</v>
      </c>
      <c r="C117" s="7" t="str">
        <f t="shared" si="456"/>
        <v>credit</v>
      </c>
      <c r="D117" s="14" t="str">
        <f t="shared" si="446"/>
        <v xml:space="preserve">software(1)
 </v>
      </c>
      <c r="E117" s="14" t="str">
        <f t="shared" si="447"/>
        <v xml:space="preserve"> </v>
      </c>
      <c r="F117" s="14" t="str">
        <f t="shared" si="448"/>
        <v xml:space="preserve"> </v>
      </c>
      <c r="G117" s="14" t="str">
        <f t="shared" si="449"/>
        <v xml:space="preserve">servers(1), wood(1), metal(1), plastic(1), electronics(1), fabric(1), scale(1), attention to details(1.1), efficiency(1), user rules and manuals(2.1), organizational rules and manuals(2.1),  </v>
      </c>
      <c r="H117" s="14" t="str">
        <f t="shared" si="450"/>
        <v xml:space="preserve">servers(-1,6.25%), wood(-1,6.25%), metal(-1,6.25%), plastic(-1,6.25%), electronics(-1,6.25%), fabric(-1,6.25%), scale(-1,6.25%), efficiency(-1,6.25%),  </v>
      </c>
      <c r="I117" s="27" t="str">
        <f t="shared" ref="I117" si="457">IF(I9="",I118,$C117&amp;"("&amp;I9&amp;"),"&amp;I118)</f>
        <v xml:space="preserve">servers(6.25),wood(6.25),metal(6.25),plastic(6.25),electronics(6.25),fabric(6.25),scale(6.25),efficiency(6.25), </v>
      </c>
      <c r="J117" s="14" t="str">
        <f t="shared" si="229"/>
        <v xml:space="preserve">scale(1)
enthusiasm(1)
 </v>
      </c>
      <c r="K117" s="14" t="str">
        <f t="shared" si="230"/>
        <v xml:space="preserve">scale(-1,12.5%), enthusiasm(-1,25%),  </v>
      </c>
      <c r="L117" s="14" t="str">
        <f t="shared" si="231"/>
        <v xml:space="preserve">scale(12.5)
enthusiasm(25)
 </v>
      </c>
      <c r="M117" s="14" t="str">
        <f t="shared" si="232"/>
        <v xml:space="preserve">scale(1.1), efficiency(0.1), organizational rules and manuals(1.1),  </v>
      </c>
      <c r="N117" s="14" t="str">
        <f t="shared" si="233"/>
        <v xml:space="preserve">agility(-1,6.75%), ambition(-1,6.75%), fun-ness(-1,6.75%), initiative(-1,6.75%),  </v>
      </c>
      <c r="O117" s="27" t="str">
        <f t="shared" si="234"/>
        <v xml:space="preserve">agility(6.75),ambition(6.75),fun-ness(6.75),initiative(6.75), </v>
      </c>
      <c r="P117" s="14" t="str">
        <f t="shared" si="235"/>
        <v xml:space="preserve">scale(1)
enthusiasm(1)
 </v>
      </c>
      <c r="Q117" s="14" t="str">
        <f t="shared" si="236"/>
        <v xml:space="preserve">enthusiasm(-1,50%), gifted leader(-1,25%), gifted programmer(-1,25%), gifted designer(-1,25%),  </v>
      </c>
      <c r="R117" s="14" t="str">
        <f t="shared" si="237"/>
        <v xml:space="preserve">enthusiasm(50)
gifted leader(25)
gifted programmer(25)
gifted designer(25)
 </v>
      </c>
      <c r="S117" s="14" t="str">
        <f t="shared" si="238"/>
        <v xml:space="preserve">scale(1), network among members(0.1), gifted leader(1), gifted programmer(1), gifted designer(1), ambition(1), attention to details(0.1), community manager(0.1), team building(0.1),  </v>
      </c>
      <c r="T117" s="14" t="str">
        <f t="shared" si="239"/>
        <v xml:space="preserve">ambition(-1,%), business model(-1,6.25%), web(-1,6.25%), mobile apps(-1,6.25%), aesthetics(-1,6.25%),  </v>
      </c>
      <c r="U117" s="27" t="str">
        <f t="shared" si="234"/>
        <v xml:space="preserve">business model(6.25),web(6.25),mobile apps(6.25),aesthetics(6.25), </v>
      </c>
      <c r="V117" s="14" t="str">
        <f t="shared" si="241"/>
        <v xml:space="preserve">scale(1)
scale(1)
 </v>
      </c>
      <c r="W117" s="14" t="str">
        <f t="shared" si="242"/>
        <v xml:space="preserve">enthusiasm(-1,25%), enthusiasm(-1,25%), efficiency(-1,25%),  </v>
      </c>
      <c r="X117" s="14" t="str">
        <f t="shared" si="243"/>
        <v xml:space="preserve">enthusiasm(25)
enthusiasm(25)
efficiency(25)
 </v>
      </c>
      <c r="Y117" s="14" t="str">
        <f t="shared" si="244"/>
        <v xml:space="preserve">community manager(0.1), administrator(0.1), spaciousness(1), ease of access(3), reputation(2), user rules and manuals(0.1), project management(0.1), negotiation(0.1),  </v>
      </c>
      <c r="Z117" s="14" t="str">
        <f t="shared" si="245"/>
        <v xml:space="preserve">scale(-1,6.25%), reputation(-1,%),  </v>
      </c>
      <c r="AA117" s="27" t="str">
        <f t="shared" si="234"/>
        <v xml:space="preserve">scale(6.25), </v>
      </c>
      <c r="AB117" s="14" t="str">
        <f t="shared" si="247"/>
        <v xml:space="preserve"> </v>
      </c>
      <c r="AC117" s="14" t="str">
        <f t="shared" si="248"/>
        <v xml:space="preserve"> </v>
      </c>
      <c r="AD117" s="14" t="str">
        <f t="shared" si="249"/>
        <v xml:space="preserve"> </v>
      </c>
      <c r="AE117" s="14" t="str">
        <f t="shared" si="250"/>
        <v xml:space="preserve">scale(3), network among members(0.1), scale(1.1), attention to details(0.1), seriousness(0.1), initiative(0.1), spaciousness(1), user rules and manuals(1.1), organizational rules and manuals(1.1),  </v>
      </c>
      <c r="AF117" s="14" t="str">
        <f t="shared" si="251"/>
        <v xml:space="preserve">wood(-1,6.25%), fabric(-1,6.25%), enthusiasm(-1,6.25%), enthusiasm(-1,%), local biz(-1,6.25%), investors(-1,6.25%), non-profits(-1,6.25%), efficiency(-1,6.25%),  </v>
      </c>
      <c r="AG117" s="27" t="str">
        <f t="shared" si="234"/>
        <v xml:space="preserve">wood(6.25),fabric(6.25),enthusiasm(6.25),local biz(6.25),investors(6.25),non-profits(6.25),efficiency(6.25), </v>
      </c>
      <c r="AH117" s="14" t="str">
        <f t="shared" si="253"/>
        <v xml:space="preserve">scale(1)
enthusiasm(2)
fun-ness(1)
ease of access(1)
reputation(1)
 </v>
      </c>
      <c r="AI117" s="14" t="str">
        <f t="shared" si="254"/>
        <v xml:space="preserve">enthusiasm(-1,25%),  </v>
      </c>
      <c r="AJ117" s="14" t="str">
        <f t="shared" si="255"/>
        <v xml:space="preserve">enthusiasm(25)
 </v>
      </c>
      <c r="AK117" s="14" t="str">
        <f t="shared" si="256"/>
        <v xml:space="preserve">scale(2), enthusiasm(2), scale(3.1), attention to details(2.1), seriousness(2.1), community manager(2.1), administrator(2.1), spaciousness(1), ease of access(1), reputation(2), user rules and manuals(2.1), organizational rules and manuals(2.1), law(1.1), negotiation(1.1),  </v>
      </c>
      <c r="AL117" s="14" t="str">
        <f t="shared" si="257"/>
        <v xml:space="preserve">scale(-1,6.25%), enthusiasm(-1,6.25%), govt(-1,6.25%), non-profits(-1,6.25%), reputation(-1,6.25%),  </v>
      </c>
      <c r="AM117" s="27" t="str">
        <f t="shared" si="234"/>
        <v xml:space="preserve">scale(6.25),enthusiasm(6.25),govt(6.25),non-profits(6.25),reputation(6.25), </v>
      </c>
      <c r="AN117" s="14" t="str">
        <f t="shared" si="259"/>
        <v xml:space="preserve">scale(1)
fun-ness(1)
seriousness(1)
 </v>
      </c>
      <c r="AO117" s="14" t="str">
        <f t="shared" si="260"/>
        <v xml:space="preserve">scale(-1,25%), enthusiasm(-1,25%), enthusiasm(-1,25%),  </v>
      </c>
      <c r="AP117" s="14" t="str">
        <f t="shared" si="261"/>
        <v xml:space="preserve">scale(25)
enthusiasm(25)
enthusiasm(25)
 </v>
      </c>
      <c r="AQ117" s="14" t="str">
        <f t="shared" si="262"/>
        <v xml:space="preserve">scale(1), fun-ness(1), spaciousness(2.1), reputation(3), organizational rules and manuals(2.1), team building(2.1),  </v>
      </c>
      <c r="AR117" s="14" t="str">
        <f t="shared" si="263"/>
        <v xml:space="preserve">enthusiasm(-1,12.5%), fun-ness(-1,6.25%), reputation(-1,6.25%), efficiency(-1,6.25%),  </v>
      </c>
      <c r="AS117" s="27" t="str">
        <f t="shared" si="234"/>
        <v xml:space="preserve">enthusiasm(12.5),fun-ness(6.25),reputation(6.25),efficiency(6.25), </v>
      </c>
      <c r="AT117" s="14" t="str">
        <f t="shared" si="265"/>
        <v xml:space="preserve">scale(1)
enthusiasm(1)
network among members(3.1)
 </v>
      </c>
      <c r="AU117" s="14" t="str">
        <f t="shared" si="266"/>
        <v xml:space="preserve">scale(-1,25%), enthusiasm(-1,25%),  </v>
      </c>
      <c r="AV117" s="14" t="str">
        <f t="shared" si="267"/>
        <v xml:space="preserve">scale(25)
enthusiasm(25)
 </v>
      </c>
      <c r="AW117" s="14" t="str">
        <f t="shared" si="268"/>
        <v xml:space="preserve">scale(1), enthusiasm(1), attention to details(3.1), fun-ness(3.1), seriousness(3.1), initiative(2.1), leader(2.1), community manager(2.1), user rules and manuals(2.1), team building(2.1),  </v>
      </c>
      <c r="AX117" s="14" t="str">
        <f t="shared" si="269"/>
        <v xml:space="preserve">field knowledge(-1,6.25%), network among members(-1,6.25%), gifted assistant(-1,6.25%),  </v>
      </c>
      <c r="AY117" s="27" t="str">
        <f t="shared" si="234"/>
        <v xml:space="preserve">field knowledge(6.25),network among members(6.25),gifted assistant(6.25), </v>
      </c>
      <c r="AZ117" s="14" t="str">
        <f t="shared" si="271"/>
        <v xml:space="preserve">wood(1)
scale(1)
 </v>
      </c>
      <c r="BA117" s="14" t="str">
        <f t="shared" si="272"/>
        <v xml:space="preserve">enthusiasm(-1,12.5%), attention to details(1,12.5%), fun-ness(-1,12.5%), seriousness(1,12.5%), efficiency(-1,12.5%), user rules and manuals(1,25%),  </v>
      </c>
      <c r="BB117" s="14" t="str">
        <f t="shared" si="273"/>
        <v xml:space="preserve">enthusiasm(12.5)
attention to details(12.5)
fun-ness(12.5)
seriousness(12.5)
efficiency(12.5)
user rules and manuals(25)
 </v>
      </c>
      <c r="BC117" s="14" t="str">
        <f t="shared" si="274"/>
        <v xml:space="preserve">wood(1), scale(1), agility(1.1), attention to details(1.1), seriousness(1.1), community manager(1.1), administrator(1.1), user rules and manuals(2.1), organizational rules and manuals(2.1),  </v>
      </c>
      <c r="BD117" s="14" t="str">
        <f t="shared" si="275"/>
        <v xml:space="preserve">wood(-1,6.25%), scale(-1,6.25%), enthusiasm(-1,6.25%), reputation(-1,6.25%),  </v>
      </c>
      <c r="BE117" s="27" t="str">
        <f t="shared" si="234"/>
        <v xml:space="preserve">wood(6.25),scale(6.25),enthusiasm(6.25),reputation(6.25), </v>
      </c>
      <c r="BF117" s="14" t="str">
        <f t="shared" si="277"/>
        <v xml:space="preserve"> </v>
      </c>
      <c r="BG117" s="14" t="str">
        <f t="shared" si="278"/>
        <v xml:space="preserve">plastic(-1,25%), enthusiasm(-1,25%), enthusiasm(-1,25%), attention to details(1,25%), fun-ness(-1,25%), seriousness(1,25%), user rules and manuals(1,25%), organizational rules and manuals(1,25%),  </v>
      </c>
      <c r="BH117" s="14" t="str">
        <f t="shared" si="279"/>
        <v xml:space="preserve">plastic(25)
enthusiasm(25)
enthusiasm(25)
attention to details(25)
fun-ness(25)
seriousness(25)
user rules and manuals(25)
organizational rules and manuals(25)
 </v>
      </c>
      <c r="BI117" s="14" t="str">
        <f t="shared" si="280"/>
        <v xml:space="preserve">enthusiasm(1), engineering knowledge(1.1), enthusiasm(1), fun-ness(1), seriousness(2.1), community manager(1.1), administrator(1.1),  </v>
      </c>
      <c r="BJ117" s="14" t="str">
        <f t="shared" si="281"/>
        <v xml:space="preserve">reputation(-1,6.25%), efficiency(-1,25%),  </v>
      </c>
      <c r="BK117" s="27" t="str">
        <f t="shared" si="234"/>
        <v xml:space="preserve">reputation(6.25),efficiency(25), </v>
      </c>
      <c r="BL117" s="14" t="str">
        <f t="shared" si="283"/>
        <v xml:space="preserve">software(1)
scale(2)
local biz(1)
ease of access(1)
reputation(1)
aesthetics(1)
 </v>
      </c>
      <c r="BM117" s="14" t="str">
        <f t="shared" si="284"/>
        <v xml:space="preserve">biz enhancement(1,%),  </v>
      </c>
      <c r="BN117" s="14" t="str">
        <f t="shared" si="285"/>
        <v xml:space="preserve"> </v>
      </c>
      <c r="BO117"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7" s="14" t="str">
        <f t="shared" si="287"/>
        <v xml:space="preserve">local biz(1,6.25%),  </v>
      </c>
      <c r="BQ117" s="27" t="str">
        <f t="shared" si="234"/>
        <v xml:space="preserve">local biz(6.25), </v>
      </c>
      <c r="BR117" s="14" t="str">
        <f t="shared" si="289"/>
        <v xml:space="preserve">software(1)
wood(1)
scale(2)
scale(1)
local biz(1)
ease of access(1)
reputation(1)
aesthetics(1)
 </v>
      </c>
      <c r="BS117" s="14" t="str">
        <f t="shared" si="290"/>
        <v xml:space="preserve">biz project(1,%),  </v>
      </c>
      <c r="BT117" s="14" t="str">
        <f t="shared" si="291"/>
        <v xml:space="preserve"> </v>
      </c>
      <c r="BU117"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7" s="14" t="str">
        <f t="shared" si="293"/>
        <v xml:space="preserve">local biz(1,6.25%),  </v>
      </c>
      <c r="BW117" s="27" t="str">
        <f t="shared" si="234"/>
        <v xml:space="preserve">local biz(6.25), </v>
      </c>
      <c r="BX117" s="14" t="str">
        <f t="shared" si="295"/>
        <v xml:space="preserve">software(1)
servers(1)
scale(2)
enthusiasm(1)
local biz(1)
ease of access(1)
reputation(1)
aesthetics(1)
interaction(1)
 </v>
      </c>
      <c r="BY117" s="14" t="str">
        <f t="shared" si="296"/>
        <v xml:space="preserve">biz project(1,%),  </v>
      </c>
      <c r="BZ117" s="14" t="str">
        <f t="shared" si="297"/>
        <v xml:space="preserve"> </v>
      </c>
      <c r="CA117"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7" s="14" t="str">
        <f t="shared" si="299"/>
        <v xml:space="preserve">local biz(1,6.25%),  </v>
      </c>
      <c r="CC117" s="27" t="str">
        <f t="shared" si="300"/>
        <v xml:space="preserve">local biz(6.25), </v>
      </c>
      <c r="CD117" s="14" t="str">
        <f t="shared" si="301"/>
        <v xml:space="preserve">software(1)
servers(1)
scale(2)
enthusiasm(1)
ease of access(1)
reputation(1)
aesthetics(1)
 </v>
      </c>
      <c r="CE117" s="14" t="str">
        <f t="shared" si="302"/>
        <v xml:space="preserve">biz project(1,%),  </v>
      </c>
      <c r="CF117" s="14" t="str">
        <f t="shared" si="303"/>
        <v xml:space="preserve"> </v>
      </c>
      <c r="CG117"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7" s="14" t="str">
        <f t="shared" si="305"/>
        <v xml:space="preserve">local biz(1,6.25%),  </v>
      </c>
      <c r="CI117" s="27" t="str">
        <f t="shared" si="300"/>
        <v xml:space="preserve">local biz(6.25), </v>
      </c>
      <c r="CJ117" s="14" t="str">
        <f t="shared" si="307"/>
        <v xml:space="preserve">software(1)
scale(2)
ease of access(1)
reputation(1)
aesthetics(1)
 </v>
      </c>
      <c r="CK117" s="14" t="str">
        <f t="shared" si="308"/>
        <v xml:space="preserve">biz project(1,%),  </v>
      </c>
      <c r="CL117" s="14" t="str">
        <f t="shared" si="309"/>
        <v xml:space="preserve"> </v>
      </c>
      <c r="CM117" s="14" t="str">
        <f t="shared" si="310"/>
        <v xml:space="preserve">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7" s="14" t="str">
        <f t="shared" si="311"/>
        <v xml:space="preserve">local biz(1,6.25%),  </v>
      </c>
      <c r="CO117" s="27" t="str">
        <f t="shared" si="300"/>
        <v xml:space="preserve">local biz(6.25), </v>
      </c>
      <c r="CP117" s="14" t="str">
        <f t="shared" si="313"/>
        <v xml:space="preserve">metal(1)
scale(2)
enthusiasm(1)
learning capacities(1)
field knowledge(1)
local biz(1)
metal processing(1)
functions(1)
 </v>
      </c>
      <c r="CQ117" s="14" t="str">
        <f t="shared" si="314"/>
        <v xml:space="preserve">local biz(1,50%), biz enhancement(1,50%),  </v>
      </c>
      <c r="CR117" s="14" t="str">
        <f t="shared" si="315"/>
        <v xml:space="preserve">local biz(50)
biz enhancement(50)
 </v>
      </c>
      <c r="CS117"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7" s="14" t="str">
        <f t="shared" si="317"/>
        <v xml:space="preserve">reputation(1,6.25%),  </v>
      </c>
      <c r="CU117" s="27" t="str">
        <f t="shared" si="300"/>
        <v xml:space="preserve">reputation(6.25), </v>
      </c>
      <c r="CV117" s="14" t="str">
        <f t="shared" si="319"/>
        <v xml:space="preserve">software(1)
wood(1)
scale(1)
enthusiasm(2)
learning capacities(1)
non-profits(1)
wood processing(1)
aesthetics(1)
interaction(1)
 </v>
      </c>
      <c r="CW117" s="14" t="str">
        <f t="shared" si="320"/>
        <v xml:space="preserve">non-profits(1,50%), social project(1,50%),  </v>
      </c>
      <c r="CX117" s="14" t="str">
        <f t="shared" si="321"/>
        <v xml:space="preserve">non-profits(50)
social project(50)
 </v>
      </c>
      <c r="CY117"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7" s="14" t="str">
        <f t="shared" si="323"/>
        <v xml:space="preserve">media(1,6.25%), reputation(1,6.25%), portfolio(1,6.25%),  </v>
      </c>
      <c r="DA117" s="27" t="str">
        <f t="shared" si="300"/>
        <v xml:space="preserve">media(6.25),reputation(6.25),portfolio(6.25), </v>
      </c>
      <c r="DB117" s="14" t="str">
        <f t="shared" si="325"/>
        <v xml:space="preserve">software(1)
scale(1)
enthusiasm(2)
learning capacities(1)
non-profits(1)
aesthetics(1)
interaction(1)
 </v>
      </c>
      <c r="DC117" s="14" t="str">
        <f t="shared" si="326"/>
        <v xml:space="preserve">non-profits(1,50%), social project(1,50%),  </v>
      </c>
      <c r="DD117" s="14" t="str">
        <f t="shared" si="327"/>
        <v xml:space="preserve">non-profits(50)
social project(50)
 </v>
      </c>
      <c r="DE117" s="14" t="str">
        <f t="shared" si="328"/>
        <v xml:space="preserve">gifted programmer(1), gifted designer(1), scale(2), enthusiasm(4), agility(2), ambition(4), attention to details(2), fun-ness(2), administrator(2), ease of access(2), efficiency(3), VR&amp;AR(2),  </v>
      </c>
      <c r="DF117" s="14" t="str">
        <f t="shared" si="329"/>
        <v xml:space="preserve">media(1,6.25%), reputation(1,6.25%), portfolio(1,6.25%),  </v>
      </c>
      <c r="DG117" s="27" t="str">
        <f t="shared" si="300"/>
        <v xml:space="preserve">media(6.25),reputation(6.25),portfolio(6.25), </v>
      </c>
      <c r="DH117" s="14" t="str">
        <f t="shared" si="331"/>
        <v xml:space="preserve">software(1)
wood(1)
plastic(1)
scale(2)
enthusiasm(2)
scale(1)
wood processing(1)
aesthetics(1)
safety(1)
 </v>
      </c>
      <c r="DI117" s="14" t="str">
        <f t="shared" si="332"/>
        <v xml:space="preserve">social project(1,100%),  </v>
      </c>
      <c r="DJ117" s="14" t="str">
        <f t="shared" si="333"/>
        <v xml:space="preserve">social project(100)
 </v>
      </c>
      <c r="DK117" s="14" t="str">
        <f t="shared" si="334"/>
        <v xml:space="preserve">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7" s="14" t="str">
        <f t="shared" si="335"/>
        <v xml:space="preserve">scale(1,6.25%), enthusiasm(1,6.25%), network among members(1,6.25%), enthusiasm(1,6.25%), agility(1,6.25%), fun-ness(1,6.25%), reputation(1,6.25%), portfolio(1,6.25%), team building(1,6.25%),  </v>
      </c>
      <c r="DM117" s="27" t="str">
        <f t="shared" si="300"/>
        <v xml:space="preserve">scale(6.25),enthusiasm(6.25),network among members(6.25),enthusiasm(6.25),agility(6.25),fun-ness(6.25),reputation(6.25),portfolio(6.25),team building(6.25), </v>
      </c>
      <c r="DN117" s="14" t="str">
        <f t="shared" si="337"/>
        <v xml:space="preserve">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7" s="14" t="str">
        <f t="shared" si="338"/>
        <v xml:space="preserve">reputation(1,25%), portfolio(1,50%),  </v>
      </c>
      <c r="DP117" s="14" t="str">
        <f t="shared" si="339"/>
        <v xml:space="preserve">reputation(25)
portfolio(50)
 </v>
      </c>
      <c r="DQ117"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7" s="14" t="str">
        <f t="shared" si="341"/>
        <v xml:space="preserve">suppliers(1,6.25%), reputation(1,6.25%),  </v>
      </c>
      <c r="DS117" s="27" t="str">
        <f t="shared" si="300"/>
        <v xml:space="preserve">suppliers(6.25),reputation(6.25), </v>
      </c>
      <c r="DT117" s="14" t="str">
        <f t="shared" si="343"/>
        <v xml:space="preserve">scale(2)
attention to details(2)
leader(1)
fame(1)
network(2)
reputation(3)
portfolio(2)
 </v>
      </c>
      <c r="DU117" s="14" t="str">
        <f t="shared" si="344"/>
        <v xml:space="preserve">fame(1,25%), govt(1,25%), non-profits(1,50%), reputation(1,25%),  </v>
      </c>
      <c r="DV117" s="14" t="str">
        <f t="shared" si="345"/>
        <v xml:space="preserve">fame(25)
govt(25)
non-profits(50)
reputation(25)
 </v>
      </c>
      <c r="DW117" s="14" t="str">
        <f t="shared" si="346"/>
        <v xml:space="preserve">scale(3), enthusiasm(3), enthusiasm(3), ambition(2), attention to details(2), PR(1), administrator(1), social media(2),  </v>
      </c>
      <c r="DX117" s="14" t="str">
        <f t="shared" si="347"/>
        <v xml:space="preserve">ambition(1,6.25%), fame(1,6.25%), reputation(1,6.25%),  </v>
      </c>
      <c r="DY117" s="27" t="str">
        <f t="shared" si="300"/>
        <v xml:space="preserve">ambition(6.25),fame(6.25),reputation(6.25), </v>
      </c>
      <c r="DZ117" s="14" t="str">
        <f t="shared" si="349"/>
        <v xml:space="preserve"> </v>
      </c>
      <c r="EA117" s="14" t="str">
        <f t="shared" si="350"/>
        <v xml:space="preserve"> </v>
      </c>
      <c r="EB117" s="14" t="str">
        <f t="shared" si="351"/>
        <v xml:space="preserve"> </v>
      </c>
      <c r="EC117" s="14" t="str">
        <f t="shared" si="352"/>
        <v xml:space="preserve"> </v>
      </c>
      <c r="ED117" s="14" t="str">
        <f t="shared" si="353"/>
        <v xml:space="preserve"> </v>
      </c>
      <c r="EE117" s="27" t="str">
        <f t="shared" si="300"/>
        <v xml:space="preserve"> </v>
      </c>
      <c r="EF117" s="14" t="str">
        <f t="shared" si="355"/>
        <v xml:space="preserve"> </v>
      </c>
      <c r="EG117" s="14" t="str">
        <f t="shared" si="356"/>
        <v xml:space="preserve"> </v>
      </c>
      <c r="EH117" s="14" t="str">
        <f t="shared" si="357"/>
        <v xml:space="preserve"> </v>
      </c>
      <c r="EI117" s="14" t="str">
        <f t="shared" si="358"/>
        <v xml:space="preserve"> </v>
      </c>
      <c r="EJ117" s="14" t="str">
        <f t="shared" si="359"/>
        <v xml:space="preserve"> </v>
      </c>
      <c r="EK117" s="27" t="str">
        <f t="shared" si="300"/>
        <v xml:space="preserve"> </v>
      </c>
      <c r="EL117" s="14" t="str">
        <f t="shared" si="361"/>
        <v xml:space="preserve"> </v>
      </c>
      <c r="EM117" s="14" t="str">
        <f t="shared" si="362"/>
        <v xml:space="preserve"> </v>
      </c>
      <c r="EN117" s="14" t="str">
        <f t="shared" si="363"/>
        <v xml:space="preserve"> </v>
      </c>
      <c r="EO117" s="14" t="str">
        <f t="shared" si="364"/>
        <v xml:space="preserve"> </v>
      </c>
      <c r="EP117" s="14" t="str">
        <f t="shared" si="365"/>
        <v xml:space="preserve"> </v>
      </c>
      <c r="EQ117" s="27" t="str">
        <f t="shared" si="366"/>
        <v xml:space="preserve"> </v>
      </c>
      <c r="ER117" s="14" t="str">
        <f t="shared" si="367"/>
        <v xml:space="preserve"> </v>
      </c>
      <c r="ES117" s="14" t="str">
        <f t="shared" si="368"/>
        <v xml:space="preserve"> </v>
      </c>
      <c r="ET117" s="14" t="str">
        <f t="shared" si="369"/>
        <v xml:space="preserve"> </v>
      </c>
      <c r="EU117" s="14" t="str">
        <f t="shared" si="370"/>
        <v xml:space="preserve"> </v>
      </c>
      <c r="EV117" s="14" t="str">
        <f t="shared" si="371"/>
        <v xml:space="preserve"> </v>
      </c>
      <c r="EW117" s="27" t="str">
        <f t="shared" si="366"/>
        <v xml:space="preserve"> </v>
      </c>
      <c r="EX117" s="14" t="str">
        <f t="shared" si="373"/>
        <v xml:space="preserve"> </v>
      </c>
      <c r="EY117" s="14" t="str">
        <f t="shared" si="374"/>
        <v xml:space="preserve"> </v>
      </c>
      <c r="EZ117" s="14" t="str">
        <f t="shared" si="375"/>
        <v xml:space="preserve"> </v>
      </c>
      <c r="FA117" s="14" t="str">
        <f t="shared" si="376"/>
        <v xml:space="preserve"> </v>
      </c>
      <c r="FB117" s="14" t="str">
        <f t="shared" si="377"/>
        <v xml:space="preserve"> </v>
      </c>
      <c r="FC117" s="27" t="str">
        <f t="shared" si="366"/>
        <v xml:space="preserve"> </v>
      </c>
      <c r="FD117" s="14" t="str">
        <f t="shared" si="379"/>
        <v xml:space="preserve"> </v>
      </c>
      <c r="FE117" s="14" t="str">
        <f t="shared" si="380"/>
        <v xml:space="preserve"> </v>
      </c>
      <c r="FF117" s="14" t="str">
        <f t="shared" si="381"/>
        <v xml:space="preserve"> </v>
      </c>
      <c r="FG117" s="14" t="str">
        <f t="shared" si="382"/>
        <v xml:space="preserve"> </v>
      </c>
      <c r="FH117" s="14" t="str">
        <f t="shared" si="383"/>
        <v xml:space="preserve"> </v>
      </c>
      <c r="FI117" s="27" t="str">
        <f t="shared" si="366"/>
        <v xml:space="preserve"> </v>
      </c>
      <c r="FJ117" s="14" t="str">
        <f t="shared" si="385"/>
        <v xml:space="preserve"> </v>
      </c>
      <c r="FK117" s="14" t="str">
        <f t="shared" si="386"/>
        <v xml:space="preserve"> </v>
      </c>
      <c r="FL117" s="14" t="str">
        <f t="shared" si="387"/>
        <v xml:space="preserve"> </v>
      </c>
      <c r="FM117" s="14" t="str">
        <f t="shared" si="388"/>
        <v xml:space="preserve"> </v>
      </c>
      <c r="FN117" s="14" t="str">
        <f t="shared" si="389"/>
        <v xml:space="preserve"> </v>
      </c>
      <c r="FO117" s="27" t="str">
        <f t="shared" si="366"/>
        <v xml:space="preserve"> </v>
      </c>
      <c r="FP117" s="14" t="str">
        <f t="shared" si="391"/>
        <v xml:space="preserve"> </v>
      </c>
      <c r="FQ117" s="14" t="str">
        <f t="shared" si="392"/>
        <v xml:space="preserve"> </v>
      </c>
      <c r="FR117" s="14" t="str">
        <f t="shared" si="393"/>
        <v xml:space="preserve"> </v>
      </c>
      <c r="FS117" s="14" t="str">
        <f t="shared" si="394"/>
        <v xml:space="preserve"> </v>
      </c>
      <c r="FT117" s="14" t="str">
        <f t="shared" si="395"/>
        <v xml:space="preserve"> </v>
      </c>
      <c r="FU117" s="27" t="str">
        <f t="shared" si="366"/>
        <v xml:space="preserve"> </v>
      </c>
      <c r="FV117" s="14" t="str">
        <f t="shared" si="397"/>
        <v xml:space="preserve"> </v>
      </c>
      <c r="FW117" s="14" t="str">
        <f t="shared" si="398"/>
        <v xml:space="preserve"> </v>
      </c>
      <c r="FX117" s="14" t="str">
        <f t="shared" si="399"/>
        <v xml:space="preserve"> </v>
      </c>
      <c r="FY117" s="14" t="str">
        <f t="shared" si="400"/>
        <v xml:space="preserve"> </v>
      </c>
      <c r="FZ117" s="14" t="str">
        <f t="shared" si="401"/>
        <v xml:space="preserve"> </v>
      </c>
      <c r="GA117" s="27" t="str">
        <f t="shared" si="366"/>
        <v xml:space="preserve"> </v>
      </c>
      <c r="GB117" s="14" t="str">
        <f t="shared" si="403"/>
        <v xml:space="preserve"> </v>
      </c>
      <c r="GC117" s="14" t="str">
        <f t="shared" si="404"/>
        <v xml:space="preserve"> </v>
      </c>
      <c r="GD117" s="14" t="str">
        <f t="shared" si="405"/>
        <v xml:space="preserve"> </v>
      </c>
      <c r="GE117" s="14" t="str">
        <f t="shared" si="406"/>
        <v xml:space="preserve"> </v>
      </c>
      <c r="GF117" s="14" t="str">
        <f t="shared" si="407"/>
        <v xml:space="preserve"> </v>
      </c>
      <c r="GG117" s="27" t="str">
        <f t="shared" si="366"/>
        <v xml:space="preserve"> </v>
      </c>
      <c r="GH117" s="14" t="str">
        <f t="shared" si="409"/>
        <v xml:space="preserve"> </v>
      </c>
      <c r="GI117" s="14" t="str">
        <f t="shared" si="410"/>
        <v xml:space="preserve"> </v>
      </c>
      <c r="GJ117" s="14" t="str">
        <f t="shared" si="411"/>
        <v xml:space="preserve"> </v>
      </c>
      <c r="GK117" s="14" t="str">
        <f t="shared" si="412"/>
        <v xml:space="preserve"> </v>
      </c>
      <c r="GL117" s="14" t="str">
        <f t="shared" si="413"/>
        <v xml:space="preserve"> </v>
      </c>
      <c r="GM117" s="27" t="str">
        <f t="shared" si="366"/>
        <v xml:space="preserve"> </v>
      </c>
      <c r="GN117" s="14" t="str">
        <f t="shared" si="415"/>
        <v xml:space="preserve"> </v>
      </c>
      <c r="GO117" s="14" t="str">
        <f t="shared" si="416"/>
        <v xml:space="preserve"> </v>
      </c>
      <c r="GP117" s="14" t="str">
        <f t="shared" si="417"/>
        <v xml:space="preserve"> </v>
      </c>
      <c r="GQ117" s="14" t="str">
        <f t="shared" si="418"/>
        <v xml:space="preserve"> </v>
      </c>
      <c r="GR117" s="14" t="str">
        <f t="shared" si="419"/>
        <v xml:space="preserve"> </v>
      </c>
      <c r="GS117" s="27" t="str">
        <f t="shared" si="366"/>
        <v xml:space="preserve"> </v>
      </c>
      <c r="GT117" s="14" t="str">
        <f t="shared" si="421"/>
        <v xml:space="preserve"> </v>
      </c>
      <c r="GU117" s="14" t="str">
        <f t="shared" si="422"/>
        <v xml:space="preserve"> </v>
      </c>
      <c r="GV117" s="14" t="str">
        <f t="shared" si="423"/>
        <v xml:space="preserve"> </v>
      </c>
      <c r="GW117" s="14" t="str">
        <f t="shared" si="424"/>
        <v xml:space="preserve"> </v>
      </c>
      <c r="GX117" s="14" t="str">
        <f t="shared" si="425"/>
        <v xml:space="preserve"> </v>
      </c>
      <c r="GY117" s="27" t="str">
        <f t="shared" si="366"/>
        <v xml:space="preserve"> </v>
      </c>
      <c r="GZ117" s="14" t="str">
        <f t="shared" si="427"/>
        <v xml:space="preserve"> </v>
      </c>
      <c r="HA117" s="14" t="str">
        <f t="shared" si="428"/>
        <v xml:space="preserve"> </v>
      </c>
      <c r="HB117" s="14" t="str">
        <f t="shared" si="429"/>
        <v xml:space="preserve"> </v>
      </c>
      <c r="HC117" s="14" t="str">
        <f t="shared" si="430"/>
        <v xml:space="preserve"> </v>
      </c>
      <c r="HD117" s="14" t="str">
        <f t="shared" si="431"/>
        <v xml:space="preserve"> </v>
      </c>
      <c r="HE117" s="27" t="str">
        <f t="shared" si="432"/>
        <v xml:space="preserve"> </v>
      </c>
      <c r="HF117" s="14" t="str">
        <f t="shared" si="433"/>
        <v xml:space="preserve"> </v>
      </c>
      <c r="HG117" s="14" t="str">
        <f t="shared" si="434"/>
        <v xml:space="preserve"> </v>
      </c>
      <c r="HH117" s="14" t="str">
        <f t="shared" si="435"/>
        <v xml:space="preserve"> </v>
      </c>
      <c r="HI117" s="14" t="str">
        <f t="shared" si="436"/>
        <v xml:space="preserve"> </v>
      </c>
      <c r="HJ117" s="14" t="str">
        <f t="shared" si="437"/>
        <v xml:space="preserve"> </v>
      </c>
      <c r="HK117" s="27" t="str">
        <f t="shared" si="432"/>
        <v xml:space="preserve"> </v>
      </c>
      <c r="HL117" s="14" t="str">
        <f t="shared" si="439"/>
        <v xml:space="preserve"> </v>
      </c>
      <c r="HM117" s="14" t="str">
        <f t="shared" si="440"/>
        <v xml:space="preserve"> </v>
      </c>
      <c r="HN117" s="14" t="str">
        <f t="shared" si="441"/>
        <v xml:space="preserve"> </v>
      </c>
      <c r="HO117" s="14" t="str">
        <f t="shared" si="442"/>
        <v xml:space="preserve"> </v>
      </c>
      <c r="HP117" s="14" t="str">
        <f t="shared" si="443"/>
        <v xml:space="preserve"> </v>
      </c>
      <c r="HQ117" s="27" t="str">
        <f t="shared" si="432"/>
        <v xml:space="preserve"> </v>
      </c>
    </row>
    <row r="118" spans="1:225" ht="15.75" customHeight="1">
      <c r="A118" s="7">
        <f t="shared" ref="A118:C118" si="458">A10</f>
        <v>0</v>
      </c>
      <c r="B118" s="7" t="str">
        <f t="shared" si="458"/>
        <v>facilities</v>
      </c>
      <c r="C118" s="7" t="str">
        <f t="shared" si="458"/>
        <v>software</v>
      </c>
      <c r="D118" s="14" t="str">
        <f t="shared" si="446"/>
        <v xml:space="preserve">software(1)
 </v>
      </c>
      <c r="E118" s="14" t="str">
        <f t="shared" si="447"/>
        <v xml:space="preserve"> </v>
      </c>
      <c r="F118" s="14" t="str">
        <f t="shared" si="448"/>
        <v xml:space="preserve"> </v>
      </c>
      <c r="G118" s="14" t="str">
        <f t="shared" si="449"/>
        <v xml:space="preserve">servers(1), wood(1), metal(1), plastic(1), electronics(1), fabric(1), scale(1), attention to details(1.1), efficiency(1), user rules and manuals(2.1), organizational rules and manuals(2.1),  </v>
      </c>
      <c r="H118" s="14" t="str">
        <f t="shared" si="450"/>
        <v xml:space="preserve">servers(-1,6.25%), wood(-1,6.25%), metal(-1,6.25%), plastic(-1,6.25%), electronics(-1,6.25%), fabric(-1,6.25%), scale(-1,6.25%), efficiency(-1,6.25%),  </v>
      </c>
      <c r="I118" s="27" t="str">
        <f t="shared" ref="I118" si="459">IF(I10="",I119,$C118&amp;"("&amp;I10&amp;"),"&amp;I119)</f>
        <v xml:space="preserve">servers(6.25),wood(6.25),metal(6.25),plastic(6.25),electronics(6.25),fabric(6.25),scale(6.25),efficiency(6.25), </v>
      </c>
      <c r="J118" s="14" t="str">
        <f t="shared" si="229"/>
        <v xml:space="preserve">scale(1)
enthusiasm(1)
 </v>
      </c>
      <c r="K118" s="14" t="str">
        <f t="shared" si="230"/>
        <v xml:space="preserve">scale(-1,12.5%), enthusiasm(-1,25%),  </v>
      </c>
      <c r="L118" s="14" t="str">
        <f t="shared" si="231"/>
        <v xml:space="preserve">scale(12.5)
enthusiasm(25)
 </v>
      </c>
      <c r="M118" s="14" t="str">
        <f t="shared" si="232"/>
        <v xml:space="preserve">scale(1.1), efficiency(0.1), organizational rules and manuals(1.1),  </v>
      </c>
      <c r="N118" s="14" t="str">
        <f t="shared" si="233"/>
        <v xml:space="preserve">agility(-1,6.75%), ambition(-1,6.75%), fun-ness(-1,6.75%), initiative(-1,6.75%),  </v>
      </c>
      <c r="O118" s="27" t="str">
        <f t="shared" si="234"/>
        <v xml:space="preserve">agility(6.75),ambition(6.75),fun-ness(6.75),initiative(6.75), </v>
      </c>
      <c r="P118" s="14" t="str">
        <f t="shared" si="235"/>
        <v xml:space="preserve">scale(1)
enthusiasm(1)
 </v>
      </c>
      <c r="Q118" s="14" t="str">
        <f t="shared" si="236"/>
        <v xml:space="preserve">enthusiasm(-1,50%), gifted leader(-1,25%), gifted programmer(-1,25%), gifted designer(-1,25%),  </v>
      </c>
      <c r="R118" s="14" t="str">
        <f t="shared" si="237"/>
        <v xml:space="preserve">enthusiasm(50)
gifted leader(25)
gifted programmer(25)
gifted designer(25)
 </v>
      </c>
      <c r="S118" s="14" t="str">
        <f t="shared" si="238"/>
        <v xml:space="preserve">scale(1), network among members(0.1), gifted leader(1), gifted programmer(1), gifted designer(1), ambition(1), attention to details(0.1), community manager(0.1), team building(0.1),  </v>
      </c>
      <c r="T118" s="14" t="str">
        <f t="shared" si="239"/>
        <v xml:space="preserve">ambition(-1,%), business model(-1,6.25%), web(-1,6.25%), mobile apps(-1,6.25%), aesthetics(-1,6.25%),  </v>
      </c>
      <c r="U118" s="27" t="str">
        <f t="shared" si="234"/>
        <v xml:space="preserve">business model(6.25),web(6.25),mobile apps(6.25),aesthetics(6.25), </v>
      </c>
      <c r="V118" s="14" t="str">
        <f t="shared" si="241"/>
        <v xml:space="preserve">scale(1)
scale(1)
 </v>
      </c>
      <c r="W118" s="14" t="str">
        <f t="shared" si="242"/>
        <v xml:space="preserve">enthusiasm(-1,25%), enthusiasm(-1,25%), efficiency(-1,25%),  </v>
      </c>
      <c r="X118" s="14" t="str">
        <f t="shared" si="243"/>
        <v xml:space="preserve">enthusiasm(25)
enthusiasm(25)
efficiency(25)
 </v>
      </c>
      <c r="Y118" s="14" t="str">
        <f t="shared" si="244"/>
        <v xml:space="preserve">community manager(0.1), administrator(0.1), spaciousness(1), ease of access(3), reputation(2), user rules and manuals(0.1), project management(0.1), negotiation(0.1),  </v>
      </c>
      <c r="Z118" s="14" t="str">
        <f t="shared" si="245"/>
        <v xml:space="preserve">scale(-1,6.25%), reputation(-1,%),  </v>
      </c>
      <c r="AA118" s="27" t="str">
        <f t="shared" si="234"/>
        <v xml:space="preserve">scale(6.25), </v>
      </c>
      <c r="AB118" s="14" t="str">
        <f t="shared" si="247"/>
        <v xml:space="preserve"> </v>
      </c>
      <c r="AC118" s="14" t="str">
        <f t="shared" si="248"/>
        <v xml:space="preserve"> </v>
      </c>
      <c r="AD118" s="14" t="str">
        <f t="shared" si="249"/>
        <v xml:space="preserve"> </v>
      </c>
      <c r="AE118" s="14" t="str">
        <f t="shared" si="250"/>
        <v xml:space="preserve">scale(3), network among members(0.1), scale(1.1), attention to details(0.1), seriousness(0.1), initiative(0.1), spaciousness(1), user rules and manuals(1.1), organizational rules and manuals(1.1),  </v>
      </c>
      <c r="AF118" s="14" t="str">
        <f t="shared" si="251"/>
        <v xml:space="preserve">wood(-1,6.25%), fabric(-1,6.25%), enthusiasm(-1,6.25%), enthusiasm(-1,%), local biz(-1,6.25%), investors(-1,6.25%), non-profits(-1,6.25%), efficiency(-1,6.25%),  </v>
      </c>
      <c r="AG118" s="27" t="str">
        <f t="shared" si="234"/>
        <v xml:space="preserve">wood(6.25),fabric(6.25),enthusiasm(6.25),local biz(6.25),investors(6.25),non-profits(6.25),efficiency(6.25), </v>
      </c>
      <c r="AH118" s="14" t="str">
        <f t="shared" si="253"/>
        <v xml:space="preserve">scale(1)
enthusiasm(2)
fun-ness(1)
ease of access(1)
reputation(1)
 </v>
      </c>
      <c r="AI118" s="14" t="str">
        <f t="shared" si="254"/>
        <v xml:space="preserve">enthusiasm(-1,25%),  </v>
      </c>
      <c r="AJ118" s="14" t="str">
        <f t="shared" si="255"/>
        <v xml:space="preserve">enthusiasm(25)
 </v>
      </c>
      <c r="AK118" s="14" t="str">
        <f t="shared" si="256"/>
        <v xml:space="preserve">scale(2), enthusiasm(2), scale(3.1), attention to details(2.1), seriousness(2.1), community manager(2.1), administrator(2.1), spaciousness(1), ease of access(1), reputation(2), user rules and manuals(2.1), organizational rules and manuals(2.1), law(1.1), negotiation(1.1),  </v>
      </c>
      <c r="AL118" s="14" t="str">
        <f t="shared" si="257"/>
        <v xml:space="preserve">scale(-1,6.25%), enthusiasm(-1,6.25%), govt(-1,6.25%), non-profits(-1,6.25%), reputation(-1,6.25%),  </v>
      </c>
      <c r="AM118" s="27" t="str">
        <f t="shared" si="234"/>
        <v xml:space="preserve">scale(6.25),enthusiasm(6.25),govt(6.25),non-profits(6.25),reputation(6.25), </v>
      </c>
      <c r="AN118" s="14" t="str">
        <f t="shared" si="259"/>
        <v xml:space="preserve">scale(1)
fun-ness(1)
seriousness(1)
 </v>
      </c>
      <c r="AO118" s="14" t="str">
        <f t="shared" si="260"/>
        <v xml:space="preserve">scale(-1,25%), enthusiasm(-1,25%), enthusiasm(-1,25%),  </v>
      </c>
      <c r="AP118" s="14" t="str">
        <f t="shared" si="261"/>
        <v xml:space="preserve">scale(25)
enthusiasm(25)
enthusiasm(25)
 </v>
      </c>
      <c r="AQ118" s="14" t="str">
        <f t="shared" si="262"/>
        <v xml:space="preserve">scale(1), fun-ness(1), spaciousness(2.1), reputation(3), organizational rules and manuals(2.1), team building(2.1),  </v>
      </c>
      <c r="AR118" s="14" t="str">
        <f t="shared" si="263"/>
        <v xml:space="preserve">enthusiasm(-1,12.5%), fun-ness(-1,6.25%), reputation(-1,6.25%), efficiency(-1,6.25%),  </v>
      </c>
      <c r="AS118" s="27" t="str">
        <f t="shared" si="234"/>
        <v xml:space="preserve">enthusiasm(12.5),fun-ness(6.25),reputation(6.25),efficiency(6.25), </v>
      </c>
      <c r="AT118" s="14" t="str">
        <f t="shared" si="265"/>
        <v xml:space="preserve">scale(1)
enthusiasm(1)
network among members(3.1)
 </v>
      </c>
      <c r="AU118" s="14" t="str">
        <f t="shared" si="266"/>
        <v xml:space="preserve">scale(-1,25%), enthusiasm(-1,25%),  </v>
      </c>
      <c r="AV118" s="14" t="str">
        <f t="shared" si="267"/>
        <v xml:space="preserve">scale(25)
enthusiasm(25)
 </v>
      </c>
      <c r="AW118" s="14" t="str">
        <f t="shared" si="268"/>
        <v xml:space="preserve">scale(1), enthusiasm(1), attention to details(3.1), fun-ness(3.1), seriousness(3.1), initiative(2.1), leader(2.1), community manager(2.1), user rules and manuals(2.1), team building(2.1),  </v>
      </c>
      <c r="AX118" s="14" t="str">
        <f t="shared" si="269"/>
        <v xml:space="preserve">field knowledge(-1,6.25%), network among members(-1,6.25%), gifted assistant(-1,6.25%),  </v>
      </c>
      <c r="AY118" s="27" t="str">
        <f t="shared" si="234"/>
        <v xml:space="preserve">field knowledge(6.25),network among members(6.25),gifted assistant(6.25), </v>
      </c>
      <c r="AZ118" s="14" t="str">
        <f t="shared" si="271"/>
        <v xml:space="preserve">wood(1)
scale(1)
 </v>
      </c>
      <c r="BA118" s="14" t="str">
        <f t="shared" si="272"/>
        <v xml:space="preserve">enthusiasm(-1,12.5%), attention to details(1,12.5%), fun-ness(-1,12.5%), seriousness(1,12.5%), efficiency(-1,12.5%), user rules and manuals(1,25%),  </v>
      </c>
      <c r="BB118" s="14" t="str">
        <f t="shared" si="273"/>
        <v xml:space="preserve">enthusiasm(12.5)
attention to details(12.5)
fun-ness(12.5)
seriousness(12.5)
efficiency(12.5)
user rules and manuals(25)
 </v>
      </c>
      <c r="BC118" s="14" t="str">
        <f t="shared" si="274"/>
        <v xml:space="preserve">wood(1), scale(1), agility(1.1), attention to details(1.1), seriousness(1.1), community manager(1.1), administrator(1.1), user rules and manuals(2.1), organizational rules and manuals(2.1),  </v>
      </c>
      <c r="BD118" s="14" t="str">
        <f t="shared" si="275"/>
        <v xml:space="preserve">wood(-1,6.25%), scale(-1,6.25%), enthusiasm(-1,6.25%), reputation(-1,6.25%),  </v>
      </c>
      <c r="BE118" s="27" t="str">
        <f t="shared" si="234"/>
        <v xml:space="preserve">wood(6.25),scale(6.25),enthusiasm(6.25),reputation(6.25), </v>
      </c>
      <c r="BF118" s="14" t="str">
        <f t="shared" si="277"/>
        <v xml:space="preserve"> </v>
      </c>
      <c r="BG118" s="14" t="str">
        <f t="shared" si="278"/>
        <v xml:space="preserve">plastic(-1,25%), enthusiasm(-1,25%), enthusiasm(-1,25%), attention to details(1,25%), fun-ness(-1,25%), seriousness(1,25%), user rules and manuals(1,25%), organizational rules and manuals(1,25%),  </v>
      </c>
      <c r="BH118" s="14" t="str">
        <f t="shared" si="279"/>
        <v xml:space="preserve">plastic(25)
enthusiasm(25)
enthusiasm(25)
attention to details(25)
fun-ness(25)
seriousness(25)
user rules and manuals(25)
organizational rules and manuals(25)
 </v>
      </c>
      <c r="BI118" s="14" t="str">
        <f t="shared" si="280"/>
        <v xml:space="preserve">enthusiasm(1), engineering knowledge(1.1), enthusiasm(1), fun-ness(1), seriousness(2.1), community manager(1.1), administrator(1.1),  </v>
      </c>
      <c r="BJ118" s="14" t="str">
        <f t="shared" si="281"/>
        <v xml:space="preserve">reputation(-1,6.25%), efficiency(-1,25%),  </v>
      </c>
      <c r="BK118" s="27" t="str">
        <f t="shared" si="234"/>
        <v xml:space="preserve">reputation(6.25),efficiency(25), </v>
      </c>
      <c r="BL118" s="14" t="str">
        <f t="shared" si="283"/>
        <v xml:space="preserve">software(1)
scale(2)
local biz(1)
ease of access(1)
reputation(1)
aesthetics(1)
 </v>
      </c>
      <c r="BM118" s="14" t="str">
        <f t="shared" si="284"/>
        <v xml:space="preserve">biz enhancement(1,%),  </v>
      </c>
      <c r="BN118" s="14" t="str">
        <f t="shared" si="285"/>
        <v xml:space="preserve"> </v>
      </c>
      <c r="BO118"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8" s="14" t="str">
        <f t="shared" si="287"/>
        <v xml:space="preserve">local biz(1,6.25%),  </v>
      </c>
      <c r="BQ118" s="27" t="str">
        <f t="shared" si="234"/>
        <v xml:space="preserve">local biz(6.25), </v>
      </c>
      <c r="BR118" s="14" t="str">
        <f t="shared" si="289"/>
        <v xml:space="preserve">software(1)
wood(1)
scale(2)
scale(1)
local biz(1)
ease of access(1)
reputation(1)
aesthetics(1)
 </v>
      </c>
      <c r="BS118" s="14" t="str">
        <f t="shared" si="290"/>
        <v xml:space="preserve">biz project(1,%),  </v>
      </c>
      <c r="BT118" s="14" t="str">
        <f t="shared" si="291"/>
        <v xml:space="preserve"> </v>
      </c>
      <c r="BU118"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8" s="14" t="str">
        <f t="shared" si="293"/>
        <v xml:space="preserve">local biz(1,6.25%),  </v>
      </c>
      <c r="BW118" s="27" t="str">
        <f t="shared" si="234"/>
        <v xml:space="preserve">local biz(6.25), </v>
      </c>
      <c r="BX118" s="14" t="str">
        <f t="shared" si="295"/>
        <v xml:space="preserve">software(1)
servers(1)
scale(2)
enthusiasm(1)
local biz(1)
ease of access(1)
reputation(1)
aesthetics(1)
interaction(1)
 </v>
      </c>
      <c r="BY118" s="14" t="str">
        <f t="shared" si="296"/>
        <v xml:space="preserve">biz project(1,%),  </v>
      </c>
      <c r="BZ118" s="14" t="str">
        <f t="shared" si="297"/>
        <v xml:space="preserve"> </v>
      </c>
      <c r="CA118"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8" s="14" t="str">
        <f t="shared" si="299"/>
        <v xml:space="preserve">local biz(1,6.25%),  </v>
      </c>
      <c r="CC118" s="27" t="str">
        <f t="shared" si="300"/>
        <v xml:space="preserve">local biz(6.25), </v>
      </c>
      <c r="CD118" s="14" t="str">
        <f t="shared" si="301"/>
        <v xml:space="preserve">software(1)
servers(1)
scale(2)
enthusiasm(1)
ease of access(1)
reputation(1)
aesthetics(1)
 </v>
      </c>
      <c r="CE118" s="14" t="str">
        <f t="shared" si="302"/>
        <v xml:space="preserve">biz project(1,%),  </v>
      </c>
      <c r="CF118" s="14" t="str">
        <f t="shared" si="303"/>
        <v xml:space="preserve"> </v>
      </c>
      <c r="CG118"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8" s="14" t="str">
        <f t="shared" si="305"/>
        <v xml:space="preserve">local biz(1,6.25%),  </v>
      </c>
      <c r="CI118" s="27" t="str">
        <f t="shared" si="300"/>
        <v xml:space="preserve">local biz(6.25), </v>
      </c>
      <c r="CJ118" s="14" t="str">
        <f t="shared" si="307"/>
        <v xml:space="preserve">software(1)
scale(2)
ease of access(1)
reputation(1)
aesthetics(1)
 </v>
      </c>
      <c r="CK118" s="14" t="str">
        <f t="shared" si="308"/>
        <v xml:space="preserve">biz project(1,%),  </v>
      </c>
      <c r="CL118" s="14" t="str">
        <f t="shared" si="309"/>
        <v xml:space="preserve"> </v>
      </c>
      <c r="CM118" s="14" t="str">
        <f t="shared" si="310"/>
        <v xml:space="preserve">software(2), 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8" s="14" t="str">
        <f t="shared" si="311"/>
        <v xml:space="preserve">local biz(1,6.25%),  </v>
      </c>
      <c r="CO118" s="27" t="str">
        <f t="shared" si="300"/>
        <v xml:space="preserve">local biz(6.25), </v>
      </c>
      <c r="CP118" s="14" t="str">
        <f t="shared" si="313"/>
        <v xml:space="preserve">metal(1)
scale(2)
enthusiasm(1)
learning capacities(1)
field knowledge(1)
local biz(1)
metal processing(1)
functions(1)
 </v>
      </c>
      <c r="CQ118" s="14" t="str">
        <f t="shared" si="314"/>
        <v xml:space="preserve">local biz(1,50%), biz enhancement(1,50%),  </v>
      </c>
      <c r="CR118" s="14" t="str">
        <f t="shared" si="315"/>
        <v xml:space="preserve">local biz(50)
biz enhancement(50)
 </v>
      </c>
      <c r="CS118"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8" s="14" t="str">
        <f t="shared" si="317"/>
        <v xml:space="preserve">reputation(1,6.25%),  </v>
      </c>
      <c r="CU118" s="27" t="str">
        <f t="shared" si="300"/>
        <v xml:space="preserve">reputation(6.25), </v>
      </c>
      <c r="CV118" s="14" t="str">
        <f t="shared" si="319"/>
        <v xml:space="preserve">software(1)
wood(1)
scale(1)
enthusiasm(2)
learning capacities(1)
non-profits(1)
wood processing(1)
aesthetics(1)
interaction(1)
 </v>
      </c>
      <c r="CW118" s="14" t="str">
        <f t="shared" si="320"/>
        <v xml:space="preserve">non-profits(1,50%), social project(1,50%),  </v>
      </c>
      <c r="CX118" s="14" t="str">
        <f t="shared" si="321"/>
        <v xml:space="preserve">non-profits(50)
social project(50)
 </v>
      </c>
      <c r="CY118"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8" s="14" t="str">
        <f t="shared" si="323"/>
        <v xml:space="preserve">media(1,6.25%), reputation(1,6.25%), portfolio(1,6.25%),  </v>
      </c>
      <c r="DA118" s="27" t="str">
        <f t="shared" si="300"/>
        <v xml:space="preserve">media(6.25),reputation(6.25),portfolio(6.25), </v>
      </c>
      <c r="DB118" s="14" t="str">
        <f t="shared" si="325"/>
        <v xml:space="preserve">software(1)
scale(1)
enthusiasm(2)
learning capacities(1)
non-profits(1)
aesthetics(1)
interaction(1)
 </v>
      </c>
      <c r="DC118" s="14" t="str">
        <f t="shared" si="326"/>
        <v xml:space="preserve">non-profits(1,50%), social project(1,50%),  </v>
      </c>
      <c r="DD118" s="14" t="str">
        <f t="shared" si="327"/>
        <v xml:space="preserve">non-profits(50)
social project(50)
 </v>
      </c>
      <c r="DE118" s="14" t="str">
        <f t="shared" si="328"/>
        <v xml:space="preserve">gifted programmer(1), gifted designer(1), scale(2), enthusiasm(4), agility(2), ambition(4), attention to details(2), fun-ness(2), administrator(2), ease of access(2), efficiency(3), VR&amp;AR(2),  </v>
      </c>
      <c r="DF118" s="14" t="str">
        <f t="shared" si="329"/>
        <v xml:space="preserve">media(1,6.25%), reputation(1,6.25%), portfolio(1,6.25%),  </v>
      </c>
      <c r="DG118" s="27" t="str">
        <f t="shared" si="300"/>
        <v xml:space="preserve">media(6.25),reputation(6.25),portfolio(6.25), </v>
      </c>
      <c r="DH118" s="14" t="str">
        <f t="shared" si="331"/>
        <v xml:space="preserve">software(1)
wood(1)
plastic(1)
scale(2)
enthusiasm(2)
scale(1)
wood processing(1)
aesthetics(1)
safety(1)
 </v>
      </c>
      <c r="DI118" s="14" t="str">
        <f t="shared" si="332"/>
        <v xml:space="preserve">social project(1,100%),  </v>
      </c>
      <c r="DJ118" s="14" t="str">
        <f t="shared" si="333"/>
        <v xml:space="preserve">social project(100)
 </v>
      </c>
      <c r="DK118" s="14" t="str">
        <f t="shared" si="334"/>
        <v xml:space="preserve">software(2), 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8" s="14" t="str">
        <f t="shared" si="335"/>
        <v xml:space="preserve">scale(1,6.25%), enthusiasm(1,6.25%), network among members(1,6.25%), enthusiasm(1,6.25%), agility(1,6.25%), fun-ness(1,6.25%), reputation(1,6.25%), portfolio(1,6.25%), team building(1,6.25%),  </v>
      </c>
      <c r="DM118" s="27" t="str">
        <f t="shared" si="300"/>
        <v xml:space="preserve">scale(6.25),enthusiasm(6.25),network among members(6.25),enthusiasm(6.25),agility(6.25),fun-ness(6.25),reputation(6.25),portfolio(6.25),team building(6.25), </v>
      </c>
      <c r="DN118" s="14" t="str">
        <f t="shared" si="337"/>
        <v xml:space="preserve">software(1)
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8" s="14" t="str">
        <f t="shared" si="338"/>
        <v xml:space="preserve">reputation(1,25%), portfolio(1,50%),  </v>
      </c>
      <c r="DP118" s="14" t="str">
        <f t="shared" si="339"/>
        <v xml:space="preserve">reputation(25)
portfolio(50)
 </v>
      </c>
      <c r="DQ118"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8" s="14" t="str">
        <f t="shared" si="341"/>
        <v xml:space="preserve">suppliers(1,6.25%), reputation(1,6.25%),  </v>
      </c>
      <c r="DS118" s="27" t="str">
        <f t="shared" si="300"/>
        <v xml:space="preserve">suppliers(6.25),reputation(6.25), </v>
      </c>
      <c r="DT118" s="14" t="str">
        <f t="shared" si="343"/>
        <v xml:space="preserve">scale(2)
attention to details(2)
leader(1)
fame(1)
network(2)
reputation(3)
portfolio(2)
 </v>
      </c>
      <c r="DU118" s="14" t="str">
        <f t="shared" si="344"/>
        <v xml:space="preserve">fame(1,25%), govt(1,25%), non-profits(1,50%), reputation(1,25%),  </v>
      </c>
      <c r="DV118" s="14" t="str">
        <f t="shared" si="345"/>
        <v xml:space="preserve">fame(25)
govt(25)
non-profits(50)
reputation(25)
 </v>
      </c>
      <c r="DW118" s="14" t="str">
        <f t="shared" si="346"/>
        <v xml:space="preserve">scale(3), enthusiasm(3), enthusiasm(3), ambition(2), attention to details(2), PR(1), administrator(1), social media(2),  </v>
      </c>
      <c r="DX118" s="14" t="str">
        <f t="shared" si="347"/>
        <v xml:space="preserve">ambition(1,6.25%), fame(1,6.25%), reputation(1,6.25%),  </v>
      </c>
      <c r="DY118" s="27" t="str">
        <f t="shared" si="300"/>
        <v xml:space="preserve">ambition(6.25),fame(6.25),reputation(6.25), </v>
      </c>
      <c r="DZ118" s="14" t="str">
        <f t="shared" si="349"/>
        <v xml:space="preserve"> </v>
      </c>
      <c r="EA118" s="14" t="str">
        <f t="shared" si="350"/>
        <v xml:space="preserve"> </v>
      </c>
      <c r="EB118" s="14" t="str">
        <f t="shared" si="351"/>
        <v xml:space="preserve"> </v>
      </c>
      <c r="EC118" s="14" t="str">
        <f t="shared" si="352"/>
        <v xml:space="preserve"> </v>
      </c>
      <c r="ED118" s="14" t="str">
        <f t="shared" si="353"/>
        <v xml:space="preserve"> </v>
      </c>
      <c r="EE118" s="27" t="str">
        <f t="shared" si="300"/>
        <v xml:space="preserve"> </v>
      </c>
      <c r="EF118" s="14" t="str">
        <f t="shared" si="355"/>
        <v xml:space="preserve"> </v>
      </c>
      <c r="EG118" s="14" t="str">
        <f t="shared" si="356"/>
        <v xml:space="preserve"> </v>
      </c>
      <c r="EH118" s="14" t="str">
        <f t="shared" si="357"/>
        <v xml:space="preserve"> </v>
      </c>
      <c r="EI118" s="14" t="str">
        <f t="shared" si="358"/>
        <v xml:space="preserve"> </v>
      </c>
      <c r="EJ118" s="14" t="str">
        <f t="shared" si="359"/>
        <v xml:space="preserve"> </v>
      </c>
      <c r="EK118" s="27" t="str">
        <f t="shared" si="300"/>
        <v xml:space="preserve"> </v>
      </c>
      <c r="EL118" s="14" t="str">
        <f t="shared" si="361"/>
        <v xml:space="preserve"> </v>
      </c>
      <c r="EM118" s="14" t="str">
        <f t="shared" si="362"/>
        <v xml:space="preserve"> </v>
      </c>
      <c r="EN118" s="14" t="str">
        <f t="shared" si="363"/>
        <v xml:space="preserve"> </v>
      </c>
      <c r="EO118" s="14" t="str">
        <f t="shared" si="364"/>
        <v xml:space="preserve"> </v>
      </c>
      <c r="EP118" s="14" t="str">
        <f t="shared" si="365"/>
        <v xml:space="preserve"> </v>
      </c>
      <c r="EQ118" s="27" t="str">
        <f t="shared" si="366"/>
        <v xml:space="preserve"> </v>
      </c>
      <c r="ER118" s="14" t="str">
        <f t="shared" si="367"/>
        <v xml:space="preserve"> </v>
      </c>
      <c r="ES118" s="14" t="str">
        <f t="shared" si="368"/>
        <v xml:space="preserve"> </v>
      </c>
      <c r="ET118" s="14" t="str">
        <f t="shared" si="369"/>
        <v xml:space="preserve"> </v>
      </c>
      <c r="EU118" s="14" t="str">
        <f t="shared" si="370"/>
        <v xml:space="preserve"> </v>
      </c>
      <c r="EV118" s="14" t="str">
        <f t="shared" si="371"/>
        <v xml:space="preserve"> </v>
      </c>
      <c r="EW118" s="27" t="str">
        <f t="shared" si="366"/>
        <v xml:space="preserve"> </v>
      </c>
      <c r="EX118" s="14" t="str">
        <f t="shared" si="373"/>
        <v xml:space="preserve"> </v>
      </c>
      <c r="EY118" s="14" t="str">
        <f t="shared" si="374"/>
        <v xml:space="preserve"> </v>
      </c>
      <c r="EZ118" s="14" t="str">
        <f t="shared" si="375"/>
        <v xml:space="preserve"> </v>
      </c>
      <c r="FA118" s="14" t="str">
        <f t="shared" si="376"/>
        <v xml:space="preserve"> </v>
      </c>
      <c r="FB118" s="14" t="str">
        <f t="shared" si="377"/>
        <v xml:space="preserve"> </v>
      </c>
      <c r="FC118" s="27" t="str">
        <f t="shared" si="366"/>
        <v xml:space="preserve"> </v>
      </c>
      <c r="FD118" s="14" t="str">
        <f t="shared" si="379"/>
        <v xml:space="preserve"> </v>
      </c>
      <c r="FE118" s="14" t="str">
        <f t="shared" si="380"/>
        <v xml:space="preserve"> </v>
      </c>
      <c r="FF118" s="14" t="str">
        <f t="shared" si="381"/>
        <v xml:space="preserve"> </v>
      </c>
      <c r="FG118" s="14" t="str">
        <f t="shared" si="382"/>
        <v xml:space="preserve"> </v>
      </c>
      <c r="FH118" s="14" t="str">
        <f t="shared" si="383"/>
        <v xml:space="preserve"> </v>
      </c>
      <c r="FI118" s="27" t="str">
        <f t="shared" si="366"/>
        <v xml:space="preserve"> </v>
      </c>
      <c r="FJ118" s="14" t="str">
        <f t="shared" si="385"/>
        <v xml:space="preserve"> </v>
      </c>
      <c r="FK118" s="14" t="str">
        <f t="shared" si="386"/>
        <v xml:space="preserve"> </v>
      </c>
      <c r="FL118" s="14" t="str">
        <f t="shared" si="387"/>
        <v xml:space="preserve"> </v>
      </c>
      <c r="FM118" s="14" t="str">
        <f t="shared" si="388"/>
        <v xml:space="preserve"> </v>
      </c>
      <c r="FN118" s="14" t="str">
        <f t="shared" si="389"/>
        <v xml:space="preserve"> </v>
      </c>
      <c r="FO118" s="27" t="str">
        <f t="shared" si="366"/>
        <v xml:space="preserve"> </v>
      </c>
      <c r="FP118" s="14" t="str">
        <f t="shared" si="391"/>
        <v xml:space="preserve"> </v>
      </c>
      <c r="FQ118" s="14" t="str">
        <f t="shared" si="392"/>
        <v xml:space="preserve"> </v>
      </c>
      <c r="FR118" s="14" t="str">
        <f t="shared" si="393"/>
        <v xml:space="preserve"> </v>
      </c>
      <c r="FS118" s="14" t="str">
        <f t="shared" si="394"/>
        <v xml:space="preserve"> </v>
      </c>
      <c r="FT118" s="14" t="str">
        <f t="shared" si="395"/>
        <v xml:space="preserve"> </v>
      </c>
      <c r="FU118" s="27" t="str">
        <f t="shared" si="366"/>
        <v xml:space="preserve"> </v>
      </c>
      <c r="FV118" s="14" t="str">
        <f t="shared" si="397"/>
        <v xml:space="preserve"> </v>
      </c>
      <c r="FW118" s="14" t="str">
        <f t="shared" si="398"/>
        <v xml:space="preserve"> </v>
      </c>
      <c r="FX118" s="14" t="str">
        <f t="shared" si="399"/>
        <v xml:space="preserve"> </v>
      </c>
      <c r="FY118" s="14" t="str">
        <f t="shared" si="400"/>
        <v xml:space="preserve"> </v>
      </c>
      <c r="FZ118" s="14" t="str">
        <f t="shared" si="401"/>
        <v xml:space="preserve"> </v>
      </c>
      <c r="GA118" s="27" t="str">
        <f t="shared" si="366"/>
        <v xml:space="preserve"> </v>
      </c>
      <c r="GB118" s="14" t="str">
        <f t="shared" si="403"/>
        <v xml:space="preserve"> </v>
      </c>
      <c r="GC118" s="14" t="str">
        <f t="shared" si="404"/>
        <v xml:space="preserve"> </v>
      </c>
      <c r="GD118" s="14" t="str">
        <f t="shared" si="405"/>
        <v xml:space="preserve"> </v>
      </c>
      <c r="GE118" s="14" t="str">
        <f t="shared" si="406"/>
        <v xml:space="preserve"> </v>
      </c>
      <c r="GF118" s="14" t="str">
        <f t="shared" si="407"/>
        <v xml:space="preserve"> </v>
      </c>
      <c r="GG118" s="27" t="str">
        <f t="shared" si="366"/>
        <v xml:space="preserve"> </v>
      </c>
      <c r="GH118" s="14" t="str">
        <f t="shared" si="409"/>
        <v xml:space="preserve"> </v>
      </c>
      <c r="GI118" s="14" t="str">
        <f t="shared" si="410"/>
        <v xml:space="preserve"> </v>
      </c>
      <c r="GJ118" s="14" t="str">
        <f t="shared" si="411"/>
        <v xml:space="preserve"> </v>
      </c>
      <c r="GK118" s="14" t="str">
        <f t="shared" si="412"/>
        <v xml:space="preserve"> </v>
      </c>
      <c r="GL118" s="14" t="str">
        <f t="shared" si="413"/>
        <v xml:space="preserve"> </v>
      </c>
      <c r="GM118" s="27" t="str">
        <f t="shared" si="366"/>
        <v xml:space="preserve"> </v>
      </c>
      <c r="GN118" s="14" t="str">
        <f t="shared" si="415"/>
        <v xml:space="preserve"> </v>
      </c>
      <c r="GO118" s="14" t="str">
        <f t="shared" si="416"/>
        <v xml:space="preserve"> </v>
      </c>
      <c r="GP118" s="14" t="str">
        <f t="shared" si="417"/>
        <v xml:space="preserve"> </v>
      </c>
      <c r="GQ118" s="14" t="str">
        <f t="shared" si="418"/>
        <v xml:space="preserve"> </v>
      </c>
      <c r="GR118" s="14" t="str">
        <f t="shared" si="419"/>
        <v xml:space="preserve"> </v>
      </c>
      <c r="GS118" s="27" t="str">
        <f t="shared" si="366"/>
        <v xml:space="preserve"> </v>
      </c>
      <c r="GT118" s="14" t="str">
        <f t="shared" si="421"/>
        <v xml:space="preserve"> </v>
      </c>
      <c r="GU118" s="14" t="str">
        <f t="shared" si="422"/>
        <v xml:space="preserve"> </v>
      </c>
      <c r="GV118" s="14" t="str">
        <f t="shared" si="423"/>
        <v xml:space="preserve"> </v>
      </c>
      <c r="GW118" s="14" t="str">
        <f t="shared" si="424"/>
        <v xml:space="preserve"> </v>
      </c>
      <c r="GX118" s="14" t="str">
        <f t="shared" si="425"/>
        <v xml:space="preserve"> </v>
      </c>
      <c r="GY118" s="27" t="str">
        <f t="shared" si="366"/>
        <v xml:space="preserve"> </v>
      </c>
      <c r="GZ118" s="14" t="str">
        <f t="shared" si="427"/>
        <v xml:space="preserve"> </v>
      </c>
      <c r="HA118" s="14" t="str">
        <f t="shared" si="428"/>
        <v xml:space="preserve"> </v>
      </c>
      <c r="HB118" s="14" t="str">
        <f t="shared" si="429"/>
        <v xml:space="preserve"> </v>
      </c>
      <c r="HC118" s="14" t="str">
        <f t="shared" si="430"/>
        <v xml:space="preserve"> </v>
      </c>
      <c r="HD118" s="14" t="str">
        <f t="shared" si="431"/>
        <v xml:space="preserve"> </v>
      </c>
      <c r="HE118" s="27" t="str">
        <f t="shared" si="432"/>
        <v xml:space="preserve"> </v>
      </c>
      <c r="HF118" s="14" t="str">
        <f t="shared" si="433"/>
        <v xml:space="preserve"> </v>
      </c>
      <c r="HG118" s="14" t="str">
        <f t="shared" si="434"/>
        <v xml:space="preserve"> </v>
      </c>
      <c r="HH118" s="14" t="str">
        <f t="shared" si="435"/>
        <v xml:space="preserve"> </v>
      </c>
      <c r="HI118" s="14" t="str">
        <f t="shared" si="436"/>
        <v xml:space="preserve"> </v>
      </c>
      <c r="HJ118" s="14" t="str">
        <f t="shared" si="437"/>
        <v xml:space="preserve"> </v>
      </c>
      <c r="HK118" s="27" t="str">
        <f t="shared" si="432"/>
        <v xml:space="preserve"> </v>
      </c>
      <c r="HL118" s="14" t="str">
        <f t="shared" si="439"/>
        <v xml:space="preserve"> </v>
      </c>
      <c r="HM118" s="14" t="str">
        <f t="shared" si="440"/>
        <v xml:space="preserve"> </v>
      </c>
      <c r="HN118" s="14" t="str">
        <f t="shared" si="441"/>
        <v xml:space="preserve"> </v>
      </c>
      <c r="HO118" s="14" t="str">
        <f t="shared" si="442"/>
        <v xml:space="preserve"> </v>
      </c>
      <c r="HP118" s="14" t="str">
        <f t="shared" si="443"/>
        <v xml:space="preserve"> </v>
      </c>
      <c r="HQ118" s="27" t="str">
        <f t="shared" si="432"/>
        <v xml:space="preserve"> </v>
      </c>
    </row>
    <row r="119" spans="1:225" ht="15.75" customHeight="1">
      <c r="A119" s="7">
        <f t="shared" ref="A119:C119" si="460">A11</f>
        <v>0</v>
      </c>
      <c r="B119" s="7">
        <f t="shared" si="460"/>
        <v>0</v>
      </c>
      <c r="C119" s="7" t="str">
        <f t="shared" si="460"/>
        <v>servers</v>
      </c>
      <c r="D119" s="14" t="str">
        <f t="shared" si="446"/>
        <v xml:space="preserve"> </v>
      </c>
      <c r="E119" s="14" t="str">
        <f t="shared" si="447"/>
        <v xml:space="preserve"> </v>
      </c>
      <c r="F119" s="14" t="str">
        <f t="shared" si="448"/>
        <v xml:space="preserve"> </v>
      </c>
      <c r="G119" s="14" t="str">
        <f t="shared" si="449"/>
        <v xml:space="preserve">servers(1), wood(1), metal(1), plastic(1), electronics(1), fabric(1), scale(1), attention to details(1.1), efficiency(1), user rules and manuals(2.1), organizational rules and manuals(2.1),  </v>
      </c>
      <c r="H119" s="14" t="str">
        <f t="shared" si="450"/>
        <v xml:space="preserve">servers(-1,6.25%), wood(-1,6.25%), metal(-1,6.25%), plastic(-1,6.25%), electronics(-1,6.25%), fabric(-1,6.25%), scale(-1,6.25%), efficiency(-1,6.25%),  </v>
      </c>
      <c r="I119" s="27" t="str">
        <f t="shared" ref="I119" si="461">IF(I11="",I120,$C119&amp;"("&amp;I11&amp;"),"&amp;I120)</f>
        <v xml:space="preserve">servers(6.25),wood(6.25),metal(6.25),plastic(6.25),electronics(6.25),fabric(6.25),scale(6.25),efficiency(6.25), </v>
      </c>
      <c r="J119" s="14" t="str">
        <f t="shared" si="229"/>
        <v xml:space="preserve">scale(1)
enthusiasm(1)
 </v>
      </c>
      <c r="K119" s="14" t="str">
        <f t="shared" si="230"/>
        <v xml:space="preserve">scale(-1,12.5%), enthusiasm(-1,25%),  </v>
      </c>
      <c r="L119" s="14" t="str">
        <f t="shared" si="231"/>
        <v xml:space="preserve">scale(12.5)
enthusiasm(25)
 </v>
      </c>
      <c r="M119" s="14" t="str">
        <f t="shared" si="232"/>
        <v xml:space="preserve">scale(1.1), efficiency(0.1), organizational rules and manuals(1.1),  </v>
      </c>
      <c r="N119" s="14" t="str">
        <f t="shared" si="233"/>
        <v xml:space="preserve">agility(-1,6.75%), ambition(-1,6.75%), fun-ness(-1,6.75%), initiative(-1,6.75%),  </v>
      </c>
      <c r="O119" s="27" t="str">
        <f t="shared" si="234"/>
        <v xml:space="preserve">agility(6.75),ambition(6.75),fun-ness(6.75),initiative(6.75), </v>
      </c>
      <c r="P119" s="14" t="str">
        <f t="shared" si="235"/>
        <v xml:space="preserve">scale(1)
enthusiasm(1)
 </v>
      </c>
      <c r="Q119" s="14" t="str">
        <f t="shared" si="236"/>
        <v xml:space="preserve">enthusiasm(-1,50%), gifted leader(-1,25%), gifted programmer(-1,25%), gifted designer(-1,25%),  </v>
      </c>
      <c r="R119" s="14" t="str">
        <f t="shared" si="237"/>
        <v xml:space="preserve">enthusiasm(50)
gifted leader(25)
gifted programmer(25)
gifted designer(25)
 </v>
      </c>
      <c r="S119" s="14" t="str">
        <f t="shared" si="238"/>
        <v xml:space="preserve">scale(1), network among members(0.1), gifted leader(1), gifted programmer(1), gifted designer(1), ambition(1), attention to details(0.1), community manager(0.1), team building(0.1),  </v>
      </c>
      <c r="T119" s="14" t="str">
        <f t="shared" si="239"/>
        <v xml:space="preserve">ambition(-1,%), business model(-1,6.25%), web(-1,6.25%), mobile apps(-1,6.25%), aesthetics(-1,6.25%),  </v>
      </c>
      <c r="U119" s="27" t="str">
        <f t="shared" si="234"/>
        <v xml:space="preserve">business model(6.25),web(6.25),mobile apps(6.25),aesthetics(6.25), </v>
      </c>
      <c r="V119" s="14" t="str">
        <f t="shared" si="241"/>
        <v xml:space="preserve">scale(1)
scale(1)
 </v>
      </c>
      <c r="W119" s="14" t="str">
        <f t="shared" si="242"/>
        <v xml:space="preserve">enthusiasm(-1,25%), enthusiasm(-1,25%), efficiency(-1,25%),  </v>
      </c>
      <c r="X119" s="14" t="str">
        <f t="shared" si="243"/>
        <v xml:space="preserve">enthusiasm(25)
enthusiasm(25)
efficiency(25)
 </v>
      </c>
      <c r="Y119" s="14" t="str">
        <f t="shared" si="244"/>
        <v xml:space="preserve">community manager(0.1), administrator(0.1), spaciousness(1), ease of access(3), reputation(2), user rules and manuals(0.1), project management(0.1), negotiation(0.1),  </v>
      </c>
      <c r="Z119" s="14" t="str">
        <f t="shared" si="245"/>
        <v xml:space="preserve">scale(-1,6.25%), reputation(-1,%),  </v>
      </c>
      <c r="AA119" s="27" t="str">
        <f t="shared" si="234"/>
        <v xml:space="preserve">scale(6.25), </v>
      </c>
      <c r="AB119" s="14" t="str">
        <f t="shared" si="247"/>
        <v xml:space="preserve"> </v>
      </c>
      <c r="AC119" s="14" t="str">
        <f t="shared" si="248"/>
        <v xml:space="preserve"> </v>
      </c>
      <c r="AD119" s="14" t="str">
        <f t="shared" si="249"/>
        <v xml:space="preserve"> </v>
      </c>
      <c r="AE119" s="14" t="str">
        <f t="shared" si="250"/>
        <v xml:space="preserve">scale(3), network among members(0.1), scale(1.1), attention to details(0.1), seriousness(0.1), initiative(0.1), spaciousness(1), user rules and manuals(1.1), organizational rules and manuals(1.1),  </v>
      </c>
      <c r="AF119" s="14" t="str">
        <f t="shared" si="251"/>
        <v xml:space="preserve">wood(-1,6.25%), fabric(-1,6.25%), enthusiasm(-1,6.25%), enthusiasm(-1,%), local biz(-1,6.25%), investors(-1,6.25%), non-profits(-1,6.25%), efficiency(-1,6.25%),  </v>
      </c>
      <c r="AG119" s="27" t="str">
        <f t="shared" si="234"/>
        <v xml:space="preserve">wood(6.25),fabric(6.25),enthusiasm(6.25),local biz(6.25),investors(6.25),non-profits(6.25),efficiency(6.25), </v>
      </c>
      <c r="AH119" s="14" t="str">
        <f t="shared" si="253"/>
        <v xml:space="preserve">scale(1)
enthusiasm(2)
fun-ness(1)
ease of access(1)
reputation(1)
 </v>
      </c>
      <c r="AI119" s="14" t="str">
        <f t="shared" si="254"/>
        <v xml:space="preserve">enthusiasm(-1,25%),  </v>
      </c>
      <c r="AJ119" s="14" t="str">
        <f t="shared" si="255"/>
        <v xml:space="preserve">enthusiasm(25)
 </v>
      </c>
      <c r="AK119" s="14" t="str">
        <f t="shared" si="256"/>
        <v xml:space="preserve">scale(2), enthusiasm(2), scale(3.1), attention to details(2.1), seriousness(2.1), community manager(2.1), administrator(2.1), spaciousness(1), ease of access(1), reputation(2), user rules and manuals(2.1), organizational rules and manuals(2.1), law(1.1), negotiation(1.1),  </v>
      </c>
      <c r="AL119" s="14" t="str">
        <f t="shared" si="257"/>
        <v xml:space="preserve">scale(-1,6.25%), enthusiasm(-1,6.25%), govt(-1,6.25%), non-profits(-1,6.25%), reputation(-1,6.25%),  </v>
      </c>
      <c r="AM119" s="27" t="str">
        <f t="shared" si="234"/>
        <v xml:space="preserve">scale(6.25),enthusiasm(6.25),govt(6.25),non-profits(6.25),reputation(6.25), </v>
      </c>
      <c r="AN119" s="14" t="str">
        <f t="shared" si="259"/>
        <v xml:space="preserve">scale(1)
fun-ness(1)
seriousness(1)
 </v>
      </c>
      <c r="AO119" s="14" t="str">
        <f t="shared" si="260"/>
        <v xml:space="preserve">scale(-1,25%), enthusiasm(-1,25%), enthusiasm(-1,25%),  </v>
      </c>
      <c r="AP119" s="14" t="str">
        <f t="shared" si="261"/>
        <v xml:space="preserve">scale(25)
enthusiasm(25)
enthusiasm(25)
 </v>
      </c>
      <c r="AQ119" s="14" t="str">
        <f t="shared" si="262"/>
        <v xml:space="preserve">scale(1), fun-ness(1), spaciousness(2.1), reputation(3), organizational rules and manuals(2.1), team building(2.1),  </v>
      </c>
      <c r="AR119" s="14" t="str">
        <f t="shared" si="263"/>
        <v xml:space="preserve">enthusiasm(-1,12.5%), fun-ness(-1,6.25%), reputation(-1,6.25%), efficiency(-1,6.25%),  </v>
      </c>
      <c r="AS119" s="27" t="str">
        <f t="shared" si="234"/>
        <v xml:space="preserve">enthusiasm(12.5),fun-ness(6.25),reputation(6.25),efficiency(6.25), </v>
      </c>
      <c r="AT119" s="14" t="str">
        <f t="shared" si="265"/>
        <v xml:space="preserve">scale(1)
enthusiasm(1)
network among members(3.1)
 </v>
      </c>
      <c r="AU119" s="14" t="str">
        <f t="shared" si="266"/>
        <v xml:space="preserve">scale(-1,25%), enthusiasm(-1,25%),  </v>
      </c>
      <c r="AV119" s="14" t="str">
        <f t="shared" si="267"/>
        <v xml:space="preserve">scale(25)
enthusiasm(25)
 </v>
      </c>
      <c r="AW119" s="14" t="str">
        <f t="shared" si="268"/>
        <v xml:space="preserve">scale(1), enthusiasm(1), attention to details(3.1), fun-ness(3.1), seriousness(3.1), initiative(2.1), leader(2.1), community manager(2.1), user rules and manuals(2.1), team building(2.1),  </v>
      </c>
      <c r="AX119" s="14" t="str">
        <f t="shared" si="269"/>
        <v xml:space="preserve">field knowledge(-1,6.25%), network among members(-1,6.25%), gifted assistant(-1,6.25%),  </v>
      </c>
      <c r="AY119" s="27" t="str">
        <f t="shared" si="234"/>
        <v xml:space="preserve">field knowledge(6.25),network among members(6.25),gifted assistant(6.25), </v>
      </c>
      <c r="AZ119" s="14" t="str">
        <f t="shared" si="271"/>
        <v xml:space="preserve">wood(1)
scale(1)
 </v>
      </c>
      <c r="BA119" s="14" t="str">
        <f t="shared" si="272"/>
        <v xml:space="preserve">enthusiasm(-1,12.5%), attention to details(1,12.5%), fun-ness(-1,12.5%), seriousness(1,12.5%), efficiency(-1,12.5%), user rules and manuals(1,25%),  </v>
      </c>
      <c r="BB119" s="14" t="str">
        <f t="shared" si="273"/>
        <v xml:space="preserve">enthusiasm(12.5)
attention to details(12.5)
fun-ness(12.5)
seriousness(12.5)
efficiency(12.5)
user rules and manuals(25)
 </v>
      </c>
      <c r="BC119" s="14" t="str">
        <f t="shared" si="274"/>
        <v xml:space="preserve">wood(1), scale(1), agility(1.1), attention to details(1.1), seriousness(1.1), community manager(1.1), administrator(1.1), user rules and manuals(2.1), organizational rules and manuals(2.1),  </v>
      </c>
      <c r="BD119" s="14" t="str">
        <f t="shared" si="275"/>
        <v xml:space="preserve">wood(-1,6.25%), scale(-1,6.25%), enthusiasm(-1,6.25%), reputation(-1,6.25%),  </v>
      </c>
      <c r="BE119" s="27" t="str">
        <f t="shared" si="234"/>
        <v xml:space="preserve">wood(6.25),scale(6.25),enthusiasm(6.25),reputation(6.25), </v>
      </c>
      <c r="BF119" s="14" t="str">
        <f t="shared" si="277"/>
        <v xml:space="preserve"> </v>
      </c>
      <c r="BG119" s="14" t="str">
        <f t="shared" si="278"/>
        <v xml:space="preserve">plastic(-1,25%), enthusiasm(-1,25%), enthusiasm(-1,25%), attention to details(1,25%), fun-ness(-1,25%), seriousness(1,25%), user rules and manuals(1,25%), organizational rules and manuals(1,25%),  </v>
      </c>
      <c r="BH119" s="14" t="str">
        <f t="shared" si="279"/>
        <v xml:space="preserve">plastic(25)
enthusiasm(25)
enthusiasm(25)
attention to details(25)
fun-ness(25)
seriousness(25)
user rules and manuals(25)
organizational rules and manuals(25)
 </v>
      </c>
      <c r="BI119" s="14" t="str">
        <f t="shared" si="280"/>
        <v xml:space="preserve">enthusiasm(1), engineering knowledge(1.1), enthusiasm(1), fun-ness(1), seriousness(2.1), community manager(1.1), administrator(1.1),  </v>
      </c>
      <c r="BJ119" s="14" t="str">
        <f t="shared" si="281"/>
        <v xml:space="preserve">reputation(-1,6.25%), efficiency(-1,25%),  </v>
      </c>
      <c r="BK119" s="27" t="str">
        <f t="shared" si="234"/>
        <v xml:space="preserve">reputation(6.25),efficiency(25), </v>
      </c>
      <c r="BL119" s="14" t="str">
        <f t="shared" si="283"/>
        <v xml:space="preserve">scale(2)
local biz(1)
ease of access(1)
reputation(1)
aesthetics(1)
 </v>
      </c>
      <c r="BM119" s="14" t="str">
        <f t="shared" si="284"/>
        <v xml:space="preserve">biz enhancement(1,%),  </v>
      </c>
      <c r="BN119" s="14" t="str">
        <f t="shared" si="285"/>
        <v xml:space="preserve"> </v>
      </c>
      <c r="BO119"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19" s="14" t="str">
        <f t="shared" si="287"/>
        <v xml:space="preserve">local biz(1,6.25%),  </v>
      </c>
      <c r="BQ119" s="27" t="str">
        <f t="shared" si="234"/>
        <v xml:space="preserve">local biz(6.25), </v>
      </c>
      <c r="BR119" s="14" t="str">
        <f t="shared" si="289"/>
        <v xml:space="preserve">wood(1)
scale(2)
scale(1)
local biz(1)
ease of access(1)
reputation(1)
aesthetics(1)
 </v>
      </c>
      <c r="BS119" s="14" t="str">
        <f t="shared" si="290"/>
        <v xml:space="preserve">biz project(1,%),  </v>
      </c>
      <c r="BT119" s="14" t="str">
        <f t="shared" si="291"/>
        <v xml:space="preserve"> </v>
      </c>
      <c r="BU119"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19" s="14" t="str">
        <f t="shared" si="293"/>
        <v xml:space="preserve">local biz(1,6.25%),  </v>
      </c>
      <c r="BW119" s="27" t="str">
        <f t="shared" si="234"/>
        <v xml:space="preserve">local biz(6.25), </v>
      </c>
      <c r="BX119" s="14" t="str">
        <f t="shared" si="295"/>
        <v xml:space="preserve">servers(1)
scale(2)
enthusiasm(1)
local biz(1)
ease of access(1)
reputation(1)
aesthetics(1)
interaction(1)
 </v>
      </c>
      <c r="BY119" s="14" t="str">
        <f t="shared" si="296"/>
        <v xml:space="preserve">biz project(1,%),  </v>
      </c>
      <c r="BZ119" s="14" t="str">
        <f t="shared" si="297"/>
        <v xml:space="preserve"> </v>
      </c>
      <c r="CA119"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19" s="14" t="str">
        <f t="shared" si="299"/>
        <v xml:space="preserve">local biz(1,6.25%),  </v>
      </c>
      <c r="CC119" s="27" t="str">
        <f t="shared" si="300"/>
        <v xml:space="preserve">local biz(6.25), </v>
      </c>
      <c r="CD119" s="14" t="str">
        <f t="shared" si="301"/>
        <v xml:space="preserve">servers(1)
scale(2)
enthusiasm(1)
ease of access(1)
reputation(1)
aesthetics(1)
 </v>
      </c>
      <c r="CE119" s="14" t="str">
        <f t="shared" si="302"/>
        <v xml:space="preserve">biz project(1,%),  </v>
      </c>
      <c r="CF119" s="14" t="str">
        <f t="shared" si="303"/>
        <v xml:space="preserve"> </v>
      </c>
      <c r="CG119"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19" s="14" t="str">
        <f t="shared" si="305"/>
        <v xml:space="preserve">local biz(1,6.25%),  </v>
      </c>
      <c r="CI119" s="27" t="str">
        <f t="shared" si="300"/>
        <v xml:space="preserve">local biz(6.25), </v>
      </c>
      <c r="CJ119" s="14" t="str">
        <f t="shared" si="307"/>
        <v xml:space="preserve">scale(2)
ease of access(1)
reputation(1)
aesthetics(1)
 </v>
      </c>
      <c r="CK119" s="14" t="str">
        <f t="shared" si="308"/>
        <v xml:space="preserve">biz project(1,%),  </v>
      </c>
      <c r="CL119" s="14" t="str">
        <f t="shared" si="309"/>
        <v xml:space="preserve"> </v>
      </c>
      <c r="CM119" s="14" t="str">
        <f t="shared" si="310"/>
        <v xml:space="preserve">servers(2), 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19" s="14" t="str">
        <f t="shared" si="311"/>
        <v xml:space="preserve">local biz(1,6.25%),  </v>
      </c>
      <c r="CO119" s="27" t="str">
        <f t="shared" si="300"/>
        <v xml:space="preserve">local biz(6.25), </v>
      </c>
      <c r="CP119" s="14" t="str">
        <f t="shared" si="313"/>
        <v xml:space="preserve">metal(1)
scale(2)
enthusiasm(1)
learning capacities(1)
field knowledge(1)
local biz(1)
metal processing(1)
functions(1)
 </v>
      </c>
      <c r="CQ119" s="14" t="str">
        <f t="shared" si="314"/>
        <v xml:space="preserve">local biz(1,50%), biz enhancement(1,50%),  </v>
      </c>
      <c r="CR119" s="14" t="str">
        <f t="shared" si="315"/>
        <v xml:space="preserve">local biz(50)
biz enhancement(50)
 </v>
      </c>
      <c r="CS119"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19" s="14" t="str">
        <f t="shared" si="317"/>
        <v xml:space="preserve">reputation(1,6.25%),  </v>
      </c>
      <c r="CU119" s="27" t="str">
        <f t="shared" si="300"/>
        <v xml:space="preserve">reputation(6.25), </v>
      </c>
      <c r="CV119" s="14" t="str">
        <f t="shared" si="319"/>
        <v xml:space="preserve">wood(1)
scale(1)
enthusiasm(2)
learning capacities(1)
non-profits(1)
wood processing(1)
aesthetics(1)
interaction(1)
 </v>
      </c>
      <c r="CW119" s="14" t="str">
        <f t="shared" si="320"/>
        <v xml:space="preserve">non-profits(1,50%), social project(1,50%),  </v>
      </c>
      <c r="CX119" s="14" t="str">
        <f t="shared" si="321"/>
        <v xml:space="preserve">non-profits(50)
social project(50)
 </v>
      </c>
      <c r="CY119"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19" s="14" t="str">
        <f t="shared" si="323"/>
        <v xml:space="preserve">media(1,6.25%), reputation(1,6.25%), portfolio(1,6.25%),  </v>
      </c>
      <c r="DA119" s="27" t="str">
        <f t="shared" si="300"/>
        <v xml:space="preserve">media(6.25),reputation(6.25),portfolio(6.25), </v>
      </c>
      <c r="DB119" s="14" t="str">
        <f t="shared" si="325"/>
        <v xml:space="preserve">scale(1)
enthusiasm(2)
learning capacities(1)
non-profits(1)
aesthetics(1)
interaction(1)
 </v>
      </c>
      <c r="DC119" s="14" t="str">
        <f t="shared" si="326"/>
        <v xml:space="preserve">non-profits(1,50%), social project(1,50%),  </v>
      </c>
      <c r="DD119" s="14" t="str">
        <f t="shared" si="327"/>
        <v xml:space="preserve">non-profits(50)
social project(50)
 </v>
      </c>
      <c r="DE119" s="14" t="str">
        <f t="shared" si="328"/>
        <v xml:space="preserve">gifted programmer(1), gifted designer(1), scale(2), enthusiasm(4), agility(2), ambition(4), attention to details(2), fun-ness(2), administrator(2), ease of access(2), efficiency(3), VR&amp;AR(2),  </v>
      </c>
      <c r="DF119" s="14" t="str">
        <f t="shared" si="329"/>
        <v xml:space="preserve">media(1,6.25%), reputation(1,6.25%), portfolio(1,6.25%),  </v>
      </c>
      <c r="DG119" s="27" t="str">
        <f t="shared" si="300"/>
        <v xml:space="preserve">media(6.25),reputation(6.25),portfolio(6.25), </v>
      </c>
      <c r="DH119" s="14" t="str">
        <f t="shared" si="331"/>
        <v xml:space="preserve">wood(1)
plastic(1)
scale(2)
enthusiasm(2)
scale(1)
wood processing(1)
aesthetics(1)
safety(1)
 </v>
      </c>
      <c r="DI119" s="14" t="str">
        <f t="shared" si="332"/>
        <v xml:space="preserve">social project(1,100%),  </v>
      </c>
      <c r="DJ119" s="14" t="str">
        <f t="shared" si="333"/>
        <v xml:space="preserve">social project(100)
 </v>
      </c>
      <c r="DK119" s="14" t="str">
        <f t="shared" si="334"/>
        <v xml:space="preserve">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19" s="14" t="str">
        <f t="shared" si="335"/>
        <v xml:space="preserve">scale(1,6.25%), enthusiasm(1,6.25%), network among members(1,6.25%), enthusiasm(1,6.25%), agility(1,6.25%), fun-ness(1,6.25%), reputation(1,6.25%), portfolio(1,6.25%), team building(1,6.25%),  </v>
      </c>
      <c r="DM119" s="27" t="str">
        <f t="shared" si="300"/>
        <v xml:space="preserve">scale(6.25),enthusiasm(6.25),network among members(6.25),enthusiasm(6.25),agility(6.25),fun-ness(6.25),reputation(6.25),portfolio(6.25),team building(6.25), </v>
      </c>
      <c r="DN119" s="14" t="str">
        <f t="shared" si="337"/>
        <v xml:space="preserve">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19" s="14" t="str">
        <f t="shared" si="338"/>
        <v xml:space="preserve">reputation(1,25%), portfolio(1,50%),  </v>
      </c>
      <c r="DP119" s="14" t="str">
        <f t="shared" si="339"/>
        <v xml:space="preserve">reputation(25)
portfolio(50)
 </v>
      </c>
      <c r="DQ119"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19" s="14" t="str">
        <f t="shared" si="341"/>
        <v xml:space="preserve">suppliers(1,6.25%), reputation(1,6.25%),  </v>
      </c>
      <c r="DS119" s="27" t="str">
        <f t="shared" si="300"/>
        <v xml:space="preserve">suppliers(6.25),reputation(6.25), </v>
      </c>
      <c r="DT119" s="14" t="str">
        <f t="shared" si="343"/>
        <v xml:space="preserve">scale(2)
attention to details(2)
leader(1)
fame(1)
network(2)
reputation(3)
portfolio(2)
 </v>
      </c>
      <c r="DU119" s="14" t="str">
        <f t="shared" si="344"/>
        <v xml:space="preserve">fame(1,25%), govt(1,25%), non-profits(1,50%), reputation(1,25%),  </v>
      </c>
      <c r="DV119" s="14" t="str">
        <f t="shared" si="345"/>
        <v xml:space="preserve">fame(25)
govt(25)
non-profits(50)
reputation(25)
 </v>
      </c>
      <c r="DW119" s="14" t="str">
        <f t="shared" si="346"/>
        <v xml:space="preserve">scale(3), enthusiasm(3), enthusiasm(3), ambition(2), attention to details(2), PR(1), administrator(1), social media(2),  </v>
      </c>
      <c r="DX119" s="14" t="str">
        <f t="shared" si="347"/>
        <v xml:space="preserve">ambition(1,6.25%), fame(1,6.25%), reputation(1,6.25%),  </v>
      </c>
      <c r="DY119" s="27" t="str">
        <f t="shared" si="300"/>
        <v xml:space="preserve">ambition(6.25),fame(6.25),reputation(6.25), </v>
      </c>
      <c r="DZ119" s="14" t="str">
        <f t="shared" si="349"/>
        <v xml:space="preserve"> </v>
      </c>
      <c r="EA119" s="14" t="str">
        <f t="shared" si="350"/>
        <v xml:space="preserve"> </v>
      </c>
      <c r="EB119" s="14" t="str">
        <f t="shared" si="351"/>
        <v xml:space="preserve"> </v>
      </c>
      <c r="EC119" s="14" t="str">
        <f t="shared" si="352"/>
        <v xml:space="preserve"> </v>
      </c>
      <c r="ED119" s="14" t="str">
        <f t="shared" si="353"/>
        <v xml:space="preserve"> </v>
      </c>
      <c r="EE119" s="27" t="str">
        <f t="shared" si="300"/>
        <v xml:space="preserve"> </v>
      </c>
      <c r="EF119" s="14" t="str">
        <f t="shared" si="355"/>
        <v xml:space="preserve"> </v>
      </c>
      <c r="EG119" s="14" t="str">
        <f t="shared" si="356"/>
        <v xml:space="preserve"> </v>
      </c>
      <c r="EH119" s="14" t="str">
        <f t="shared" si="357"/>
        <v xml:space="preserve"> </v>
      </c>
      <c r="EI119" s="14" t="str">
        <f t="shared" si="358"/>
        <v xml:space="preserve"> </v>
      </c>
      <c r="EJ119" s="14" t="str">
        <f t="shared" si="359"/>
        <v xml:space="preserve"> </v>
      </c>
      <c r="EK119" s="27" t="str">
        <f t="shared" si="300"/>
        <v xml:space="preserve"> </v>
      </c>
      <c r="EL119" s="14" t="str">
        <f t="shared" si="361"/>
        <v xml:space="preserve"> </v>
      </c>
      <c r="EM119" s="14" t="str">
        <f t="shared" si="362"/>
        <v xml:space="preserve"> </v>
      </c>
      <c r="EN119" s="14" t="str">
        <f t="shared" si="363"/>
        <v xml:space="preserve"> </v>
      </c>
      <c r="EO119" s="14" t="str">
        <f t="shared" si="364"/>
        <v xml:space="preserve"> </v>
      </c>
      <c r="EP119" s="14" t="str">
        <f t="shared" si="365"/>
        <v xml:space="preserve"> </v>
      </c>
      <c r="EQ119" s="27" t="str">
        <f t="shared" si="366"/>
        <v xml:space="preserve"> </v>
      </c>
      <c r="ER119" s="14" t="str">
        <f t="shared" si="367"/>
        <v xml:space="preserve"> </v>
      </c>
      <c r="ES119" s="14" t="str">
        <f t="shared" si="368"/>
        <v xml:space="preserve"> </v>
      </c>
      <c r="ET119" s="14" t="str">
        <f t="shared" si="369"/>
        <v xml:space="preserve"> </v>
      </c>
      <c r="EU119" s="14" t="str">
        <f t="shared" si="370"/>
        <v xml:space="preserve"> </v>
      </c>
      <c r="EV119" s="14" t="str">
        <f t="shared" si="371"/>
        <v xml:space="preserve"> </v>
      </c>
      <c r="EW119" s="27" t="str">
        <f t="shared" si="366"/>
        <v xml:space="preserve"> </v>
      </c>
      <c r="EX119" s="14" t="str">
        <f t="shared" si="373"/>
        <v xml:space="preserve"> </v>
      </c>
      <c r="EY119" s="14" t="str">
        <f t="shared" si="374"/>
        <v xml:space="preserve"> </v>
      </c>
      <c r="EZ119" s="14" t="str">
        <f t="shared" si="375"/>
        <v xml:space="preserve"> </v>
      </c>
      <c r="FA119" s="14" t="str">
        <f t="shared" si="376"/>
        <v xml:space="preserve"> </v>
      </c>
      <c r="FB119" s="14" t="str">
        <f t="shared" si="377"/>
        <v xml:space="preserve"> </v>
      </c>
      <c r="FC119" s="27" t="str">
        <f t="shared" si="366"/>
        <v xml:space="preserve"> </v>
      </c>
      <c r="FD119" s="14" t="str">
        <f t="shared" si="379"/>
        <v xml:space="preserve"> </v>
      </c>
      <c r="FE119" s="14" t="str">
        <f t="shared" si="380"/>
        <v xml:space="preserve"> </v>
      </c>
      <c r="FF119" s="14" t="str">
        <f t="shared" si="381"/>
        <v xml:space="preserve"> </v>
      </c>
      <c r="FG119" s="14" t="str">
        <f t="shared" si="382"/>
        <v xml:space="preserve"> </v>
      </c>
      <c r="FH119" s="14" t="str">
        <f t="shared" si="383"/>
        <v xml:space="preserve"> </v>
      </c>
      <c r="FI119" s="27" t="str">
        <f t="shared" si="366"/>
        <v xml:space="preserve"> </v>
      </c>
      <c r="FJ119" s="14" t="str">
        <f t="shared" si="385"/>
        <v xml:space="preserve"> </v>
      </c>
      <c r="FK119" s="14" t="str">
        <f t="shared" si="386"/>
        <v xml:space="preserve"> </v>
      </c>
      <c r="FL119" s="14" t="str">
        <f t="shared" si="387"/>
        <v xml:space="preserve"> </v>
      </c>
      <c r="FM119" s="14" t="str">
        <f t="shared" si="388"/>
        <v xml:space="preserve"> </v>
      </c>
      <c r="FN119" s="14" t="str">
        <f t="shared" si="389"/>
        <v xml:space="preserve"> </v>
      </c>
      <c r="FO119" s="27" t="str">
        <f t="shared" si="366"/>
        <v xml:space="preserve"> </v>
      </c>
      <c r="FP119" s="14" t="str">
        <f t="shared" si="391"/>
        <v xml:space="preserve"> </v>
      </c>
      <c r="FQ119" s="14" t="str">
        <f t="shared" si="392"/>
        <v xml:space="preserve"> </v>
      </c>
      <c r="FR119" s="14" t="str">
        <f t="shared" si="393"/>
        <v xml:space="preserve"> </v>
      </c>
      <c r="FS119" s="14" t="str">
        <f t="shared" si="394"/>
        <v xml:space="preserve"> </v>
      </c>
      <c r="FT119" s="14" t="str">
        <f t="shared" si="395"/>
        <v xml:space="preserve"> </v>
      </c>
      <c r="FU119" s="27" t="str">
        <f t="shared" si="366"/>
        <v xml:space="preserve"> </v>
      </c>
      <c r="FV119" s="14" t="str">
        <f t="shared" si="397"/>
        <v xml:space="preserve"> </v>
      </c>
      <c r="FW119" s="14" t="str">
        <f t="shared" si="398"/>
        <v xml:space="preserve"> </v>
      </c>
      <c r="FX119" s="14" t="str">
        <f t="shared" si="399"/>
        <v xml:space="preserve"> </v>
      </c>
      <c r="FY119" s="14" t="str">
        <f t="shared" si="400"/>
        <v xml:space="preserve"> </v>
      </c>
      <c r="FZ119" s="14" t="str">
        <f t="shared" si="401"/>
        <v xml:space="preserve"> </v>
      </c>
      <c r="GA119" s="27" t="str">
        <f t="shared" si="366"/>
        <v xml:space="preserve"> </v>
      </c>
      <c r="GB119" s="14" t="str">
        <f t="shared" si="403"/>
        <v xml:space="preserve"> </v>
      </c>
      <c r="GC119" s="14" t="str">
        <f t="shared" si="404"/>
        <v xml:space="preserve"> </v>
      </c>
      <c r="GD119" s="14" t="str">
        <f t="shared" si="405"/>
        <v xml:space="preserve"> </v>
      </c>
      <c r="GE119" s="14" t="str">
        <f t="shared" si="406"/>
        <v xml:space="preserve"> </v>
      </c>
      <c r="GF119" s="14" t="str">
        <f t="shared" si="407"/>
        <v xml:space="preserve"> </v>
      </c>
      <c r="GG119" s="27" t="str">
        <f t="shared" si="366"/>
        <v xml:space="preserve"> </v>
      </c>
      <c r="GH119" s="14" t="str">
        <f t="shared" si="409"/>
        <v xml:space="preserve"> </v>
      </c>
      <c r="GI119" s="14" t="str">
        <f t="shared" si="410"/>
        <v xml:space="preserve"> </v>
      </c>
      <c r="GJ119" s="14" t="str">
        <f t="shared" si="411"/>
        <v xml:space="preserve"> </v>
      </c>
      <c r="GK119" s="14" t="str">
        <f t="shared" si="412"/>
        <v xml:space="preserve"> </v>
      </c>
      <c r="GL119" s="14" t="str">
        <f t="shared" si="413"/>
        <v xml:space="preserve"> </v>
      </c>
      <c r="GM119" s="27" t="str">
        <f t="shared" si="366"/>
        <v xml:space="preserve"> </v>
      </c>
      <c r="GN119" s="14" t="str">
        <f t="shared" si="415"/>
        <v xml:space="preserve"> </v>
      </c>
      <c r="GO119" s="14" t="str">
        <f t="shared" si="416"/>
        <v xml:space="preserve"> </v>
      </c>
      <c r="GP119" s="14" t="str">
        <f t="shared" si="417"/>
        <v xml:space="preserve"> </v>
      </c>
      <c r="GQ119" s="14" t="str">
        <f t="shared" si="418"/>
        <v xml:space="preserve"> </v>
      </c>
      <c r="GR119" s="14" t="str">
        <f t="shared" si="419"/>
        <v xml:space="preserve"> </v>
      </c>
      <c r="GS119" s="27" t="str">
        <f t="shared" si="366"/>
        <v xml:space="preserve"> </v>
      </c>
      <c r="GT119" s="14" t="str">
        <f t="shared" si="421"/>
        <v xml:space="preserve"> </v>
      </c>
      <c r="GU119" s="14" t="str">
        <f t="shared" si="422"/>
        <v xml:space="preserve"> </v>
      </c>
      <c r="GV119" s="14" t="str">
        <f t="shared" si="423"/>
        <v xml:space="preserve"> </v>
      </c>
      <c r="GW119" s="14" t="str">
        <f t="shared" si="424"/>
        <v xml:space="preserve"> </v>
      </c>
      <c r="GX119" s="14" t="str">
        <f t="shared" si="425"/>
        <v xml:space="preserve"> </v>
      </c>
      <c r="GY119" s="27" t="str">
        <f t="shared" si="366"/>
        <v xml:space="preserve"> </v>
      </c>
      <c r="GZ119" s="14" t="str">
        <f t="shared" si="427"/>
        <v xml:space="preserve"> </v>
      </c>
      <c r="HA119" s="14" t="str">
        <f t="shared" si="428"/>
        <v xml:space="preserve"> </v>
      </c>
      <c r="HB119" s="14" t="str">
        <f t="shared" si="429"/>
        <v xml:space="preserve"> </v>
      </c>
      <c r="HC119" s="14" t="str">
        <f t="shared" si="430"/>
        <v xml:space="preserve"> </v>
      </c>
      <c r="HD119" s="14" t="str">
        <f t="shared" si="431"/>
        <v xml:space="preserve"> </v>
      </c>
      <c r="HE119" s="27" t="str">
        <f t="shared" si="432"/>
        <v xml:space="preserve"> </v>
      </c>
      <c r="HF119" s="14" t="str">
        <f t="shared" si="433"/>
        <v xml:space="preserve"> </v>
      </c>
      <c r="HG119" s="14" t="str">
        <f t="shared" si="434"/>
        <v xml:space="preserve"> </v>
      </c>
      <c r="HH119" s="14" t="str">
        <f t="shared" si="435"/>
        <v xml:space="preserve"> </v>
      </c>
      <c r="HI119" s="14" t="str">
        <f t="shared" si="436"/>
        <v xml:space="preserve"> </v>
      </c>
      <c r="HJ119" s="14" t="str">
        <f t="shared" si="437"/>
        <v xml:space="preserve"> </v>
      </c>
      <c r="HK119" s="27" t="str">
        <f t="shared" si="432"/>
        <v xml:space="preserve"> </v>
      </c>
      <c r="HL119" s="14" t="str">
        <f t="shared" si="439"/>
        <v xml:space="preserve"> </v>
      </c>
      <c r="HM119" s="14" t="str">
        <f t="shared" si="440"/>
        <v xml:space="preserve"> </v>
      </c>
      <c r="HN119" s="14" t="str">
        <f t="shared" si="441"/>
        <v xml:space="preserve"> </v>
      </c>
      <c r="HO119" s="14" t="str">
        <f t="shared" si="442"/>
        <v xml:space="preserve"> </v>
      </c>
      <c r="HP119" s="14" t="str">
        <f t="shared" si="443"/>
        <v xml:space="preserve"> </v>
      </c>
      <c r="HQ119" s="27" t="str">
        <f t="shared" si="432"/>
        <v xml:space="preserve"> </v>
      </c>
    </row>
    <row r="120" spans="1:225" ht="15.75" customHeight="1">
      <c r="A120" s="7">
        <f t="shared" ref="A120:C120" si="462">A12</f>
        <v>0</v>
      </c>
      <c r="B120" s="7">
        <f t="shared" si="462"/>
        <v>0</v>
      </c>
      <c r="C120" s="7" t="str">
        <f t="shared" si="462"/>
        <v>wood</v>
      </c>
      <c r="D120" s="14" t="str">
        <f t="shared" si="446"/>
        <v xml:space="preserve"> </v>
      </c>
      <c r="E120" s="14" t="str">
        <f t="shared" si="447"/>
        <v xml:space="preserve"> </v>
      </c>
      <c r="F120" s="14" t="str">
        <f t="shared" si="448"/>
        <v xml:space="preserve"> </v>
      </c>
      <c r="G120" s="14" t="str">
        <f t="shared" si="449"/>
        <v xml:space="preserve">wood(1), metal(1), plastic(1), electronics(1), fabric(1), scale(1), attention to details(1.1), efficiency(1), user rules and manuals(2.1), organizational rules and manuals(2.1),  </v>
      </c>
      <c r="H120" s="14" t="str">
        <f t="shared" si="450"/>
        <v xml:space="preserve">wood(-1,6.25%), metal(-1,6.25%), plastic(-1,6.25%), electronics(-1,6.25%), fabric(-1,6.25%), scale(-1,6.25%), efficiency(-1,6.25%),  </v>
      </c>
      <c r="I120" s="27" t="str">
        <f t="shared" ref="I120" si="463">IF(I12="",I121,$C120&amp;"("&amp;I12&amp;"),"&amp;I121)</f>
        <v xml:space="preserve">wood(6.25),metal(6.25),plastic(6.25),electronics(6.25),fabric(6.25),scale(6.25),efficiency(6.25), </v>
      </c>
      <c r="J120" s="14" t="str">
        <f t="shared" si="229"/>
        <v xml:space="preserve">scale(1)
enthusiasm(1)
 </v>
      </c>
      <c r="K120" s="14" t="str">
        <f t="shared" si="230"/>
        <v xml:space="preserve">scale(-1,12.5%), enthusiasm(-1,25%),  </v>
      </c>
      <c r="L120" s="14" t="str">
        <f t="shared" si="231"/>
        <v xml:space="preserve">scale(12.5)
enthusiasm(25)
 </v>
      </c>
      <c r="M120" s="14" t="str">
        <f t="shared" si="232"/>
        <v xml:space="preserve">scale(1.1), efficiency(0.1), organizational rules and manuals(1.1),  </v>
      </c>
      <c r="N120" s="14" t="str">
        <f t="shared" si="233"/>
        <v xml:space="preserve">agility(-1,6.75%), ambition(-1,6.75%), fun-ness(-1,6.75%), initiative(-1,6.75%),  </v>
      </c>
      <c r="O120" s="27" t="str">
        <f t="shared" si="234"/>
        <v xml:space="preserve">agility(6.75),ambition(6.75),fun-ness(6.75),initiative(6.75), </v>
      </c>
      <c r="P120" s="14" t="str">
        <f t="shared" si="235"/>
        <v xml:space="preserve">scale(1)
enthusiasm(1)
 </v>
      </c>
      <c r="Q120" s="14" t="str">
        <f t="shared" si="236"/>
        <v xml:space="preserve">enthusiasm(-1,50%), gifted leader(-1,25%), gifted programmer(-1,25%), gifted designer(-1,25%),  </v>
      </c>
      <c r="R120" s="14" t="str">
        <f t="shared" si="237"/>
        <v xml:space="preserve">enthusiasm(50)
gifted leader(25)
gifted programmer(25)
gifted designer(25)
 </v>
      </c>
      <c r="S120" s="14" t="str">
        <f t="shared" si="238"/>
        <v xml:space="preserve">scale(1), network among members(0.1), gifted leader(1), gifted programmer(1), gifted designer(1), ambition(1), attention to details(0.1), community manager(0.1), team building(0.1),  </v>
      </c>
      <c r="T120" s="14" t="str">
        <f t="shared" si="239"/>
        <v xml:space="preserve">ambition(-1,%), business model(-1,6.25%), web(-1,6.25%), mobile apps(-1,6.25%), aesthetics(-1,6.25%),  </v>
      </c>
      <c r="U120" s="27" t="str">
        <f t="shared" si="234"/>
        <v xml:space="preserve">business model(6.25),web(6.25),mobile apps(6.25),aesthetics(6.25), </v>
      </c>
      <c r="V120" s="14" t="str">
        <f t="shared" si="241"/>
        <v xml:space="preserve">scale(1)
scale(1)
 </v>
      </c>
      <c r="W120" s="14" t="str">
        <f t="shared" si="242"/>
        <v xml:space="preserve">enthusiasm(-1,25%), enthusiasm(-1,25%), efficiency(-1,25%),  </v>
      </c>
      <c r="X120" s="14" t="str">
        <f t="shared" si="243"/>
        <v xml:space="preserve">enthusiasm(25)
enthusiasm(25)
efficiency(25)
 </v>
      </c>
      <c r="Y120" s="14" t="str">
        <f t="shared" si="244"/>
        <v xml:space="preserve">community manager(0.1), administrator(0.1), spaciousness(1), ease of access(3), reputation(2), user rules and manuals(0.1), project management(0.1), negotiation(0.1),  </v>
      </c>
      <c r="Z120" s="14" t="str">
        <f t="shared" si="245"/>
        <v xml:space="preserve">scale(-1,6.25%), reputation(-1,%),  </v>
      </c>
      <c r="AA120" s="27" t="str">
        <f t="shared" si="234"/>
        <v xml:space="preserve">scale(6.25), </v>
      </c>
      <c r="AB120" s="14" t="str">
        <f t="shared" si="247"/>
        <v xml:space="preserve"> </v>
      </c>
      <c r="AC120" s="14" t="str">
        <f t="shared" si="248"/>
        <v xml:space="preserve"> </v>
      </c>
      <c r="AD120" s="14" t="str">
        <f t="shared" si="249"/>
        <v xml:space="preserve"> </v>
      </c>
      <c r="AE120" s="14" t="str">
        <f t="shared" si="250"/>
        <v xml:space="preserve">scale(3), network among members(0.1), scale(1.1), attention to details(0.1), seriousness(0.1), initiative(0.1), spaciousness(1), user rules and manuals(1.1), organizational rules and manuals(1.1),  </v>
      </c>
      <c r="AF120" s="14" t="str">
        <f t="shared" si="251"/>
        <v xml:space="preserve">wood(-1,6.25%), fabric(-1,6.25%), enthusiasm(-1,6.25%), enthusiasm(-1,%), local biz(-1,6.25%), investors(-1,6.25%), non-profits(-1,6.25%), efficiency(-1,6.25%),  </v>
      </c>
      <c r="AG120" s="27" t="str">
        <f t="shared" si="234"/>
        <v xml:space="preserve">wood(6.25),fabric(6.25),enthusiasm(6.25),local biz(6.25),investors(6.25),non-profits(6.25),efficiency(6.25), </v>
      </c>
      <c r="AH120" s="14" t="str">
        <f t="shared" si="253"/>
        <v xml:space="preserve">scale(1)
enthusiasm(2)
fun-ness(1)
ease of access(1)
reputation(1)
 </v>
      </c>
      <c r="AI120" s="14" t="str">
        <f t="shared" si="254"/>
        <v xml:space="preserve">enthusiasm(-1,25%),  </v>
      </c>
      <c r="AJ120" s="14" t="str">
        <f t="shared" si="255"/>
        <v xml:space="preserve">enthusiasm(25)
 </v>
      </c>
      <c r="AK120" s="14" t="str">
        <f t="shared" si="256"/>
        <v xml:space="preserve">scale(2), enthusiasm(2), scale(3.1), attention to details(2.1), seriousness(2.1), community manager(2.1), administrator(2.1), spaciousness(1), ease of access(1), reputation(2), user rules and manuals(2.1), organizational rules and manuals(2.1), law(1.1), negotiation(1.1),  </v>
      </c>
      <c r="AL120" s="14" t="str">
        <f t="shared" si="257"/>
        <v xml:space="preserve">scale(-1,6.25%), enthusiasm(-1,6.25%), govt(-1,6.25%), non-profits(-1,6.25%), reputation(-1,6.25%),  </v>
      </c>
      <c r="AM120" s="27" t="str">
        <f t="shared" si="234"/>
        <v xml:space="preserve">scale(6.25),enthusiasm(6.25),govt(6.25),non-profits(6.25),reputation(6.25), </v>
      </c>
      <c r="AN120" s="14" t="str">
        <f t="shared" si="259"/>
        <v xml:space="preserve">scale(1)
fun-ness(1)
seriousness(1)
 </v>
      </c>
      <c r="AO120" s="14" t="str">
        <f t="shared" si="260"/>
        <v xml:space="preserve">scale(-1,25%), enthusiasm(-1,25%), enthusiasm(-1,25%),  </v>
      </c>
      <c r="AP120" s="14" t="str">
        <f t="shared" si="261"/>
        <v xml:space="preserve">scale(25)
enthusiasm(25)
enthusiasm(25)
 </v>
      </c>
      <c r="AQ120" s="14" t="str">
        <f t="shared" si="262"/>
        <v xml:space="preserve">scale(1), fun-ness(1), spaciousness(2.1), reputation(3), organizational rules and manuals(2.1), team building(2.1),  </v>
      </c>
      <c r="AR120" s="14" t="str">
        <f t="shared" si="263"/>
        <v xml:space="preserve">enthusiasm(-1,12.5%), fun-ness(-1,6.25%), reputation(-1,6.25%), efficiency(-1,6.25%),  </v>
      </c>
      <c r="AS120" s="27" t="str">
        <f t="shared" si="234"/>
        <v xml:space="preserve">enthusiasm(12.5),fun-ness(6.25),reputation(6.25),efficiency(6.25), </v>
      </c>
      <c r="AT120" s="14" t="str">
        <f t="shared" si="265"/>
        <v xml:space="preserve">scale(1)
enthusiasm(1)
network among members(3.1)
 </v>
      </c>
      <c r="AU120" s="14" t="str">
        <f t="shared" si="266"/>
        <v xml:space="preserve">scale(-1,25%), enthusiasm(-1,25%),  </v>
      </c>
      <c r="AV120" s="14" t="str">
        <f t="shared" si="267"/>
        <v xml:space="preserve">scale(25)
enthusiasm(25)
 </v>
      </c>
      <c r="AW120" s="14" t="str">
        <f t="shared" si="268"/>
        <v xml:space="preserve">scale(1), enthusiasm(1), attention to details(3.1), fun-ness(3.1), seriousness(3.1), initiative(2.1), leader(2.1), community manager(2.1), user rules and manuals(2.1), team building(2.1),  </v>
      </c>
      <c r="AX120" s="14" t="str">
        <f t="shared" si="269"/>
        <v xml:space="preserve">field knowledge(-1,6.25%), network among members(-1,6.25%), gifted assistant(-1,6.25%),  </v>
      </c>
      <c r="AY120" s="27" t="str">
        <f t="shared" si="234"/>
        <v xml:space="preserve">field knowledge(6.25),network among members(6.25),gifted assistant(6.25), </v>
      </c>
      <c r="AZ120" s="14" t="str">
        <f t="shared" si="271"/>
        <v xml:space="preserve">wood(1)
scale(1)
 </v>
      </c>
      <c r="BA120" s="14" t="str">
        <f t="shared" si="272"/>
        <v xml:space="preserve">enthusiasm(-1,12.5%), attention to details(1,12.5%), fun-ness(-1,12.5%), seriousness(1,12.5%), efficiency(-1,12.5%), user rules and manuals(1,25%),  </v>
      </c>
      <c r="BB120" s="14" t="str">
        <f t="shared" si="273"/>
        <v xml:space="preserve">enthusiasm(12.5)
attention to details(12.5)
fun-ness(12.5)
seriousness(12.5)
efficiency(12.5)
user rules and manuals(25)
 </v>
      </c>
      <c r="BC120" s="14" t="str">
        <f t="shared" si="274"/>
        <v xml:space="preserve">wood(1), scale(1), agility(1.1), attention to details(1.1), seriousness(1.1), community manager(1.1), administrator(1.1), user rules and manuals(2.1), organizational rules and manuals(2.1),  </v>
      </c>
      <c r="BD120" s="14" t="str">
        <f t="shared" si="275"/>
        <v xml:space="preserve">wood(-1,6.25%), scale(-1,6.25%), enthusiasm(-1,6.25%), reputation(-1,6.25%),  </v>
      </c>
      <c r="BE120" s="27" t="str">
        <f t="shared" si="234"/>
        <v xml:space="preserve">wood(6.25),scale(6.25),enthusiasm(6.25),reputation(6.25), </v>
      </c>
      <c r="BF120" s="14" t="str">
        <f t="shared" si="277"/>
        <v xml:space="preserve"> </v>
      </c>
      <c r="BG120" s="14" t="str">
        <f t="shared" si="278"/>
        <v xml:space="preserve">plastic(-1,25%), enthusiasm(-1,25%), enthusiasm(-1,25%), attention to details(1,25%), fun-ness(-1,25%), seriousness(1,25%), user rules and manuals(1,25%), organizational rules and manuals(1,25%),  </v>
      </c>
      <c r="BH120" s="14" t="str">
        <f t="shared" si="279"/>
        <v xml:space="preserve">plastic(25)
enthusiasm(25)
enthusiasm(25)
attention to details(25)
fun-ness(25)
seriousness(25)
user rules and manuals(25)
organizational rules and manuals(25)
 </v>
      </c>
      <c r="BI120" s="14" t="str">
        <f t="shared" si="280"/>
        <v xml:space="preserve">enthusiasm(1), engineering knowledge(1.1), enthusiasm(1), fun-ness(1), seriousness(2.1), community manager(1.1), administrator(1.1),  </v>
      </c>
      <c r="BJ120" s="14" t="str">
        <f t="shared" si="281"/>
        <v xml:space="preserve">reputation(-1,6.25%), efficiency(-1,25%),  </v>
      </c>
      <c r="BK120" s="27" t="str">
        <f t="shared" si="234"/>
        <v xml:space="preserve">reputation(6.25),efficiency(25), </v>
      </c>
      <c r="BL120" s="14" t="str">
        <f t="shared" si="283"/>
        <v xml:space="preserve">scale(2)
local biz(1)
ease of access(1)
reputation(1)
aesthetics(1)
 </v>
      </c>
      <c r="BM120" s="14" t="str">
        <f t="shared" si="284"/>
        <v xml:space="preserve">biz enhancement(1,%),  </v>
      </c>
      <c r="BN120" s="14" t="str">
        <f t="shared" si="285"/>
        <v xml:space="preserve"> </v>
      </c>
      <c r="BO120"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0" s="14" t="str">
        <f t="shared" si="287"/>
        <v xml:space="preserve">local biz(1,6.25%),  </v>
      </c>
      <c r="BQ120" s="27" t="str">
        <f t="shared" si="234"/>
        <v xml:space="preserve">local biz(6.25), </v>
      </c>
      <c r="BR120" s="14" t="str">
        <f t="shared" si="289"/>
        <v xml:space="preserve">wood(1)
scale(2)
scale(1)
local biz(1)
ease of access(1)
reputation(1)
aesthetics(1)
 </v>
      </c>
      <c r="BS120" s="14" t="str">
        <f t="shared" si="290"/>
        <v xml:space="preserve">biz project(1,%),  </v>
      </c>
      <c r="BT120" s="14" t="str">
        <f t="shared" si="291"/>
        <v xml:space="preserve"> </v>
      </c>
      <c r="BU120"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0" s="14" t="str">
        <f t="shared" si="293"/>
        <v xml:space="preserve">local biz(1,6.25%),  </v>
      </c>
      <c r="BW120" s="27" t="str">
        <f t="shared" si="234"/>
        <v xml:space="preserve">local biz(6.25), </v>
      </c>
      <c r="BX120" s="14" t="str">
        <f t="shared" si="295"/>
        <v xml:space="preserve">scale(2)
enthusiasm(1)
local biz(1)
ease of access(1)
reputation(1)
aesthetics(1)
interaction(1)
 </v>
      </c>
      <c r="BY120" s="14" t="str">
        <f t="shared" si="296"/>
        <v xml:space="preserve">biz project(1,%),  </v>
      </c>
      <c r="BZ120" s="14" t="str">
        <f t="shared" si="297"/>
        <v xml:space="preserve"> </v>
      </c>
      <c r="CA120"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0" s="14" t="str">
        <f t="shared" si="299"/>
        <v xml:space="preserve">local biz(1,6.25%),  </v>
      </c>
      <c r="CC120" s="27" t="str">
        <f t="shared" si="300"/>
        <v xml:space="preserve">local biz(6.25), </v>
      </c>
      <c r="CD120" s="14" t="str">
        <f t="shared" si="301"/>
        <v xml:space="preserve">scale(2)
enthusiasm(1)
ease of access(1)
reputation(1)
aesthetics(1)
 </v>
      </c>
      <c r="CE120" s="14" t="str">
        <f t="shared" si="302"/>
        <v xml:space="preserve">biz project(1,%),  </v>
      </c>
      <c r="CF120" s="14" t="str">
        <f t="shared" si="303"/>
        <v xml:space="preserve"> </v>
      </c>
      <c r="CG120"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0" s="14" t="str">
        <f t="shared" si="305"/>
        <v xml:space="preserve">local biz(1,6.25%),  </v>
      </c>
      <c r="CI120" s="27" t="str">
        <f t="shared" si="300"/>
        <v xml:space="preserve">local biz(6.25), </v>
      </c>
      <c r="CJ120" s="14" t="str">
        <f t="shared" si="307"/>
        <v xml:space="preserve">scale(2)
ease of access(1)
reputation(1)
aesthetics(1)
 </v>
      </c>
      <c r="CK120" s="14" t="str">
        <f t="shared" si="308"/>
        <v xml:space="preserve">biz project(1,%),  </v>
      </c>
      <c r="CL120" s="14" t="str">
        <f t="shared" si="309"/>
        <v xml:space="preserve"> </v>
      </c>
      <c r="CM120"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0" s="14" t="str">
        <f t="shared" si="311"/>
        <v xml:space="preserve">local biz(1,6.25%),  </v>
      </c>
      <c r="CO120" s="27" t="str">
        <f t="shared" si="300"/>
        <v xml:space="preserve">local biz(6.25), </v>
      </c>
      <c r="CP120" s="14" t="str">
        <f t="shared" si="313"/>
        <v xml:space="preserve">metal(1)
scale(2)
enthusiasm(1)
learning capacities(1)
field knowledge(1)
local biz(1)
metal processing(1)
functions(1)
 </v>
      </c>
      <c r="CQ120" s="14" t="str">
        <f t="shared" si="314"/>
        <v xml:space="preserve">local biz(1,50%), biz enhancement(1,50%),  </v>
      </c>
      <c r="CR120" s="14" t="str">
        <f t="shared" si="315"/>
        <v xml:space="preserve">local biz(50)
biz enhancement(50)
 </v>
      </c>
      <c r="CS120"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0" s="14" t="str">
        <f t="shared" si="317"/>
        <v xml:space="preserve">reputation(1,6.25%),  </v>
      </c>
      <c r="CU120" s="27" t="str">
        <f t="shared" si="300"/>
        <v xml:space="preserve">reputation(6.25), </v>
      </c>
      <c r="CV120" s="14" t="str">
        <f t="shared" si="319"/>
        <v xml:space="preserve">wood(1)
scale(1)
enthusiasm(2)
learning capacities(1)
non-profits(1)
wood processing(1)
aesthetics(1)
interaction(1)
 </v>
      </c>
      <c r="CW120" s="14" t="str">
        <f t="shared" si="320"/>
        <v xml:space="preserve">non-profits(1,50%), social project(1,50%),  </v>
      </c>
      <c r="CX120" s="14" t="str">
        <f t="shared" si="321"/>
        <v xml:space="preserve">non-profits(50)
social project(50)
 </v>
      </c>
      <c r="CY120"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0" s="14" t="str">
        <f t="shared" si="323"/>
        <v xml:space="preserve">media(1,6.25%), reputation(1,6.25%), portfolio(1,6.25%),  </v>
      </c>
      <c r="DA120" s="27" t="str">
        <f t="shared" si="300"/>
        <v xml:space="preserve">media(6.25),reputation(6.25),portfolio(6.25), </v>
      </c>
      <c r="DB120" s="14" t="str">
        <f t="shared" si="325"/>
        <v xml:space="preserve">scale(1)
enthusiasm(2)
learning capacities(1)
non-profits(1)
aesthetics(1)
interaction(1)
 </v>
      </c>
      <c r="DC120" s="14" t="str">
        <f t="shared" si="326"/>
        <v xml:space="preserve">non-profits(1,50%), social project(1,50%),  </v>
      </c>
      <c r="DD120" s="14" t="str">
        <f t="shared" si="327"/>
        <v xml:space="preserve">non-profits(50)
social project(50)
 </v>
      </c>
      <c r="DE120" s="14" t="str">
        <f t="shared" si="328"/>
        <v xml:space="preserve">gifted programmer(1), gifted designer(1), scale(2), enthusiasm(4), agility(2), ambition(4), attention to details(2), fun-ness(2), administrator(2), ease of access(2), efficiency(3), VR&amp;AR(2),  </v>
      </c>
      <c r="DF120" s="14" t="str">
        <f t="shared" si="329"/>
        <v xml:space="preserve">media(1,6.25%), reputation(1,6.25%), portfolio(1,6.25%),  </v>
      </c>
      <c r="DG120" s="27" t="str">
        <f t="shared" si="300"/>
        <v xml:space="preserve">media(6.25),reputation(6.25),portfolio(6.25), </v>
      </c>
      <c r="DH120" s="14" t="str">
        <f t="shared" si="331"/>
        <v xml:space="preserve">wood(1)
plastic(1)
scale(2)
enthusiasm(2)
scale(1)
wood processing(1)
aesthetics(1)
safety(1)
 </v>
      </c>
      <c r="DI120" s="14" t="str">
        <f t="shared" si="332"/>
        <v xml:space="preserve">social project(1,100%),  </v>
      </c>
      <c r="DJ120" s="14" t="str">
        <f t="shared" si="333"/>
        <v xml:space="preserve">social project(100)
 </v>
      </c>
      <c r="DK120" s="14" t="str">
        <f t="shared" si="334"/>
        <v xml:space="preserve">wood(2), 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0" s="14" t="str">
        <f t="shared" si="335"/>
        <v xml:space="preserve">scale(1,6.25%), enthusiasm(1,6.25%), network among members(1,6.25%), enthusiasm(1,6.25%), agility(1,6.25%), fun-ness(1,6.25%), reputation(1,6.25%), portfolio(1,6.25%), team building(1,6.25%),  </v>
      </c>
      <c r="DM120" s="27" t="str">
        <f t="shared" si="300"/>
        <v xml:space="preserve">scale(6.25),enthusiasm(6.25),network among members(6.25),enthusiasm(6.25),agility(6.25),fun-ness(6.25),reputation(6.25),portfolio(6.25),team building(6.25), </v>
      </c>
      <c r="DN120" s="14" t="str">
        <f t="shared" si="337"/>
        <v xml:space="preserve">wood(1)
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20" s="14" t="str">
        <f t="shared" si="338"/>
        <v xml:space="preserve">reputation(1,25%), portfolio(1,50%),  </v>
      </c>
      <c r="DP120" s="14" t="str">
        <f t="shared" si="339"/>
        <v xml:space="preserve">reputation(25)
portfolio(50)
 </v>
      </c>
      <c r="DQ120" s="14" t="str">
        <f t="shared" si="340"/>
        <v xml:space="preserve">wood(2), plastic(2), engineering knowledge(2), network among members(1), gifted leader(1), gifted assistant(1), gifted designer(1), ambition(1), attention to details(3), fun-ness(3), administrator(1), media(3), suppliers(3), social media(2), wood processing(2), plastic processing(2), electronics(2), aesthetics(2),  </v>
      </c>
      <c r="DR120" s="14" t="str">
        <f t="shared" si="341"/>
        <v xml:space="preserve">suppliers(1,6.25%), reputation(1,6.25%),  </v>
      </c>
      <c r="DS120" s="27" t="str">
        <f t="shared" si="300"/>
        <v xml:space="preserve">suppliers(6.25),reputation(6.25), </v>
      </c>
      <c r="DT120" s="14" t="str">
        <f t="shared" si="343"/>
        <v xml:space="preserve">scale(2)
attention to details(2)
leader(1)
fame(1)
network(2)
reputation(3)
portfolio(2)
 </v>
      </c>
      <c r="DU120" s="14" t="str">
        <f t="shared" si="344"/>
        <v xml:space="preserve">fame(1,25%), govt(1,25%), non-profits(1,50%), reputation(1,25%),  </v>
      </c>
      <c r="DV120" s="14" t="str">
        <f t="shared" si="345"/>
        <v xml:space="preserve">fame(25)
govt(25)
non-profits(50)
reputation(25)
 </v>
      </c>
      <c r="DW120" s="14" t="str">
        <f t="shared" si="346"/>
        <v xml:space="preserve">scale(3), enthusiasm(3), enthusiasm(3), ambition(2), attention to details(2), PR(1), administrator(1), social media(2),  </v>
      </c>
      <c r="DX120" s="14" t="str">
        <f t="shared" si="347"/>
        <v xml:space="preserve">ambition(1,6.25%), fame(1,6.25%), reputation(1,6.25%),  </v>
      </c>
      <c r="DY120" s="27" t="str">
        <f t="shared" si="300"/>
        <v xml:space="preserve">ambition(6.25),fame(6.25),reputation(6.25), </v>
      </c>
      <c r="DZ120" s="14" t="str">
        <f t="shared" si="349"/>
        <v xml:space="preserve"> </v>
      </c>
      <c r="EA120" s="14" t="str">
        <f t="shared" si="350"/>
        <v xml:space="preserve"> </v>
      </c>
      <c r="EB120" s="14" t="str">
        <f t="shared" si="351"/>
        <v xml:space="preserve"> </v>
      </c>
      <c r="EC120" s="14" t="str">
        <f t="shared" si="352"/>
        <v xml:space="preserve"> </v>
      </c>
      <c r="ED120" s="14" t="str">
        <f t="shared" si="353"/>
        <v xml:space="preserve"> </v>
      </c>
      <c r="EE120" s="27" t="str">
        <f t="shared" si="300"/>
        <v xml:space="preserve"> </v>
      </c>
      <c r="EF120" s="14" t="str">
        <f t="shared" si="355"/>
        <v xml:space="preserve"> </v>
      </c>
      <c r="EG120" s="14" t="str">
        <f t="shared" si="356"/>
        <v xml:space="preserve"> </v>
      </c>
      <c r="EH120" s="14" t="str">
        <f t="shared" si="357"/>
        <v xml:space="preserve"> </v>
      </c>
      <c r="EI120" s="14" t="str">
        <f t="shared" si="358"/>
        <v xml:space="preserve"> </v>
      </c>
      <c r="EJ120" s="14" t="str">
        <f t="shared" si="359"/>
        <v xml:space="preserve"> </v>
      </c>
      <c r="EK120" s="27" t="str">
        <f t="shared" si="300"/>
        <v xml:space="preserve"> </v>
      </c>
      <c r="EL120" s="14" t="str">
        <f t="shared" si="361"/>
        <v xml:space="preserve"> </v>
      </c>
      <c r="EM120" s="14" t="str">
        <f t="shared" si="362"/>
        <v xml:space="preserve"> </v>
      </c>
      <c r="EN120" s="14" t="str">
        <f t="shared" si="363"/>
        <v xml:space="preserve"> </v>
      </c>
      <c r="EO120" s="14" t="str">
        <f t="shared" si="364"/>
        <v xml:space="preserve"> </v>
      </c>
      <c r="EP120" s="14" t="str">
        <f t="shared" si="365"/>
        <v xml:space="preserve"> </v>
      </c>
      <c r="EQ120" s="27" t="str">
        <f t="shared" si="366"/>
        <v xml:space="preserve"> </v>
      </c>
      <c r="ER120" s="14" t="str">
        <f t="shared" si="367"/>
        <v xml:space="preserve"> </v>
      </c>
      <c r="ES120" s="14" t="str">
        <f t="shared" si="368"/>
        <v xml:space="preserve"> </v>
      </c>
      <c r="ET120" s="14" t="str">
        <f t="shared" si="369"/>
        <v xml:space="preserve"> </v>
      </c>
      <c r="EU120" s="14" t="str">
        <f t="shared" si="370"/>
        <v xml:space="preserve"> </v>
      </c>
      <c r="EV120" s="14" t="str">
        <f t="shared" si="371"/>
        <v xml:space="preserve"> </v>
      </c>
      <c r="EW120" s="27" t="str">
        <f t="shared" si="366"/>
        <v xml:space="preserve"> </v>
      </c>
      <c r="EX120" s="14" t="str">
        <f t="shared" si="373"/>
        <v xml:space="preserve"> </v>
      </c>
      <c r="EY120" s="14" t="str">
        <f t="shared" si="374"/>
        <v xml:space="preserve"> </v>
      </c>
      <c r="EZ120" s="14" t="str">
        <f t="shared" si="375"/>
        <v xml:space="preserve"> </v>
      </c>
      <c r="FA120" s="14" t="str">
        <f t="shared" si="376"/>
        <v xml:space="preserve"> </v>
      </c>
      <c r="FB120" s="14" t="str">
        <f t="shared" si="377"/>
        <v xml:space="preserve"> </v>
      </c>
      <c r="FC120" s="27" t="str">
        <f t="shared" si="366"/>
        <v xml:space="preserve"> </v>
      </c>
      <c r="FD120" s="14" t="str">
        <f t="shared" si="379"/>
        <v xml:space="preserve"> </v>
      </c>
      <c r="FE120" s="14" t="str">
        <f t="shared" si="380"/>
        <v xml:space="preserve"> </v>
      </c>
      <c r="FF120" s="14" t="str">
        <f t="shared" si="381"/>
        <v xml:space="preserve"> </v>
      </c>
      <c r="FG120" s="14" t="str">
        <f t="shared" si="382"/>
        <v xml:space="preserve"> </v>
      </c>
      <c r="FH120" s="14" t="str">
        <f t="shared" si="383"/>
        <v xml:space="preserve"> </v>
      </c>
      <c r="FI120" s="27" t="str">
        <f t="shared" si="366"/>
        <v xml:space="preserve"> </v>
      </c>
      <c r="FJ120" s="14" t="str">
        <f t="shared" si="385"/>
        <v xml:space="preserve"> </v>
      </c>
      <c r="FK120" s="14" t="str">
        <f t="shared" si="386"/>
        <v xml:space="preserve"> </v>
      </c>
      <c r="FL120" s="14" t="str">
        <f t="shared" si="387"/>
        <v xml:space="preserve"> </v>
      </c>
      <c r="FM120" s="14" t="str">
        <f t="shared" si="388"/>
        <v xml:space="preserve"> </v>
      </c>
      <c r="FN120" s="14" t="str">
        <f t="shared" si="389"/>
        <v xml:space="preserve"> </v>
      </c>
      <c r="FO120" s="27" t="str">
        <f t="shared" si="366"/>
        <v xml:space="preserve"> </v>
      </c>
      <c r="FP120" s="14" t="str">
        <f t="shared" si="391"/>
        <v xml:space="preserve"> </v>
      </c>
      <c r="FQ120" s="14" t="str">
        <f t="shared" si="392"/>
        <v xml:space="preserve"> </v>
      </c>
      <c r="FR120" s="14" t="str">
        <f t="shared" si="393"/>
        <v xml:space="preserve"> </v>
      </c>
      <c r="FS120" s="14" t="str">
        <f t="shared" si="394"/>
        <v xml:space="preserve"> </v>
      </c>
      <c r="FT120" s="14" t="str">
        <f t="shared" si="395"/>
        <v xml:space="preserve"> </v>
      </c>
      <c r="FU120" s="27" t="str">
        <f t="shared" si="366"/>
        <v xml:space="preserve"> </v>
      </c>
      <c r="FV120" s="14" t="str">
        <f t="shared" si="397"/>
        <v xml:space="preserve"> </v>
      </c>
      <c r="FW120" s="14" t="str">
        <f t="shared" si="398"/>
        <v xml:space="preserve"> </v>
      </c>
      <c r="FX120" s="14" t="str">
        <f t="shared" si="399"/>
        <v xml:space="preserve"> </v>
      </c>
      <c r="FY120" s="14" t="str">
        <f t="shared" si="400"/>
        <v xml:space="preserve"> </v>
      </c>
      <c r="FZ120" s="14" t="str">
        <f t="shared" si="401"/>
        <v xml:space="preserve"> </v>
      </c>
      <c r="GA120" s="27" t="str">
        <f t="shared" si="366"/>
        <v xml:space="preserve"> </v>
      </c>
      <c r="GB120" s="14" t="str">
        <f t="shared" si="403"/>
        <v xml:space="preserve"> </v>
      </c>
      <c r="GC120" s="14" t="str">
        <f t="shared" si="404"/>
        <v xml:space="preserve"> </v>
      </c>
      <c r="GD120" s="14" t="str">
        <f t="shared" si="405"/>
        <v xml:space="preserve"> </v>
      </c>
      <c r="GE120" s="14" t="str">
        <f t="shared" si="406"/>
        <v xml:space="preserve"> </v>
      </c>
      <c r="GF120" s="14" t="str">
        <f t="shared" si="407"/>
        <v xml:space="preserve"> </v>
      </c>
      <c r="GG120" s="27" t="str">
        <f t="shared" si="366"/>
        <v xml:space="preserve"> </v>
      </c>
      <c r="GH120" s="14" t="str">
        <f t="shared" si="409"/>
        <v xml:space="preserve"> </v>
      </c>
      <c r="GI120" s="14" t="str">
        <f t="shared" si="410"/>
        <v xml:space="preserve"> </v>
      </c>
      <c r="GJ120" s="14" t="str">
        <f t="shared" si="411"/>
        <v xml:space="preserve"> </v>
      </c>
      <c r="GK120" s="14" t="str">
        <f t="shared" si="412"/>
        <v xml:space="preserve"> </v>
      </c>
      <c r="GL120" s="14" t="str">
        <f t="shared" si="413"/>
        <v xml:space="preserve"> </v>
      </c>
      <c r="GM120" s="27" t="str">
        <f t="shared" si="366"/>
        <v xml:space="preserve"> </v>
      </c>
      <c r="GN120" s="14" t="str">
        <f t="shared" si="415"/>
        <v xml:space="preserve"> </v>
      </c>
      <c r="GO120" s="14" t="str">
        <f t="shared" si="416"/>
        <v xml:space="preserve"> </v>
      </c>
      <c r="GP120" s="14" t="str">
        <f t="shared" si="417"/>
        <v xml:space="preserve"> </v>
      </c>
      <c r="GQ120" s="14" t="str">
        <f t="shared" si="418"/>
        <v xml:space="preserve"> </v>
      </c>
      <c r="GR120" s="14" t="str">
        <f t="shared" si="419"/>
        <v xml:space="preserve"> </v>
      </c>
      <c r="GS120" s="27" t="str">
        <f t="shared" si="366"/>
        <v xml:space="preserve"> </v>
      </c>
      <c r="GT120" s="14" t="str">
        <f t="shared" si="421"/>
        <v xml:space="preserve"> </v>
      </c>
      <c r="GU120" s="14" t="str">
        <f t="shared" si="422"/>
        <v xml:space="preserve"> </v>
      </c>
      <c r="GV120" s="14" t="str">
        <f t="shared" si="423"/>
        <v xml:space="preserve"> </v>
      </c>
      <c r="GW120" s="14" t="str">
        <f t="shared" si="424"/>
        <v xml:space="preserve"> </v>
      </c>
      <c r="GX120" s="14" t="str">
        <f t="shared" si="425"/>
        <v xml:space="preserve"> </v>
      </c>
      <c r="GY120" s="27" t="str">
        <f t="shared" si="366"/>
        <v xml:space="preserve"> </v>
      </c>
      <c r="GZ120" s="14" t="str">
        <f t="shared" si="427"/>
        <v xml:space="preserve"> </v>
      </c>
      <c r="HA120" s="14" t="str">
        <f t="shared" si="428"/>
        <v xml:space="preserve"> </v>
      </c>
      <c r="HB120" s="14" t="str">
        <f t="shared" si="429"/>
        <v xml:space="preserve"> </v>
      </c>
      <c r="HC120" s="14" t="str">
        <f t="shared" si="430"/>
        <v xml:space="preserve"> </v>
      </c>
      <c r="HD120" s="14" t="str">
        <f t="shared" si="431"/>
        <v xml:space="preserve"> </v>
      </c>
      <c r="HE120" s="27" t="str">
        <f t="shared" si="432"/>
        <v xml:space="preserve"> </v>
      </c>
      <c r="HF120" s="14" t="str">
        <f t="shared" si="433"/>
        <v xml:space="preserve"> </v>
      </c>
      <c r="HG120" s="14" t="str">
        <f t="shared" si="434"/>
        <v xml:space="preserve"> </v>
      </c>
      <c r="HH120" s="14" t="str">
        <f t="shared" si="435"/>
        <v xml:space="preserve"> </v>
      </c>
      <c r="HI120" s="14" t="str">
        <f t="shared" si="436"/>
        <v xml:space="preserve"> </v>
      </c>
      <c r="HJ120" s="14" t="str">
        <f t="shared" si="437"/>
        <v xml:space="preserve"> </v>
      </c>
      <c r="HK120" s="27" t="str">
        <f t="shared" si="432"/>
        <v xml:space="preserve"> </v>
      </c>
      <c r="HL120" s="14" t="str">
        <f t="shared" si="439"/>
        <v xml:space="preserve"> </v>
      </c>
      <c r="HM120" s="14" t="str">
        <f t="shared" si="440"/>
        <v xml:space="preserve"> </v>
      </c>
      <c r="HN120" s="14" t="str">
        <f t="shared" si="441"/>
        <v xml:space="preserve"> </v>
      </c>
      <c r="HO120" s="14" t="str">
        <f t="shared" si="442"/>
        <v xml:space="preserve"> </v>
      </c>
      <c r="HP120" s="14" t="str">
        <f t="shared" si="443"/>
        <v xml:space="preserve"> </v>
      </c>
      <c r="HQ120" s="27" t="str">
        <f t="shared" si="432"/>
        <v xml:space="preserve"> </v>
      </c>
    </row>
    <row r="121" spans="1:225" ht="15.75" customHeight="1">
      <c r="A121" s="7">
        <f t="shared" ref="A121:C121" si="464">A13</f>
        <v>0</v>
      </c>
      <c r="B121" s="7">
        <f t="shared" si="464"/>
        <v>0</v>
      </c>
      <c r="C121" s="7" t="str">
        <f t="shared" si="464"/>
        <v>metal</v>
      </c>
      <c r="D121" s="14" t="str">
        <f t="shared" si="446"/>
        <v xml:space="preserve"> </v>
      </c>
      <c r="E121" s="14" t="str">
        <f t="shared" si="447"/>
        <v xml:space="preserve"> </v>
      </c>
      <c r="F121" s="14" t="str">
        <f t="shared" si="448"/>
        <v xml:space="preserve"> </v>
      </c>
      <c r="G121" s="14" t="str">
        <f t="shared" si="449"/>
        <v xml:space="preserve">metal(1), plastic(1), electronics(1), fabric(1), scale(1), attention to details(1.1), efficiency(1), user rules and manuals(2.1), organizational rules and manuals(2.1),  </v>
      </c>
      <c r="H121" s="14" t="str">
        <f t="shared" si="450"/>
        <v xml:space="preserve">metal(-1,6.25%), plastic(-1,6.25%), electronics(-1,6.25%), fabric(-1,6.25%), scale(-1,6.25%), efficiency(-1,6.25%),  </v>
      </c>
      <c r="I121" s="27" t="str">
        <f t="shared" ref="I121" si="465">IF(I13="",I122,$C121&amp;"("&amp;I13&amp;"),"&amp;I122)</f>
        <v xml:space="preserve">metal(6.25),plastic(6.25),electronics(6.25),fabric(6.25),scale(6.25),efficiency(6.25), </v>
      </c>
      <c r="J121" s="14" t="str">
        <f t="shared" si="229"/>
        <v xml:space="preserve">scale(1)
enthusiasm(1)
 </v>
      </c>
      <c r="K121" s="14" t="str">
        <f t="shared" si="230"/>
        <v xml:space="preserve">scale(-1,12.5%), enthusiasm(-1,25%),  </v>
      </c>
      <c r="L121" s="14" t="str">
        <f t="shared" si="231"/>
        <v xml:space="preserve">scale(12.5)
enthusiasm(25)
 </v>
      </c>
      <c r="M121" s="14" t="str">
        <f t="shared" si="232"/>
        <v xml:space="preserve">scale(1.1), efficiency(0.1), organizational rules and manuals(1.1),  </v>
      </c>
      <c r="N121" s="14" t="str">
        <f t="shared" si="233"/>
        <v xml:space="preserve">agility(-1,6.75%), ambition(-1,6.75%), fun-ness(-1,6.75%), initiative(-1,6.75%),  </v>
      </c>
      <c r="O121" s="27" t="str">
        <f t="shared" si="234"/>
        <v xml:space="preserve">agility(6.75),ambition(6.75),fun-ness(6.75),initiative(6.75), </v>
      </c>
      <c r="P121" s="14" t="str">
        <f t="shared" si="235"/>
        <v xml:space="preserve">scale(1)
enthusiasm(1)
 </v>
      </c>
      <c r="Q121" s="14" t="str">
        <f t="shared" si="236"/>
        <v xml:space="preserve">enthusiasm(-1,50%), gifted leader(-1,25%), gifted programmer(-1,25%), gifted designer(-1,25%),  </v>
      </c>
      <c r="R121" s="14" t="str">
        <f t="shared" si="237"/>
        <v xml:space="preserve">enthusiasm(50)
gifted leader(25)
gifted programmer(25)
gifted designer(25)
 </v>
      </c>
      <c r="S121" s="14" t="str">
        <f t="shared" si="238"/>
        <v xml:space="preserve">scale(1), network among members(0.1), gifted leader(1), gifted programmer(1), gifted designer(1), ambition(1), attention to details(0.1), community manager(0.1), team building(0.1),  </v>
      </c>
      <c r="T121" s="14" t="str">
        <f t="shared" si="239"/>
        <v xml:space="preserve">ambition(-1,%), business model(-1,6.25%), web(-1,6.25%), mobile apps(-1,6.25%), aesthetics(-1,6.25%),  </v>
      </c>
      <c r="U121" s="27" t="str">
        <f t="shared" si="234"/>
        <v xml:space="preserve">business model(6.25),web(6.25),mobile apps(6.25),aesthetics(6.25), </v>
      </c>
      <c r="V121" s="14" t="str">
        <f t="shared" si="241"/>
        <v xml:space="preserve">scale(1)
scale(1)
 </v>
      </c>
      <c r="W121" s="14" t="str">
        <f t="shared" si="242"/>
        <v xml:space="preserve">enthusiasm(-1,25%), enthusiasm(-1,25%), efficiency(-1,25%),  </v>
      </c>
      <c r="X121" s="14" t="str">
        <f t="shared" si="243"/>
        <v xml:space="preserve">enthusiasm(25)
enthusiasm(25)
efficiency(25)
 </v>
      </c>
      <c r="Y121" s="14" t="str">
        <f t="shared" si="244"/>
        <v xml:space="preserve">community manager(0.1), administrator(0.1), spaciousness(1), ease of access(3), reputation(2), user rules and manuals(0.1), project management(0.1), negotiation(0.1),  </v>
      </c>
      <c r="Z121" s="14" t="str">
        <f t="shared" si="245"/>
        <v xml:space="preserve">scale(-1,6.25%), reputation(-1,%),  </v>
      </c>
      <c r="AA121" s="27" t="str">
        <f t="shared" si="234"/>
        <v xml:space="preserve">scale(6.25), </v>
      </c>
      <c r="AB121" s="14" t="str">
        <f t="shared" si="247"/>
        <v xml:space="preserve"> </v>
      </c>
      <c r="AC121" s="14" t="str">
        <f t="shared" si="248"/>
        <v xml:space="preserve"> </v>
      </c>
      <c r="AD121" s="14" t="str">
        <f t="shared" si="249"/>
        <v xml:space="preserve"> </v>
      </c>
      <c r="AE121" s="14" t="str">
        <f t="shared" si="250"/>
        <v xml:space="preserve">scale(3), network among members(0.1), scale(1.1), attention to details(0.1), seriousness(0.1), initiative(0.1), spaciousness(1), user rules and manuals(1.1), organizational rules and manuals(1.1),  </v>
      </c>
      <c r="AF121" s="14" t="str">
        <f t="shared" si="251"/>
        <v xml:space="preserve">fabric(-1,6.25%), enthusiasm(-1,6.25%), enthusiasm(-1,%), local biz(-1,6.25%), investors(-1,6.25%), non-profits(-1,6.25%), efficiency(-1,6.25%),  </v>
      </c>
      <c r="AG121" s="27" t="str">
        <f t="shared" si="234"/>
        <v xml:space="preserve">fabric(6.25),enthusiasm(6.25),local biz(6.25),investors(6.25),non-profits(6.25),efficiency(6.25), </v>
      </c>
      <c r="AH121" s="14" t="str">
        <f t="shared" si="253"/>
        <v xml:space="preserve">scale(1)
enthusiasm(2)
fun-ness(1)
ease of access(1)
reputation(1)
 </v>
      </c>
      <c r="AI121" s="14" t="str">
        <f t="shared" si="254"/>
        <v xml:space="preserve">enthusiasm(-1,25%),  </v>
      </c>
      <c r="AJ121" s="14" t="str">
        <f t="shared" si="255"/>
        <v xml:space="preserve">enthusiasm(25)
 </v>
      </c>
      <c r="AK121" s="14" t="str">
        <f t="shared" si="256"/>
        <v xml:space="preserve">scale(2), enthusiasm(2), scale(3.1), attention to details(2.1), seriousness(2.1), community manager(2.1), administrator(2.1), spaciousness(1), ease of access(1), reputation(2), user rules and manuals(2.1), organizational rules and manuals(2.1), law(1.1), negotiation(1.1),  </v>
      </c>
      <c r="AL121" s="14" t="str">
        <f t="shared" si="257"/>
        <v xml:space="preserve">scale(-1,6.25%), enthusiasm(-1,6.25%), govt(-1,6.25%), non-profits(-1,6.25%), reputation(-1,6.25%),  </v>
      </c>
      <c r="AM121" s="27" t="str">
        <f t="shared" si="234"/>
        <v xml:space="preserve">scale(6.25),enthusiasm(6.25),govt(6.25),non-profits(6.25),reputation(6.25), </v>
      </c>
      <c r="AN121" s="14" t="str">
        <f t="shared" si="259"/>
        <v xml:space="preserve">scale(1)
fun-ness(1)
seriousness(1)
 </v>
      </c>
      <c r="AO121" s="14" t="str">
        <f t="shared" si="260"/>
        <v xml:space="preserve">scale(-1,25%), enthusiasm(-1,25%), enthusiasm(-1,25%),  </v>
      </c>
      <c r="AP121" s="14" t="str">
        <f t="shared" si="261"/>
        <v xml:space="preserve">scale(25)
enthusiasm(25)
enthusiasm(25)
 </v>
      </c>
      <c r="AQ121" s="14" t="str">
        <f t="shared" si="262"/>
        <v xml:space="preserve">scale(1), fun-ness(1), spaciousness(2.1), reputation(3), organizational rules and manuals(2.1), team building(2.1),  </v>
      </c>
      <c r="AR121" s="14" t="str">
        <f t="shared" si="263"/>
        <v xml:space="preserve">enthusiasm(-1,12.5%), fun-ness(-1,6.25%), reputation(-1,6.25%), efficiency(-1,6.25%),  </v>
      </c>
      <c r="AS121" s="27" t="str">
        <f t="shared" si="234"/>
        <v xml:space="preserve">enthusiasm(12.5),fun-ness(6.25),reputation(6.25),efficiency(6.25), </v>
      </c>
      <c r="AT121" s="14" t="str">
        <f t="shared" si="265"/>
        <v xml:space="preserve">scale(1)
enthusiasm(1)
network among members(3.1)
 </v>
      </c>
      <c r="AU121" s="14" t="str">
        <f t="shared" si="266"/>
        <v xml:space="preserve">scale(-1,25%), enthusiasm(-1,25%),  </v>
      </c>
      <c r="AV121" s="14" t="str">
        <f t="shared" si="267"/>
        <v xml:space="preserve">scale(25)
enthusiasm(25)
 </v>
      </c>
      <c r="AW121" s="14" t="str">
        <f t="shared" si="268"/>
        <v xml:space="preserve">scale(1), enthusiasm(1), attention to details(3.1), fun-ness(3.1), seriousness(3.1), initiative(2.1), leader(2.1), community manager(2.1), user rules and manuals(2.1), team building(2.1),  </v>
      </c>
      <c r="AX121" s="14" t="str">
        <f t="shared" si="269"/>
        <v xml:space="preserve">field knowledge(-1,6.25%), network among members(-1,6.25%), gifted assistant(-1,6.25%),  </v>
      </c>
      <c r="AY121" s="27" t="str">
        <f t="shared" si="234"/>
        <v xml:space="preserve">field knowledge(6.25),network among members(6.25),gifted assistant(6.25), </v>
      </c>
      <c r="AZ121" s="14" t="str">
        <f t="shared" si="271"/>
        <v xml:space="preserve">scale(1)
 </v>
      </c>
      <c r="BA121" s="14" t="str">
        <f t="shared" si="272"/>
        <v xml:space="preserve">enthusiasm(-1,12.5%), attention to details(1,12.5%), fun-ness(-1,12.5%), seriousness(1,12.5%), efficiency(-1,12.5%), user rules and manuals(1,25%),  </v>
      </c>
      <c r="BB121" s="14" t="str">
        <f t="shared" si="273"/>
        <v xml:space="preserve">enthusiasm(12.5)
attention to details(12.5)
fun-ness(12.5)
seriousness(12.5)
efficiency(12.5)
user rules and manuals(25)
 </v>
      </c>
      <c r="BC121" s="14" t="str">
        <f t="shared" si="274"/>
        <v xml:space="preserve">scale(1), agility(1.1), attention to details(1.1), seriousness(1.1), community manager(1.1), administrator(1.1), user rules and manuals(2.1), organizational rules and manuals(2.1),  </v>
      </c>
      <c r="BD121" s="14" t="str">
        <f t="shared" si="275"/>
        <v xml:space="preserve">scale(-1,6.25%), enthusiasm(-1,6.25%), reputation(-1,6.25%),  </v>
      </c>
      <c r="BE121" s="27" t="str">
        <f t="shared" si="234"/>
        <v xml:space="preserve">scale(6.25),enthusiasm(6.25),reputation(6.25), </v>
      </c>
      <c r="BF121" s="14" t="str">
        <f t="shared" si="277"/>
        <v xml:space="preserve"> </v>
      </c>
      <c r="BG121" s="14" t="str">
        <f t="shared" si="278"/>
        <v xml:space="preserve">plastic(-1,25%), enthusiasm(-1,25%), enthusiasm(-1,25%), attention to details(1,25%), fun-ness(-1,25%), seriousness(1,25%), user rules and manuals(1,25%), organizational rules and manuals(1,25%),  </v>
      </c>
      <c r="BH121" s="14" t="str">
        <f t="shared" si="279"/>
        <v xml:space="preserve">plastic(25)
enthusiasm(25)
enthusiasm(25)
attention to details(25)
fun-ness(25)
seriousness(25)
user rules and manuals(25)
organizational rules and manuals(25)
 </v>
      </c>
      <c r="BI121" s="14" t="str">
        <f t="shared" si="280"/>
        <v xml:space="preserve">enthusiasm(1), engineering knowledge(1.1), enthusiasm(1), fun-ness(1), seriousness(2.1), community manager(1.1), administrator(1.1),  </v>
      </c>
      <c r="BJ121" s="14" t="str">
        <f t="shared" si="281"/>
        <v xml:space="preserve">reputation(-1,6.25%), efficiency(-1,25%),  </v>
      </c>
      <c r="BK121" s="27" t="str">
        <f t="shared" si="234"/>
        <v xml:space="preserve">reputation(6.25),efficiency(25), </v>
      </c>
      <c r="BL121" s="14" t="str">
        <f t="shared" si="283"/>
        <v xml:space="preserve">scale(2)
local biz(1)
ease of access(1)
reputation(1)
aesthetics(1)
 </v>
      </c>
      <c r="BM121" s="14" t="str">
        <f t="shared" si="284"/>
        <v xml:space="preserve">biz enhancement(1,%),  </v>
      </c>
      <c r="BN121" s="14" t="str">
        <f t="shared" si="285"/>
        <v xml:space="preserve"> </v>
      </c>
      <c r="BO121"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1" s="14" t="str">
        <f t="shared" si="287"/>
        <v xml:space="preserve">local biz(1,6.25%),  </v>
      </c>
      <c r="BQ121" s="27" t="str">
        <f t="shared" si="234"/>
        <v xml:space="preserve">local biz(6.25), </v>
      </c>
      <c r="BR121" s="14" t="str">
        <f t="shared" si="289"/>
        <v xml:space="preserve">scale(2)
scale(1)
local biz(1)
ease of access(1)
reputation(1)
aesthetics(1)
 </v>
      </c>
      <c r="BS121" s="14" t="str">
        <f t="shared" si="290"/>
        <v xml:space="preserve">biz project(1,%),  </v>
      </c>
      <c r="BT121" s="14" t="str">
        <f t="shared" si="291"/>
        <v xml:space="preserve"> </v>
      </c>
      <c r="BU121"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1" s="14" t="str">
        <f t="shared" si="293"/>
        <v xml:space="preserve">local biz(1,6.25%),  </v>
      </c>
      <c r="BW121" s="27" t="str">
        <f t="shared" si="234"/>
        <v xml:space="preserve">local biz(6.25), </v>
      </c>
      <c r="BX121" s="14" t="str">
        <f t="shared" si="295"/>
        <v xml:space="preserve">scale(2)
enthusiasm(1)
local biz(1)
ease of access(1)
reputation(1)
aesthetics(1)
interaction(1)
 </v>
      </c>
      <c r="BY121" s="14" t="str">
        <f t="shared" si="296"/>
        <v xml:space="preserve">biz project(1,%),  </v>
      </c>
      <c r="BZ121" s="14" t="str">
        <f t="shared" si="297"/>
        <v xml:space="preserve"> </v>
      </c>
      <c r="CA121"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1" s="14" t="str">
        <f t="shared" si="299"/>
        <v xml:space="preserve">local biz(1,6.25%),  </v>
      </c>
      <c r="CC121" s="27" t="str">
        <f t="shared" si="300"/>
        <v xml:space="preserve">local biz(6.25), </v>
      </c>
      <c r="CD121" s="14" t="str">
        <f t="shared" si="301"/>
        <v xml:space="preserve">scale(2)
enthusiasm(1)
ease of access(1)
reputation(1)
aesthetics(1)
 </v>
      </c>
      <c r="CE121" s="14" t="str">
        <f t="shared" si="302"/>
        <v xml:space="preserve">biz project(1,%),  </v>
      </c>
      <c r="CF121" s="14" t="str">
        <f t="shared" si="303"/>
        <v xml:space="preserve"> </v>
      </c>
      <c r="CG121"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1" s="14" t="str">
        <f t="shared" si="305"/>
        <v xml:space="preserve">local biz(1,6.25%),  </v>
      </c>
      <c r="CI121" s="27" t="str">
        <f t="shared" si="300"/>
        <v xml:space="preserve">local biz(6.25), </v>
      </c>
      <c r="CJ121" s="14" t="str">
        <f t="shared" si="307"/>
        <v xml:space="preserve">scale(2)
ease of access(1)
reputation(1)
aesthetics(1)
 </v>
      </c>
      <c r="CK121" s="14" t="str">
        <f t="shared" si="308"/>
        <v xml:space="preserve">biz project(1,%),  </v>
      </c>
      <c r="CL121" s="14" t="str">
        <f t="shared" si="309"/>
        <v xml:space="preserve"> </v>
      </c>
      <c r="CM121"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1" s="14" t="str">
        <f t="shared" si="311"/>
        <v xml:space="preserve">local biz(1,6.25%),  </v>
      </c>
      <c r="CO121" s="27" t="str">
        <f t="shared" si="300"/>
        <v xml:space="preserve">local biz(6.25), </v>
      </c>
      <c r="CP121" s="14" t="str">
        <f t="shared" si="313"/>
        <v xml:space="preserve">metal(1)
scale(2)
enthusiasm(1)
learning capacities(1)
field knowledge(1)
local biz(1)
metal processing(1)
functions(1)
 </v>
      </c>
      <c r="CQ121" s="14" t="str">
        <f t="shared" si="314"/>
        <v xml:space="preserve">local biz(1,50%), biz enhancement(1,50%),  </v>
      </c>
      <c r="CR121" s="14" t="str">
        <f t="shared" si="315"/>
        <v xml:space="preserve">local biz(50)
biz enhancement(50)
 </v>
      </c>
      <c r="CS121" s="14" t="str">
        <f t="shared" si="316"/>
        <v xml:space="preserve">metal(2), 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1" s="14" t="str">
        <f t="shared" si="317"/>
        <v xml:space="preserve">reputation(1,6.25%),  </v>
      </c>
      <c r="CU121" s="27" t="str">
        <f t="shared" si="300"/>
        <v xml:space="preserve">reputation(6.25), </v>
      </c>
      <c r="CV121" s="14" t="str">
        <f t="shared" si="319"/>
        <v xml:space="preserve">scale(1)
enthusiasm(2)
learning capacities(1)
non-profits(1)
wood processing(1)
aesthetics(1)
interaction(1)
 </v>
      </c>
      <c r="CW121" s="14" t="str">
        <f t="shared" si="320"/>
        <v xml:space="preserve">non-profits(1,50%), social project(1,50%),  </v>
      </c>
      <c r="CX121" s="14" t="str">
        <f t="shared" si="321"/>
        <v xml:space="preserve">non-profits(50)
social project(50)
 </v>
      </c>
      <c r="CY121"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1" s="14" t="str">
        <f t="shared" si="323"/>
        <v xml:space="preserve">media(1,6.25%), reputation(1,6.25%), portfolio(1,6.25%),  </v>
      </c>
      <c r="DA121" s="27" t="str">
        <f t="shared" si="300"/>
        <v xml:space="preserve">media(6.25),reputation(6.25),portfolio(6.25), </v>
      </c>
      <c r="DB121" s="14" t="str">
        <f t="shared" si="325"/>
        <v xml:space="preserve">scale(1)
enthusiasm(2)
learning capacities(1)
non-profits(1)
aesthetics(1)
interaction(1)
 </v>
      </c>
      <c r="DC121" s="14" t="str">
        <f t="shared" si="326"/>
        <v xml:space="preserve">non-profits(1,50%), social project(1,50%),  </v>
      </c>
      <c r="DD121" s="14" t="str">
        <f t="shared" si="327"/>
        <v xml:space="preserve">non-profits(50)
social project(50)
 </v>
      </c>
      <c r="DE121" s="14" t="str">
        <f t="shared" si="328"/>
        <v xml:space="preserve">gifted programmer(1), gifted designer(1), scale(2), enthusiasm(4), agility(2), ambition(4), attention to details(2), fun-ness(2), administrator(2), ease of access(2), efficiency(3), VR&amp;AR(2),  </v>
      </c>
      <c r="DF121" s="14" t="str">
        <f t="shared" si="329"/>
        <v xml:space="preserve">media(1,6.25%), reputation(1,6.25%), portfolio(1,6.25%),  </v>
      </c>
      <c r="DG121" s="27" t="str">
        <f t="shared" si="300"/>
        <v xml:space="preserve">media(6.25),reputation(6.25),portfolio(6.25), </v>
      </c>
      <c r="DH121" s="14" t="str">
        <f t="shared" si="331"/>
        <v xml:space="preserve">plastic(1)
scale(2)
enthusiasm(2)
scale(1)
wood processing(1)
aesthetics(1)
safety(1)
 </v>
      </c>
      <c r="DI121" s="14" t="str">
        <f t="shared" si="332"/>
        <v xml:space="preserve">social project(1,100%),  </v>
      </c>
      <c r="DJ121" s="14" t="str">
        <f t="shared" si="333"/>
        <v xml:space="preserve">social project(100)
 </v>
      </c>
      <c r="DK121" s="14" t="str">
        <f t="shared" si="334"/>
        <v xml:space="preserve">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1" s="14" t="str">
        <f t="shared" si="335"/>
        <v xml:space="preserve">scale(1,6.25%), enthusiasm(1,6.25%), network among members(1,6.25%), enthusiasm(1,6.25%), agility(1,6.25%), fun-ness(1,6.25%), reputation(1,6.25%), portfolio(1,6.25%), team building(1,6.25%),  </v>
      </c>
      <c r="DM121" s="27" t="str">
        <f t="shared" si="300"/>
        <v xml:space="preserve">scale(6.25),enthusiasm(6.25),network among members(6.25),enthusiasm(6.25),agility(6.25),fun-ness(6.25),reputation(6.25),portfolio(6.25),team building(6.25), </v>
      </c>
      <c r="DN121" s="14" t="str">
        <f t="shared" si="337"/>
        <v xml:space="preserve">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21" s="14" t="str">
        <f t="shared" si="338"/>
        <v xml:space="preserve">reputation(1,25%), portfolio(1,50%),  </v>
      </c>
      <c r="DP121" s="14" t="str">
        <f t="shared" si="339"/>
        <v xml:space="preserve">reputation(25)
portfolio(50)
 </v>
      </c>
      <c r="DQ121" s="14" t="str">
        <f t="shared" si="340"/>
        <v xml:space="preserve">plastic(2), engineering knowledge(2), network among members(1), gifted leader(1), gifted assistant(1), gifted designer(1), ambition(1), attention to details(3), fun-ness(3), administrator(1), media(3), suppliers(3), social media(2), wood processing(2), plastic processing(2), electronics(2), aesthetics(2),  </v>
      </c>
      <c r="DR121" s="14" t="str">
        <f t="shared" si="341"/>
        <v xml:space="preserve">suppliers(1,6.25%), reputation(1,6.25%),  </v>
      </c>
      <c r="DS121" s="27" t="str">
        <f t="shared" si="300"/>
        <v xml:space="preserve">suppliers(6.25),reputation(6.25), </v>
      </c>
      <c r="DT121" s="14" t="str">
        <f t="shared" si="343"/>
        <v xml:space="preserve">scale(2)
attention to details(2)
leader(1)
fame(1)
network(2)
reputation(3)
portfolio(2)
 </v>
      </c>
      <c r="DU121" s="14" t="str">
        <f t="shared" si="344"/>
        <v xml:space="preserve">fame(1,25%), govt(1,25%), non-profits(1,50%), reputation(1,25%),  </v>
      </c>
      <c r="DV121" s="14" t="str">
        <f t="shared" si="345"/>
        <v xml:space="preserve">fame(25)
govt(25)
non-profits(50)
reputation(25)
 </v>
      </c>
      <c r="DW121" s="14" t="str">
        <f t="shared" si="346"/>
        <v xml:space="preserve">scale(3), enthusiasm(3), enthusiasm(3), ambition(2), attention to details(2), PR(1), administrator(1), social media(2),  </v>
      </c>
      <c r="DX121" s="14" t="str">
        <f t="shared" si="347"/>
        <v xml:space="preserve">ambition(1,6.25%), fame(1,6.25%), reputation(1,6.25%),  </v>
      </c>
      <c r="DY121" s="27" t="str">
        <f t="shared" si="300"/>
        <v xml:space="preserve">ambition(6.25),fame(6.25),reputation(6.25), </v>
      </c>
      <c r="DZ121" s="14" t="str">
        <f t="shared" si="349"/>
        <v xml:space="preserve"> </v>
      </c>
      <c r="EA121" s="14" t="str">
        <f t="shared" si="350"/>
        <v xml:space="preserve"> </v>
      </c>
      <c r="EB121" s="14" t="str">
        <f t="shared" si="351"/>
        <v xml:space="preserve"> </v>
      </c>
      <c r="EC121" s="14" t="str">
        <f t="shared" si="352"/>
        <v xml:space="preserve"> </v>
      </c>
      <c r="ED121" s="14" t="str">
        <f t="shared" si="353"/>
        <v xml:space="preserve"> </v>
      </c>
      <c r="EE121" s="27" t="str">
        <f t="shared" si="300"/>
        <v xml:space="preserve"> </v>
      </c>
      <c r="EF121" s="14" t="str">
        <f t="shared" si="355"/>
        <v xml:space="preserve"> </v>
      </c>
      <c r="EG121" s="14" t="str">
        <f t="shared" si="356"/>
        <v xml:space="preserve"> </v>
      </c>
      <c r="EH121" s="14" t="str">
        <f t="shared" si="357"/>
        <v xml:space="preserve"> </v>
      </c>
      <c r="EI121" s="14" t="str">
        <f t="shared" si="358"/>
        <v xml:space="preserve"> </v>
      </c>
      <c r="EJ121" s="14" t="str">
        <f t="shared" si="359"/>
        <v xml:space="preserve"> </v>
      </c>
      <c r="EK121" s="27" t="str">
        <f t="shared" si="300"/>
        <v xml:space="preserve"> </v>
      </c>
      <c r="EL121" s="14" t="str">
        <f t="shared" si="361"/>
        <v xml:space="preserve"> </v>
      </c>
      <c r="EM121" s="14" t="str">
        <f t="shared" si="362"/>
        <v xml:space="preserve"> </v>
      </c>
      <c r="EN121" s="14" t="str">
        <f t="shared" si="363"/>
        <v xml:space="preserve"> </v>
      </c>
      <c r="EO121" s="14" t="str">
        <f t="shared" si="364"/>
        <v xml:space="preserve"> </v>
      </c>
      <c r="EP121" s="14" t="str">
        <f t="shared" si="365"/>
        <v xml:space="preserve"> </v>
      </c>
      <c r="EQ121" s="27" t="str">
        <f t="shared" si="366"/>
        <v xml:space="preserve"> </v>
      </c>
      <c r="ER121" s="14" t="str">
        <f t="shared" si="367"/>
        <v xml:space="preserve"> </v>
      </c>
      <c r="ES121" s="14" t="str">
        <f t="shared" si="368"/>
        <v xml:space="preserve"> </v>
      </c>
      <c r="ET121" s="14" t="str">
        <f t="shared" si="369"/>
        <v xml:space="preserve"> </v>
      </c>
      <c r="EU121" s="14" t="str">
        <f t="shared" si="370"/>
        <v xml:space="preserve"> </v>
      </c>
      <c r="EV121" s="14" t="str">
        <f t="shared" si="371"/>
        <v xml:space="preserve"> </v>
      </c>
      <c r="EW121" s="27" t="str">
        <f t="shared" si="366"/>
        <v xml:space="preserve"> </v>
      </c>
      <c r="EX121" s="14" t="str">
        <f t="shared" si="373"/>
        <v xml:space="preserve"> </v>
      </c>
      <c r="EY121" s="14" t="str">
        <f t="shared" si="374"/>
        <v xml:space="preserve"> </v>
      </c>
      <c r="EZ121" s="14" t="str">
        <f t="shared" si="375"/>
        <v xml:space="preserve"> </v>
      </c>
      <c r="FA121" s="14" t="str">
        <f t="shared" si="376"/>
        <v xml:space="preserve"> </v>
      </c>
      <c r="FB121" s="14" t="str">
        <f t="shared" si="377"/>
        <v xml:space="preserve"> </v>
      </c>
      <c r="FC121" s="27" t="str">
        <f t="shared" si="366"/>
        <v xml:space="preserve"> </v>
      </c>
      <c r="FD121" s="14" t="str">
        <f t="shared" si="379"/>
        <v xml:space="preserve"> </v>
      </c>
      <c r="FE121" s="14" t="str">
        <f t="shared" si="380"/>
        <v xml:space="preserve"> </v>
      </c>
      <c r="FF121" s="14" t="str">
        <f t="shared" si="381"/>
        <v xml:space="preserve"> </v>
      </c>
      <c r="FG121" s="14" t="str">
        <f t="shared" si="382"/>
        <v xml:space="preserve"> </v>
      </c>
      <c r="FH121" s="14" t="str">
        <f t="shared" si="383"/>
        <v xml:space="preserve"> </v>
      </c>
      <c r="FI121" s="27" t="str">
        <f t="shared" si="366"/>
        <v xml:space="preserve"> </v>
      </c>
      <c r="FJ121" s="14" t="str">
        <f t="shared" si="385"/>
        <v xml:space="preserve"> </v>
      </c>
      <c r="FK121" s="14" t="str">
        <f t="shared" si="386"/>
        <v xml:space="preserve"> </v>
      </c>
      <c r="FL121" s="14" t="str">
        <f t="shared" si="387"/>
        <v xml:space="preserve"> </v>
      </c>
      <c r="FM121" s="14" t="str">
        <f t="shared" si="388"/>
        <v xml:space="preserve"> </v>
      </c>
      <c r="FN121" s="14" t="str">
        <f t="shared" si="389"/>
        <v xml:space="preserve"> </v>
      </c>
      <c r="FO121" s="27" t="str">
        <f t="shared" si="366"/>
        <v xml:space="preserve"> </v>
      </c>
      <c r="FP121" s="14" t="str">
        <f t="shared" si="391"/>
        <v xml:space="preserve"> </v>
      </c>
      <c r="FQ121" s="14" t="str">
        <f t="shared" si="392"/>
        <v xml:space="preserve"> </v>
      </c>
      <c r="FR121" s="14" t="str">
        <f t="shared" si="393"/>
        <v xml:space="preserve"> </v>
      </c>
      <c r="FS121" s="14" t="str">
        <f t="shared" si="394"/>
        <v xml:space="preserve"> </v>
      </c>
      <c r="FT121" s="14" t="str">
        <f t="shared" si="395"/>
        <v xml:space="preserve"> </v>
      </c>
      <c r="FU121" s="27" t="str">
        <f t="shared" si="366"/>
        <v xml:space="preserve"> </v>
      </c>
      <c r="FV121" s="14" t="str">
        <f t="shared" si="397"/>
        <v xml:space="preserve"> </v>
      </c>
      <c r="FW121" s="14" t="str">
        <f t="shared" si="398"/>
        <v xml:space="preserve"> </v>
      </c>
      <c r="FX121" s="14" t="str">
        <f t="shared" si="399"/>
        <v xml:space="preserve"> </v>
      </c>
      <c r="FY121" s="14" t="str">
        <f t="shared" si="400"/>
        <v xml:space="preserve"> </v>
      </c>
      <c r="FZ121" s="14" t="str">
        <f t="shared" si="401"/>
        <v xml:space="preserve"> </v>
      </c>
      <c r="GA121" s="27" t="str">
        <f t="shared" si="366"/>
        <v xml:space="preserve"> </v>
      </c>
      <c r="GB121" s="14" t="str">
        <f t="shared" si="403"/>
        <v xml:space="preserve"> </v>
      </c>
      <c r="GC121" s="14" t="str">
        <f t="shared" si="404"/>
        <v xml:space="preserve"> </v>
      </c>
      <c r="GD121" s="14" t="str">
        <f t="shared" si="405"/>
        <v xml:space="preserve"> </v>
      </c>
      <c r="GE121" s="14" t="str">
        <f t="shared" si="406"/>
        <v xml:space="preserve"> </v>
      </c>
      <c r="GF121" s="14" t="str">
        <f t="shared" si="407"/>
        <v xml:space="preserve"> </v>
      </c>
      <c r="GG121" s="27" t="str">
        <f t="shared" si="366"/>
        <v xml:space="preserve"> </v>
      </c>
      <c r="GH121" s="14" t="str">
        <f t="shared" si="409"/>
        <v xml:space="preserve"> </v>
      </c>
      <c r="GI121" s="14" t="str">
        <f t="shared" si="410"/>
        <v xml:space="preserve"> </v>
      </c>
      <c r="GJ121" s="14" t="str">
        <f t="shared" si="411"/>
        <v xml:space="preserve"> </v>
      </c>
      <c r="GK121" s="14" t="str">
        <f t="shared" si="412"/>
        <v xml:space="preserve"> </v>
      </c>
      <c r="GL121" s="14" t="str">
        <f t="shared" si="413"/>
        <v xml:space="preserve"> </v>
      </c>
      <c r="GM121" s="27" t="str">
        <f t="shared" si="366"/>
        <v xml:space="preserve"> </v>
      </c>
      <c r="GN121" s="14" t="str">
        <f t="shared" si="415"/>
        <v xml:space="preserve"> </v>
      </c>
      <c r="GO121" s="14" t="str">
        <f t="shared" si="416"/>
        <v xml:space="preserve"> </v>
      </c>
      <c r="GP121" s="14" t="str">
        <f t="shared" si="417"/>
        <v xml:space="preserve"> </v>
      </c>
      <c r="GQ121" s="14" t="str">
        <f t="shared" si="418"/>
        <v xml:space="preserve"> </v>
      </c>
      <c r="GR121" s="14" t="str">
        <f t="shared" si="419"/>
        <v xml:space="preserve"> </v>
      </c>
      <c r="GS121" s="27" t="str">
        <f t="shared" si="366"/>
        <v xml:space="preserve"> </v>
      </c>
      <c r="GT121" s="14" t="str">
        <f t="shared" si="421"/>
        <v xml:space="preserve"> </v>
      </c>
      <c r="GU121" s="14" t="str">
        <f t="shared" si="422"/>
        <v xml:space="preserve"> </v>
      </c>
      <c r="GV121" s="14" t="str">
        <f t="shared" si="423"/>
        <v xml:space="preserve"> </v>
      </c>
      <c r="GW121" s="14" t="str">
        <f t="shared" si="424"/>
        <v xml:space="preserve"> </v>
      </c>
      <c r="GX121" s="14" t="str">
        <f t="shared" si="425"/>
        <v xml:space="preserve"> </v>
      </c>
      <c r="GY121" s="27" t="str">
        <f t="shared" si="366"/>
        <v xml:space="preserve"> </v>
      </c>
      <c r="GZ121" s="14" t="str">
        <f t="shared" si="427"/>
        <v xml:space="preserve"> </v>
      </c>
      <c r="HA121" s="14" t="str">
        <f t="shared" si="428"/>
        <v xml:space="preserve"> </v>
      </c>
      <c r="HB121" s="14" t="str">
        <f t="shared" si="429"/>
        <v xml:space="preserve"> </v>
      </c>
      <c r="HC121" s="14" t="str">
        <f t="shared" si="430"/>
        <v xml:space="preserve"> </v>
      </c>
      <c r="HD121" s="14" t="str">
        <f t="shared" si="431"/>
        <v xml:space="preserve"> </v>
      </c>
      <c r="HE121" s="27" t="str">
        <f t="shared" si="432"/>
        <v xml:space="preserve"> </v>
      </c>
      <c r="HF121" s="14" t="str">
        <f t="shared" si="433"/>
        <v xml:space="preserve"> </v>
      </c>
      <c r="HG121" s="14" t="str">
        <f t="shared" si="434"/>
        <v xml:space="preserve"> </v>
      </c>
      <c r="HH121" s="14" t="str">
        <f t="shared" si="435"/>
        <v xml:space="preserve"> </v>
      </c>
      <c r="HI121" s="14" t="str">
        <f t="shared" si="436"/>
        <v xml:space="preserve"> </v>
      </c>
      <c r="HJ121" s="14" t="str">
        <f t="shared" si="437"/>
        <v xml:space="preserve"> </v>
      </c>
      <c r="HK121" s="27" t="str">
        <f t="shared" si="432"/>
        <v xml:space="preserve"> </v>
      </c>
      <c r="HL121" s="14" t="str">
        <f t="shared" si="439"/>
        <v xml:space="preserve"> </v>
      </c>
      <c r="HM121" s="14" t="str">
        <f t="shared" si="440"/>
        <v xml:space="preserve"> </v>
      </c>
      <c r="HN121" s="14" t="str">
        <f t="shared" si="441"/>
        <v xml:space="preserve"> </v>
      </c>
      <c r="HO121" s="14" t="str">
        <f t="shared" si="442"/>
        <v xml:space="preserve"> </v>
      </c>
      <c r="HP121" s="14" t="str">
        <f t="shared" si="443"/>
        <v xml:space="preserve"> </v>
      </c>
      <c r="HQ121" s="27" t="str">
        <f t="shared" si="432"/>
        <v xml:space="preserve"> </v>
      </c>
    </row>
    <row r="122" spans="1:225" ht="15.75" customHeight="1">
      <c r="A122" s="7">
        <f t="shared" ref="A122:C122" si="466">A14</f>
        <v>0</v>
      </c>
      <c r="B122" s="7">
        <f t="shared" si="466"/>
        <v>0</v>
      </c>
      <c r="C122" s="7" t="str">
        <f t="shared" si="466"/>
        <v>plastic</v>
      </c>
      <c r="D122" s="14" t="str">
        <f t="shared" si="446"/>
        <v xml:space="preserve"> </v>
      </c>
      <c r="E122" s="14" t="str">
        <f t="shared" si="447"/>
        <v xml:space="preserve"> </v>
      </c>
      <c r="F122" s="14" t="str">
        <f t="shared" si="448"/>
        <v xml:space="preserve"> </v>
      </c>
      <c r="G122" s="14" t="str">
        <f t="shared" si="449"/>
        <v xml:space="preserve">plastic(1), electronics(1), fabric(1), scale(1), attention to details(1.1), efficiency(1), user rules and manuals(2.1), organizational rules and manuals(2.1),  </v>
      </c>
      <c r="H122" s="14" t="str">
        <f t="shared" si="450"/>
        <v xml:space="preserve">plastic(-1,6.25%), electronics(-1,6.25%), fabric(-1,6.25%), scale(-1,6.25%), efficiency(-1,6.25%),  </v>
      </c>
      <c r="I122" s="27" t="str">
        <f t="shared" ref="I122" si="467">IF(I14="",I123,$C122&amp;"("&amp;I14&amp;"),"&amp;I123)</f>
        <v xml:space="preserve">plastic(6.25),electronics(6.25),fabric(6.25),scale(6.25),efficiency(6.25), </v>
      </c>
      <c r="J122" s="14" t="str">
        <f t="shared" si="229"/>
        <v xml:space="preserve">scale(1)
enthusiasm(1)
 </v>
      </c>
      <c r="K122" s="14" t="str">
        <f t="shared" si="230"/>
        <v xml:space="preserve">scale(-1,12.5%), enthusiasm(-1,25%),  </v>
      </c>
      <c r="L122" s="14" t="str">
        <f t="shared" si="231"/>
        <v xml:space="preserve">scale(12.5)
enthusiasm(25)
 </v>
      </c>
      <c r="M122" s="14" t="str">
        <f t="shared" si="232"/>
        <v xml:space="preserve">scale(1.1), efficiency(0.1), organizational rules and manuals(1.1),  </v>
      </c>
      <c r="N122" s="14" t="str">
        <f t="shared" si="233"/>
        <v xml:space="preserve">agility(-1,6.75%), ambition(-1,6.75%), fun-ness(-1,6.75%), initiative(-1,6.75%),  </v>
      </c>
      <c r="O122" s="27" t="str">
        <f t="shared" si="234"/>
        <v xml:space="preserve">agility(6.75),ambition(6.75),fun-ness(6.75),initiative(6.75), </v>
      </c>
      <c r="P122" s="14" t="str">
        <f t="shared" si="235"/>
        <v xml:space="preserve">scale(1)
enthusiasm(1)
 </v>
      </c>
      <c r="Q122" s="14" t="str">
        <f t="shared" si="236"/>
        <v xml:space="preserve">enthusiasm(-1,50%), gifted leader(-1,25%), gifted programmer(-1,25%), gifted designer(-1,25%),  </v>
      </c>
      <c r="R122" s="14" t="str">
        <f t="shared" si="237"/>
        <v xml:space="preserve">enthusiasm(50)
gifted leader(25)
gifted programmer(25)
gifted designer(25)
 </v>
      </c>
      <c r="S122" s="14" t="str">
        <f t="shared" si="238"/>
        <v xml:space="preserve">scale(1), network among members(0.1), gifted leader(1), gifted programmer(1), gifted designer(1), ambition(1), attention to details(0.1), community manager(0.1), team building(0.1),  </v>
      </c>
      <c r="T122" s="14" t="str">
        <f t="shared" si="239"/>
        <v xml:space="preserve">ambition(-1,%), business model(-1,6.25%), web(-1,6.25%), mobile apps(-1,6.25%), aesthetics(-1,6.25%),  </v>
      </c>
      <c r="U122" s="27" t="str">
        <f t="shared" si="234"/>
        <v xml:space="preserve">business model(6.25),web(6.25),mobile apps(6.25),aesthetics(6.25), </v>
      </c>
      <c r="V122" s="14" t="str">
        <f t="shared" si="241"/>
        <v xml:space="preserve">scale(1)
scale(1)
 </v>
      </c>
      <c r="W122" s="14" t="str">
        <f t="shared" si="242"/>
        <v xml:space="preserve">enthusiasm(-1,25%), enthusiasm(-1,25%), efficiency(-1,25%),  </v>
      </c>
      <c r="X122" s="14" t="str">
        <f t="shared" si="243"/>
        <v xml:space="preserve">enthusiasm(25)
enthusiasm(25)
efficiency(25)
 </v>
      </c>
      <c r="Y122" s="14" t="str">
        <f t="shared" si="244"/>
        <v xml:space="preserve">community manager(0.1), administrator(0.1), spaciousness(1), ease of access(3), reputation(2), user rules and manuals(0.1), project management(0.1), negotiation(0.1),  </v>
      </c>
      <c r="Z122" s="14" t="str">
        <f t="shared" si="245"/>
        <v xml:space="preserve">scale(-1,6.25%), reputation(-1,%),  </v>
      </c>
      <c r="AA122" s="27" t="str">
        <f t="shared" si="234"/>
        <v xml:space="preserve">scale(6.25), </v>
      </c>
      <c r="AB122" s="14" t="str">
        <f t="shared" si="247"/>
        <v xml:space="preserve"> </v>
      </c>
      <c r="AC122" s="14" t="str">
        <f t="shared" si="248"/>
        <v xml:space="preserve"> </v>
      </c>
      <c r="AD122" s="14" t="str">
        <f t="shared" si="249"/>
        <v xml:space="preserve"> </v>
      </c>
      <c r="AE122" s="14" t="str">
        <f t="shared" si="250"/>
        <v xml:space="preserve">scale(3), network among members(0.1), scale(1.1), attention to details(0.1), seriousness(0.1), initiative(0.1), spaciousness(1), user rules and manuals(1.1), organizational rules and manuals(1.1),  </v>
      </c>
      <c r="AF122" s="14" t="str">
        <f t="shared" si="251"/>
        <v xml:space="preserve">fabric(-1,6.25%), enthusiasm(-1,6.25%), enthusiasm(-1,%), local biz(-1,6.25%), investors(-1,6.25%), non-profits(-1,6.25%), efficiency(-1,6.25%),  </v>
      </c>
      <c r="AG122" s="27" t="str">
        <f t="shared" si="234"/>
        <v xml:space="preserve">fabric(6.25),enthusiasm(6.25),local biz(6.25),investors(6.25),non-profits(6.25),efficiency(6.25), </v>
      </c>
      <c r="AH122" s="14" t="str">
        <f t="shared" si="253"/>
        <v xml:space="preserve">scale(1)
enthusiasm(2)
fun-ness(1)
ease of access(1)
reputation(1)
 </v>
      </c>
      <c r="AI122" s="14" t="str">
        <f t="shared" si="254"/>
        <v xml:space="preserve">enthusiasm(-1,25%),  </v>
      </c>
      <c r="AJ122" s="14" t="str">
        <f t="shared" si="255"/>
        <v xml:space="preserve">enthusiasm(25)
 </v>
      </c>
      <c r="AK122" s="14" t="str">
        <f t="shared" si="256"/>
        <v xml:space="preserve">scale(2), enthusiasm(2), scale(3.1), attention to details(2.1), seriousness(2.1), community manager(2.1), administrator(2.1), spaciousness(1), ease of access(1), reputation(2), user rules and manuals(2.1), organizational rules and manuals(2.1), law(1.1), negotiation(1.1),  </v>
      </c>
      <c r="AL122" s="14" t="str">
        <f t="shared" si="257"/>
        <v xml:space="preserve">scale(-1,6.25%), enthusiasm(-1,6.25%), govt(-1,6.25%), non-profits(-1,6.25%), reputation(-1,6.25%),  </v>
      </c>
      <c r="AM122" s="27" t="str">
        <f t="shared" si="234"/>
        <v xml:space="preserve">scale(6.25),enthusiasm(6.25),govt(6.25),non-profits(6.25),reputation(6.25), </v>
      </c>
      <c r="AN122" s="14" t="str">
        <f t="shared" si="259"/>
        <v xml:space="preserve">scale(1)
fun-ness(1)
seriousness(1)
 </v>
      </c>
      <c r="AO122" s="14" t="str">
        <f t="shared" si="260"/>
        <v xml:space="preserve">scale(-1,25%), enthusiasm(-1,25%), enthusiasm(-1,25%),  </v>
      </c>
      <c r="AP122" s="14" t="str">
        <f t="shared" si="261"/>
        <v xml:space="preserve">scale(25)
enthusiasm(25)
enthusiasm(25)
 </v>
      </c>
      <c r="AQ122" s="14" t="str">
        <f t="shared" si="262"/>
        <v xml:space="preserve">scale(1), fun-ness(1), spaciousness(2.1), reputation(3), organizational rules and manuals(2.1), team building(2.1),  </v>
      </c>
      <c r="AR122" s="14" t="str">
        <f t="shared" si="263"/>
        <v xml:space="preserve">enthusiasm(-1,12.5%), fun-ness(-1,6.25%), reputation(-1,6.25%), efficiency(-1,6.25%),  </v>
      </c>
      <c r="AS122" s="27" t="str">
        <f t="shared" si="234"/>
        <v xml:space="preserve">enthusiasm(12.5),fun-ness(6.25),reputation(6.25),efficiency(6.25), </v>
      </c>
      <c r="AT122" s="14" t="str">
        <f t="shared" si="265"/>
        <v xml:space="preserve">scale(1)
enthusiasm(1)
network among members(3.1)
 </v>
      </c>
      <c r="AU122" s="14" t="str">
        <f t="shared" si="266"/>
        <v xml:space="preserve">scale(-1,25%), enthusiasm(-1,25%),  </v>
      </c>
      <c r="AV122" s="14" t="str">
        <f t="shared" si="267"/>
        <v xml:space="preserve">scale(25)
enthusiasm(25)
 </v>
      </c>
      <c r="AW122" s="14" t="str">
        <f t="shared" si="268"/>
        <v xml:space="preserve">scale(1), enthusiasm(1), attention to details(3.1), fun-ness(3.1), seriousness(3.1), initiative(2.1), leader(2.1), community manager(2.1), user rules and manuals(2.1), team building(2.1),  </v>
      </c>
      <c r="AX122" s="14" t="str">
        <f t="shared" si="269"/>
        <v xml:space="preserve">field knowledge(-1,6.25%), network among members(-1,6.25%), gifted assistant(-1,6.25%),  </v>
      </c>
      <c r="AY122" s="27" t="str">
        <f t="shared" si="234"/>
        <v xml:space="preserve">field knowledge(6.25),network among members(6.25),gifted assistant(6.25), </v>
      </c>
      <c r="AZ122" s="14" t="str">
        <f t="shared" si="271"/>
        <v xml:space="preserve">scale(1)
 </v>
      </c>
      <c r="BA122" s="14" t="str">
        <f t="shared" si="272"/>
        <v xml:space="preserve">enthusiasm(-1,12.5%), attention to details(1,12.5%), fun-ness(-1,12.5%), seriousness(1,12.5%), efficiency(-1,12.5%), user rules and manuals(1,25%),  </v>
      </c>
      <c r="BB122" s="14" t="str">
        <f t="shared" si="273"/>
        <v xml:space="preserve">enthusiasm(12.5)
attention to details(12.5)
fun-ness(12.5)
seriousness(12.5)
efficiency(12.5)
user rules and manuals(25)
 </v>
      </c>
      <c r="BC122" s="14" t="str">
        <f t="shared" si="274"/>
        <v xml:space="preserve">scale(1), agility(1.1), attention to details(1.1), seriousness(1.1), community manager(1.1), administrator(1.1), user rules and manuals(2.1), organizational rules and manuals(2.1),  </v>
      </c>
      <c r="BD122" s="14" t="str">
        <f t="shared" si="275"/>
        <v xml:space="preserve">scale(-1,6.25%), enthusiasm(-1,6.25%), reputation(-1,6.25%),  </v>
      </c>
      <c r="BE122" s="27" t="str">
        <f t="shared" si="234"/>
        <v xml:space="preserve">scale(6.25),enthusiasm(6.25),reputation(6.25), </v>
      </c>
      <c r="BF122" s="14" t="str">
        <f t="shared" si="277"/>
        <v xml:space="preserve"> </v>
      </c>
      <c r="BG122" s="14" t="str">
        <f t="shared" si="278"/>
        <v xml:space="preserve">plastic(-1,25%), enthusiasm(-1,25%), enthusiasm(-1,25%), attention to details(1,25%), fun-ness(-1,25%), seriousness(1,25%), user rules and manuals(1,25%), organizational rules and manuals(1,25%),  </v>
      </c>
      <c r="BH122" s="14" t="str">
        <f t="shared" si="279"/>
        <v xml:space="preserve">plastic(25)
enthusiasm(25)
enthusiasm(25)
attention to details(25)
fun-ness(25)
seriousness(25)
user rules and manuals(25)
organizational rules and manuals(25)
 </v>
      </c>
      <c r="BI122" s="14" t="str">
        <f t="shared" si="280"/>
        <v xml:space="preserve">enthusiasm(1), engineering knowledge(1.1), enthusiasm(1), fun-ness(1), seriousness(2.1), community manager(1.1), administrator(1.1),  </v>
      </c>
      <c r="BJ122" s="14" t="str">
        <f t="shared" si="281"/>
        <v xml:space="preserve">reputation(-1,6.25%), efficiency(-1,25%),  </v>
      </c>
      <c r="BK122" s="27" t="str">
        <f t="shared" si="234"/>
        <v xml:space="preserve">reputation(6.25),efficiency(25), </v>
      </c>
      <c r="BL122" s="14" t="str">
        <f t="shared" si="283"/>
        <v xml:space="preserve">scale(2)
local biz(1)
ease of access(1)
reputation(1)
aesthetics(1)
 </v>
      </c>
      <c r="BM122" s="14" t="str">
        <f t="shared" si="284"/>
        <v xml:space="preserve">biz enhancement(1,%),  </v>
      </c>
      <c r="BN122" s="14" t="str">
        <f t="shared" si="285"/>
        <v xml:space="preserve"> </v>
      </c>
      <c r="BO122"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2" s="14" t="str">
        <f t="shared" si="287"/>
        <v xml:space="preserve">local biz(1,6.25%),  </v>
      </c>
      <c r="BQ122" s="27" t="str">
        <f t="shared" si="234"/>
        <v xml:space="preserve">local biz(6.25), </v>
      </c>
      <c r="BR122" s="14" t="str">
        <f t="shared" si="289"/>
        <v xml:space="preserve">scale(2)
scale(1)
local biz(1)
ease of access(1)
reputation(1)
aesthetics(1)
 </v>
      </c>
      <c r="BS122" s="14" t="str">
        <f t="shared" si="290"/>
        <v xml:space="preserve">biz project(1,%),  </v>
      </c>
      <c r="BT122" s="14" t="str">
        <f t="shared" si="291"/>
        <v xml:space="preserve"> </v>
      </c>
      <c r="BU122"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2" s="14" t="str">
        <f t="shared" si="293"/>
        <v xml:space="preserve">local biz(1,6.25%),  </v>
      </c>
      <c r="BW122" s="27" t="str">
        <f t="shared" si="234"/>
        <v xml:space="preserve">local biz(6.25), </v>
      </c>
      <c r="BX122" s="14" t="str">
        <f t="shared" si="295"/>
        <v xml:space="preserve">scale(2)
enthusiasm(1)
local biz(1)
ease of access(1)
reputation(1)
aesthetics(1)
interaction(1)
 </v>
      </c>
      <c r="BY122" s="14" t="str">
        <f t="shared" si="296"/>
        <v xml:space="preserve">biz project(1,%),  </v>
      </c>
      <c r="BZ122" s="14" t="str">
        <f t="shared" si="297"/>
        <v xml:space="preserve"> </v>
      </c>
      <c r="CA122"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2" s="14" t="str">
        <f t="shared" si="299"/>
        <v xml:space="preserve">local biz(1,6.25%),  </v>
      </c>
      <c r="CC122" s="27" t="str">
        <f t="shared" si="300"/>
        <v xml:space="preserve">local biz(6.25), </v>
      </c>
      <c r="CD122" s="14" t="str">
        <f t="shared" si="301"/>
        <v xml:space="preserve">scale(2)
enthusiasm(1)
ease of access(1)
reputation(1)
aesthetics(1)
 </v>
      </c>
      <c r="CE122" s="14" t="str">
        <f t="shared" si="302"/>
        <v xml:space="preserve">biz project(1,%),  </v>
      </c>
      <c r="CF122" s="14" t="str">
        <f t="shared" si="303"/>
        <v xml:space="preserve"> </v>
      </c>
      <c r="CG122"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2" s="14" t="str">
        <f t="shared" si="305"/>
        <v xml:space="preserve">local biz(1,6.25%),  </v>
      </c>
      <c r="CI122" s="27" t="str">
        <f t="shared" si="300"/>
        <v xml:space="preserve">local biz(6.25), </v>
      </c>
      <c r="CJ122" s="14" t="str">
        <f t="shared" si="307"/>
        <v xml:space="preserve">scale(2)
ease of access(1)
reputation(1)
aesthetics(1)
 </v>
      </c>
      <c r="CK122" s="14" t="str">
        <f t="shared" si="308"/>
        <v xml:space="preserve">biz project(1,%),  </v>
      </c>
      <c r="CL122" s="14" t="str">
        <f t="shared" si="309"/>
        <v xml:space="preserve"> </v>
      </c>
      <c r="CM122"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2" s="14" t="str">
        <f t="shared" si="311"/>
        <v xml:space="preserve">local biz(1,6.25%),  </v>
      </c>
      <c r="CO122" s="27" t="str">
        <f t="shared" si="300"/>
        <v xml:space="preserve">local biz(6.25), </v>
      </c>
      <c r="CP122" s="14" t="str">
        <f t="shared" si="313"/>
        <v xml:space="preserve">scale(2)
enthusiasm(1)
learning capacities(1)
field knowledge(1)
local biz(1)
metal processing(1)
functions(1)
 </v>
      </c>
      <c r="CQ122" s="14" t="str">
        <f t="shared" si="314"/>
        <v xml:space="preserve">local biz(1,50%), biz enhancement(1,50%),  </v>
      </c>
      <c r="CR122" s="14" t="str">
        <f t="shared" si="315"/>
        <v xml:space="preserve">local biz(50)
biz enhancement(50)
 </v>
      </c>
      <c r="CS122" s="14" t="str">
        <f t="shared" si="316"/>
        <v xml:space="preserve">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2" s="14" t="str">
        <f t="shared" si="317"/>
        <v xml:space="preserve">reputation(1,6.25%),  </v>
      </c>
      <c r="CU122" s="27" t="str">
        <f t="shared" si="300"/>
        <v xml:space="preserve">reputation(6.25), </v>
      </c>
      <c r="CV122" s="14" t="str">
        <f t="shared" si="319"/>
        <v xml:space="preserve">scale(1)
enthusiasm(2)
learning capacities(1)
non-profits(1)
wood processing(1)
aesthetics(1)
interaction(1)
 </v>
      </c>
      <c r="CW122" s="14" t="str">
        <f t="shared" si="320"/>
        <v xml:space="preserve">non-profits(1,50%), social project(1,50%),  </v>
      </c>
      <c r="CX122" s="14" t="str">
        <f t="shared" si="321"/>
        <v xml:space="preserve">non-profits(50)
social project(50)
 </v>
      </c>
      <c r="CY122"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2" s="14" t="str">
        <f t="shared" si="323"/>
        <v xml:space="preserve">media(1,6.25%), reputation(1,6.25%), portfolio(1,6.25%),  </v>
      </c>
      <c r="DA122" s="27" t="str">
        <f t="shared" si="300"/>
        <v xml:space="preserve">media(6.25),reputation(6.25),portfolio(6.25), </v>
      </c>
      <c r="DB122" s="14" t="str">
        <f t="shared" si="325"/>
        <v xml:space="preserve">scale(1)
enthusiasm(2)
learning capacities(1)
non-profits(1)
aesthetics(1)
interaction(1)
 </v>
      </c>
      <c r="DC122" s="14" t="str">
        <f t="shared" si="326"/>
        <v xml:space="preserve">non-profits(1,50%), social project(1,50%),  </v>
      </c>
      <c r="DD122" s="14" t="str">
        <f t="shared" si="327"/>
        <v xml:space="preserve">non-profits(50)
social project(50)
 </v>
      </c>
      <c r="DE122" s="14" t="str">
        <f t="shared" si="328"/>
        <v xml:space="preserve">gifted programmer(1), gifted designer(1), scale(2), enthusiasm(4), agility(2), ambition(4), attention to details(2), fun-ness(2), administrator(2), ease of access(2), efficiency(3), VR&amp;AR(2),  </v>
      </c>
      <c r="DF122" s="14" t="str">
        <f t="shared" si="329"/>
        <v xml:space="preserve">media(1,6.25%), reputation(1,6.25%), portfolio(1,6.25%),  </v>
      </c>
      <c r="DG122" s="27" t="str">
        <f t="shared" si="300"/>
        <v xml:space="preserve">media(6.25),reputation(6.25),portfolio(6.25), </v>
      </c>
      <c r="DH122" s="14" t="str">
        <f t="shared" si="331"/>
        <v xml:space="preserve">plastic(1)
scale(2)
enthusiasm(2)
scale(1)
wood processing(1)
aesthetics(1)
safety(1)
 </v>
      </c>
      <c r="DI122" s="14" t="str">
        <f t="shared" si="332"/>
        <v xml:space="preserve">social project(1,100%),  </v>
      </c>
      <c r="DJ122" s="14" t="str">
        <f t="shared" si="333"/>
        <v xml:space="preserve">social project(100)
 </v>
      </c>
      <c r="DK122" s="14" t="str">
        <f t="shared" si="334"/>
        <v xml:space="preserve">plastic(2), 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2" s="14" t="str">
        <f t="shared" si="335"/>
        <v xml:space="preserve">scale(1,6.25%), enthusiasm(1,6.25%), network among members(1,6.25%), enthusiasm(1,6.25%), agility(1,6.25%), fun-ness(1,6.25%), reputation(1,6.25%), portfolio(1,6.25%), team building(1,6.25%),  </v>
      </c>
      <c r="DM122" s="27" t="str">
        <f t="shared" si="300"/>
        <v xml:space="preserve">scale(6.25),enthusiasm(6.25),network among members(6.25),enthusiasm(6.25),agility(6.25),fun-ness(6.25),reputation(6.25),portfolio(6.25),team building(6.25), </v>
      </c>
      <c r="DN122" s="14" t="str">
        <f t="shared" si="337"/>
        <v xml:space="preserve">plastic(1)
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22" s="14" t="str">
        <f t="shared" si="338"/>
        <v xml:space="preserve">reputation(1,25%), portfolio(1,50%),  </v>
      </c>
      <c r="DP122" s="14" t="str">
        <f t="shared" si="339"/>
        <v xml:space="preserve">reputation(25)
portfolio(50)
 </v>
      </c>
      <c r="DQ122" s="14" t="str">
        <f t="shared" si="340"/>
        <v xml:space="preserve">plastic(2), engineering knowledge(2), network among members(1), gifted leader(1), gifted assistant(1), gifted designer(1), ambition(1), attention to details(3), fun-ness(3), administrator(1), media(3), suppliers(3), social media(2), wood processing(2), plastic processing(2), electronics(2), aesthetics(2),  </v>
      </c>
      <c r="DR122" s="14" t="str">
        <f t="shared" si="341"/>
        <v xml:space="preserve">suppliers(1,6.25%), reputation(1,6.25%),  </v>
      </c>
      <c r="DS122" s="27" t="str">
        <f t="shared" si="300"/>
        <v xml:space="preserve">suppliers(6.25),reputation(6.25), </v>
      </c>
      <c r="DT122" s="14" t="str">
        <f t="shared" si="343"/>
        <v xml:space="preserve">scale(2)
attention to details(2)
leader(1)
fame(1)
network(2)
reputation(3)
portfolio(2)
 </v>
      </c>
      <c r="DU122" s="14" t="str">
        <f t="shared" si="344"/>
        <v xml:space="preserve">fame(1,25%), govt(1,25%), non-profits(1,50%), reputation(1,25%),  </v>
      </c>
      <c r="DV122" s="14" t="str">
        <f t="shared" si="345"/>
        <v xml:space="preserve">fame(25)
govt(25)
non-profits(50)
reputation(25)
 </v>
      </c>
      <c r="DW122" s="14" t="str">
        <f t="shared" si="346"/>
        <v xml:space="preserve">scale(3), enthusiasm(3), enthusiasm(3), ambition(2), attention to details(2), PR(1), administrator(1), social media(2),  </v>
      </c>
      <c r="DX122" s="14" t="str">
        <f t="shared" si="347"/>
        <v xml:space="preserve">ambition(1,6.25%), fame(1,6.25%), reputation(1,6.25%),  </v>
      </c>
      <c r="DY122" s="27" t="str">
        <f t="shared" si="300"/>
        <v xml:space="preserve">ambition(6.25),fame(6.25),reputation(6.25), </v>
      </c>
      <c r="DZ122" s="14" t="str">
        <f t="shared" si="349"/>
        <v xml:space="preserve"> </v>
      </c>
      <c r="EA122" s="14" t="str">
        <f t="shared" si="350"/>
        <v xml:space="preserve"> </v>
      </c>
      <c r="EB122" s="14" t="str">
        <f t="shared" si="351"/>
        <v xml:space="preserve"> </v>
      </c>
      <c r="EC122" s="14" t="str">
        <f t="shared" si="352"/>
        <v xml:space="preserve"> </v>
      </c>
      <c r="ED122" s="14" t="str">
        <f t="shared" si="353"/>
        <v xml:space="preserve"> </v>
      </c>
      <c r="EE122" s="27" t="str">
        <f t="shared" si="300"/>
        <v xml:space="preserve"> </v>
      </c>
      <c r="EF122" s="14" t="str">
        <f t="shared" si="355"/>
        <v xml:space="preserve"> </v>
      </c>
      <c r="EG122" s="14" t="str">
        <f t="shared" si="356"/>
        <v xml:space="preserve"> </v>
      </c>
      <c r="EH122" s="14" t="str">
        <f t="shared" si="357"/>
        <v xml:space="preserve"> </v>
      </c>
      <c r="EI122" s="14" t="str">
        <f t="shared" si="358"/>
        <v xml:space="preserve"> </v>
      </c>
      <c r="EJ122" s="14" t="str">
        <f t="shared" si="359"/>
        <v xml:space="preserve"> </v>
      </c>
      <c r="EK122" s="27" t="str">
        <f t="shared" si="300"/>
        <v xml:space="preserve"> </v>
      </c>
      <c r="EL122" s="14" t="str">
        <f t="shared" si="361"/>
        <v xml:space="preserve"> </v>
      </c>
      <c r="EM122" s="14" t="str">
        <f t="shared" si="362"/>
        <v xml:space="preserve"> </v>
      </c>
      <c r="EN122" s="14" t="str">
        <f t="shared" si="363"/>
        <v xml:space="preserve"> </v>
      </c>
      <c r="EO122" s="14" t="str">
        <f t="shared" si="364"/>
        <v xml:space="preserve"> </v>
      </c>
      <c r="EP122" s="14" t="str">
        <f t="shared" si="365"/>
        <v xml:space="preserve"> </v>
      </c>
      <c r="EQ122" s="27" t="str">
        <f t="shared" si="366"/>
        <v xml:space="preserve"> </v>
      </c>
      <c r="ER122" s="14" t="str">
        <f t="shared" si="367"/>
        <v xml:space="preserve"> </v>
      </c>
      <c r="ES122" s="14" t="str">
        <f t="shared" si="368"/>
        <v xml:space="preserve"> </v>
      </c>
      <c r="ET122" s="14" t="str">
        <f t="shared" si="369"/>
        <v xml:space="preserve"> </v>
      </c>
      <c r="EU122" s="14" t="str">
        <f t="shared" si="370"/>
        <v xml:space="preserve"> </v>
      </c>
      <c r="EV122" s="14" t="str">
        <f t="shared" si="371"/>
        <v xml:space="preserve"> </v>
      </c>
      <c r="EW122" s="27" t="str">
        <f t="shared" si="366"/>
        <v xml:space="preserve"> </v>
      </c>
      <c r="EX122" s="14" t="str">
        <f t="shared" si="373"/>
        <v xml:space="preserve"> </v>
      </c>
      <c r="EY122" s="14" t="str">
        <f t="shared" si="374"/>
        <v xml:space="preserve"> </v>
      </c>
      <c r="EZ122" s="14" t="str">
        <f t="shared" si="375"/>
        <v xml:space="preserve"> </v>
      </c>
      <c r="FA122" s="14" t="str">
        <f t="shared" si="376"/>
        <v xml:space="preserve"> </v>
      </c>
      <c r="FB122" s="14" t="str">
        <f t="shared" si="377"/>
        <v xml:space="preserve"> </v>
      </c>
      <c r="FC122" s="27" t="str">
        <f t="shared" si="366"/>
        <v xml:space="preserve"> </v>
      </c>
      <c r="FD122" s="14" t="str">
        <f t="shared" si="379"/>
        <v xml:space="preserve"> </v>
      </c>
      <c r="FE122" s="14" t="str">
        <f t="shared" si="380"/>
        <v xml:space="preserve"> </v>
      </c>
      <c r="FF122" s="14" t="str">
        <f t="shared" si="381"/>
        <v xml:space="preserve"> </v>
      </c>
      <c r="FG122" s="14" t="str">
        <f t="shared" si="382"/>
        <v xml:space="preserve"> </v>
      </c>
      <c r="FH122" s="14" t="str">
        <f t="shared" si="383"/>
        <v xml:space="preserve"> </v>
      </c>
      <c r="FI122" s="27" t="str">
        <f t="shared" si="366"/>
        <v xml:space="preserve"> </v>
      </c>
      <c r="FJ122" s="14" t="str">
        <f t="shared" si="385"/>
        <v xml:space="preserve"> </v>
      </c>
      <c r="FK122" s="14" t="str">
        <f t="shared" si="386"/>
        <v xml:space="preserve"> </v>
      </c>
      <c r="FL122" s="14" t="str">
        <f t="shared" si="387"/>
        <v xml:space="preserve"> </v>
      </c>
      <c r="FM122" s="14" t="str">
        <f t="shared" si="388"/>
        <v xml:space="preserve"> </v>
      </c>
      <c r="FN122" s="14" t="str">
        <f t="shared" si="389"/>
        <v xml:space="preserve"> </v>
      </c>
      <c r="FO122" s="27" t="str">
        <f t="shared" si="366"/>
        <v xml:space="preserve"> </v>
      </c>
      <c r="FP122" s="14" t="str">
        <f t="shared" si="391"/>
        <v xml:space="preserve"> </v>
      </c>
      <c r="FQ122" s="14" t="str">
        <f t="shared" si="392"/>
        <v xml:space="preserve"> </v>
      </c>
      <c r="FR122" s="14" t="str">
        <f t="shared" si="393"/>
        <v xml:space="preserve"> </v>
      </c>
      <c r="FS122" s="14" t="str">
        <f t="shared" si="394"/>
        <v xml:space="preserve"> </v>
      </c>
      <c r="FT122" s="14" t="str">
        <f t="shared" si="395"/>
        <v xml:space="preserve"> </v>
      </c>
      <c r="FU122" s="27" t="str">
        <f t="shared" si="366"/>
        <v xml:space="preserve"> </v>
      </c>
      <c r="FV122" s="14" t="str">
        <f t="shared" si="397"/>
        <v xml:space="preserve"> </v>
      </c>
      <c r="FW122" s="14" t="str">
        <f t="shared" si="398"/>
        <v xml:space="preserve"> </v>
      </c>
      <c r="FX122" s="14" t="str">
        <f t="shared" si="399"/>
        <v xml:space="preserve"> </v>
      </c>
      <c r="FY122" s="14" t="str">
        <f t="shared" si="400"/>
        <v xml:space="preserve"> </v>
      </c>
      <c r="FZ122" s="14" t="str">
        <f t="shared" si="401"/>
        <v xml:space="preserve"> </v>
      </c>
      <c r="GA122" s="27" t="str">
        <f t="shared" si="366"/>
        <v xml:space="preserve"> </v>
      </c>
      <c r="GB122" s="14" t="str">
        <f t="shared" si="403"/>
        <v xml:space="preserve"> </v>
      </c>
      <c r="GC122" s="14" t="str">
        <f t="shared" si="404"/>
        <v xml:space="preserve"> </v>
      </c>
      <c r="GD122" s="14" t="str">
        <f t="shared" si="405"/>
        <v xml:space="preserve"> </v>
      </c>
      <c r="GE122" s="14" t="str">
        <f t="shared" si="406"/>
        <v xml:space="preserve"> </v>
      </c>
      <c r="GF122" s="14" t="str">
        <f t="shared" si="407"/>
        <v xml:space="preserve"> </v>
      </c>
      <c r="GG122" s="27" t="str">
        <f t="shared" si="366"/>
        <v xml:space="preserve"> </v>
      </c>
      <c r="GH122" s="14" t="str">
        <f t="shared" si="409"/>
        <v xml:space="preserve"> </v>
      </c>
      <c r="GI122" s="14" t="str">
        <f t="shared" si="410"/>
        <v xml:space="preserve"> </v>
      </c>
      <c r="GJ122" s="14" t="str">
        <f t="shared" si="411"/>
        <v xml:space="preserve"> </v>
      </c>
      <c r="GK122" s="14" t="str">
        <f t="shared" si="412"/>
        <v xml:space="preserve"> </v>
      </c>
      <c r="GL122" s="14" t="str">
        <f t="shared" si="413"/>
        <v xml:space="preserve"> </v>
      </c>
      <c r="GM122" s="27" t="str">
        <f t="shared" si="366"/>
        <v xml:space="preserve"> </v>
      </c>
      <c r="GN122" s="14" t="str">
        <f t="shared" si="415"/>
        <v xml:space="preserve"> </v>
      </c>
      <c r="GO122" s="14" t="str">
        <f t="shared" si="416"/>
        <v xml:space="preserve"> </v>
      </c>
      <c r="GP122" s="14" t="str">
        <f t="shared" si="417"/>
        <v xml:space="preserve"> </v>
      </c>
      <c r="GQ122" s="14" t="str">
        <f t="shared" si="418"/>
        <v xml:space="preserve"> </v>
      </c>
      <c r="GR122" s="14" t="str">
        <f t="shared" si="419"/>
        <v xml:space="preserve"> </v>
      </c>
      <c r="GS122" s="27" t="str">
        <f t="shared" si="366"/>
        <v xml:space="preserve"> </v>
      </c>
      <c r="GT122" s="14" t="str">
        <f t="shared" si="421"/>
        <v xml:space="preserve"> </v>
      </c>
      <c r="GU122" s="14" t="str">
        <f t="shared" si="422"/>
        <v xml:space="preserve"> </v>
      </c>
      <c r="GV122" s="14" t="str">
        <f t="shared" si="423"/>
        <v xml:space="preserve"> </v>
      </c>
      <c r="GW122" s="14" t="str">
        <f t="shared" si="424"/>
        <v xml:space="preserve"> </v>
      </c>
      <c r="GX122" s="14" t="str">
        <f t="shared" si="425"/>
        <v xml:space="preserve"> </v>
      </c>
      <c r="GY122" s="27" t="str">
        <f t="shared" si="366"/>
        <v xml:space="preserve"> </v>
      </c>
      <c r="GZ122" s="14" t="str">
        <f t="shared" si="427"/>
        <v xml:space="preserve"> </v>
      </c>
      <c r="HA122" s="14" t="str">
        <f t="shared" si="428"/>
        <v xml:space="preserve"> </v>
      </c>
      <c r="HB122" s="14" t="str">
        <f t="shared" si="429"/>
        <v xml:space="preserve"> </v>
      </c>
      <c r="HC122" s="14" t="str">
        <f t="shared" si="430"/>
        <v xml:space="preserve"> </v>
      </c>
      <c r="HD122" s="14" t="str">
        <f t="shared" si="431"/>
        <v xml:space="preserve"> </v>
      </c>
      <c r="HE122" s="27" t="str">
        <f t="shared" si="432"/>
        <v xml:space="preserve"> </v>
      </c>
      <c r="HF122" s="14" t="str">
        <f t="shared" si="433"/>
        <v xml:space="preserve"> </v>
      </c>
      <c r="HG122" s="14" t="str">
        <f t="shared" si="434"/>
        <v xml:space="preserve"> </v>
      </c>
      <c r="HH122" s="14" t="str">
        <f t="shared" si="435"/>
        <v xml:space="preserve"> </v>
      </c>
      <c r="HI122" s="14" t="str">
        <f t="shared" si="436"/>
        <v xml:space="preserve"> </v>
      </c>
      <c r="HJ122" s="14" t="str">
        <f t="shared" si="437"/>
        <v xml:space="preserve"> </v>
      </c>
      <c r="HK122" s="27" t="str">
        <f t="shared" si="432"/>
        <v xml:space="preserve"> </v>
      </c>
      <c r="HL122" s="14" t="str">
        <f t="shared" si="439"/>
        <v xml:space="preserve"> </v>
      </c>
      <c r="HM122" s="14" t="str">
        <f t="shared" si="440"/>
        <v xml:space="preserve"> </v>
      </c>
      <c r="HN122" s="14" t="str">
        <f t="shared" si="441"/>
        <v xml:space="preserve"> </v>
      </c>
      <c r="HO122" s="14" t="str">
        <f t="shared" si="442"/>
        <v xml:space="preserve"> </v>
      </c>
      <c r="HP122" s="14" t="str">
        <f t="shared" si="443"/>
        <v xml:space="preserve"> </v>
      </c>
      <c r="HQ122" s="27" t="str">
        <f t="shared" si="432"/>
        <v xml:space="preserve"> </v>
      </c>
    </row>
    <row r="123" spans="1:225" ht="15.75" customHeight="1">
      <c r="A123" s="7">
        <f t="shared" ref="A123:C123" si="468">A15</f>
        <v>0</v>
      </c>
      <c r="B123" s="7">
        <f t="shared" si="468"/>
        <v>0</v>
      </c>
      <c r="C123" s="7" t="str">
        <f t="shared" si="468"/>
        <v>electronics</v>
      </c>
      <c r="D123" s="14" t="str">
        <f t="shared" si="446"/>
        <v xml:space="preserve"> </v>
      </c>
      <c r="E123" s="14" t="str">
        <f t="shared" si="447"/>
        <v xml:space="preserve"> </v>
      </c>
      <c r="F123" s="14" t="str">
        <f t="shared" si="448"/>
        <v xml:space="preserve"> </v>
      </c>
      <c r="G123" s="14" t="str">
        <f t="shared" si="449"/>
        <v xml:space="preserve">electronics(1), fabric(1), scale(1), attention to details(1.1), efficiency(1), user rules and manuals(2.1), organizational rules and manuals(2.1),  </v>
      </c>
      <c r="H123" s="14" t="str">
        <f t="shared" si="450"/>
        <v xml:space="preserve">electronics(-1,6.25%), fabric(-1,6.25%), scale(-1,6.25%), efficiency(-1,6.25%),  </v>
      </c>
      <c r="I123" s="27" t="str">
        <f t="shared" ref="I123" si="469">IF(I15="",I124,$C123&amp;"("&amp;I15&amp;"),"&amp;I124)</f>
        <v xml:space="preserve">electronics(6.25),fabric(6.25),scale(6.25),efficiency(6.25), </v>
      </c>
      <c r="J123" s="14" t="str">
        <f t="shared" si="229"/>
        <v xml:space="preserve">scale(1)
enthusiasm(1)
 </v>
      </c>
      <c r="K123" s="14" t="str">
        <f t="shared" si="230"/>
        <v xml:space="preserve">scale(-1,12.5%), enthusiasm(-1,25%),  </v>
      </c>
      <c r="L123" s="14" t="str">
        <f t="shared" si="231"/>
        <v xml:space="preserve">scale(12.5)
enthusiasm(25)
 </v>
      </c>
      <c r="M123" s="14" t="str">
        <f t="shared" si="232"/>
        <v xml:space="preserve">scale(1.1), efficiency(0.1), organizational rules and manuals(1.1),  </v>
      </c>
      <c r="N123" s="14" t="str">
        <f t="shared" si="233"/>
        <v xml:space="preserve">agility(-1,6.75%), ambition(-1,6.75%), fun-ness(-1,6.75%), initiative(-1,6.75%),  </v>
      </c>
      <c r="O123" s="27" t="str">
        <f t="shared" si="234"/>
        <v xml:space="preserve">agility(6.75),ambition(6.75),fun-ness(6.75),initiative(6.75), </v>
      </c>
      <c r="P123" s="14" t="str">
        <f t="shared" si="235"/>
        <v xml:space="preserve">scale(1)
enthusiasm(1)
 </v>
      </c>
      <c r="Q123" s="14" t="str">
        <f t="shared" si="236"/>
        <v xml:space="preserve">enthusiasm(-1,50%), gifted leader(-1,25%), gifted programmer(-1,25%), gifted designer(-1,25%),  </v>
      </c>
      <c r="R123" s="14" t="str">
        <f t="shared" si="237"/>
        <v xml:space="preserve">enthusiasm(50)
gifted leader(25)
gifted programmer(25)
gifted designer(25)
 </v>
      </c>
      <c r="S123" s="14" t="str">
        <f t="shared" si="238"/>
        <v xml:space="preserve">scale(1), network among members(0.1), gifted leader(1), gifted programmer(1), gifted designer(1), ambition(1), attention to details(0.1), community manager(0.1), team building(0.1),  </v>
      </c>
      <c r="T123" s="14" t="str">
        <f t="shared" si="239"/>
        <v xml:space="preserve">ambition(-1,%), business model(-1,6.25%), web(-1,6.25%), mobile apps(-1,6.25%), aesthetics(-1,6.25%),  </v>
      </c>
      <c r="U123" s="27" t="str">
        <f t="shared" si="234"/>
        <v xml:space="preserve">business model(6.25),web(6.25),mobile apps(6.25),aesthetics(6.25), </v>
      </c>
      <c r="V123" s="14" t="str">
        <f t="shared" si="241"/>
        <v xml:space="preserve">scale(1)
scale(1)
 </v>
      </c>
      <c r="W123" s="14" t="str">
        <f t="shared" si="242"/>
        <v xml:space="preserve">enthusiasm(-1,25%), enthusiasm(-1,25%), efficiency(-1,25%),  </v>
      </c>
      <c r="X123" s="14" t="str">
        <f t="shared" si="243"/>
        <v xml:space="preserve">enthusiasm(25)
enthusiasm(25)
efficiency(25)
 </v>
      </c>
      <c r="Y123" s="14" t="str">
        <f t="shared" si="244"/>
        <v xml:space="preserve">community manager(0.1), administrator(0.1), spaciousness(1), ease of access(3), reputation(2), user rules and manuals(0.1), project management(0.1), negotiation(0.1),  </v>
      </c>
      <c r="Z123" s="14" t="str">
        <f t="shared" si="245"/>
        <v xml:space="preserve">scale(-1,6.25%), reputation(-1,%),  </v>
      </c>
      <c r="AA123" s="27" t="str">
        <f t="shared" si="234"/>
        <v xml:space="preserve">scale(6.25), </v>
      </c>
      <c r="AB123" s="14" t="str">
        <f t="shared" si="247"/>
        <v xml:space="preserve"> </v>
      </c>
      <c r="AC123" s="14" t="str">
        <f t="shared" si="248"/>
        <v xml:space="preserve"> </v>
      </c>
      <c r="AD123" s="14" t="str">
        <f t="shared" si="249"/>
        <v xml:space="preserve"> </v>
      </c>
      <c r="AE123" s="14" t="str">
        <f t="shared" si="250"/>
        <v xml:space="preserve">scale(3), network among members(0.1), scale(1.1), attention to details(0.1), seriousness(0.1), initiative(0.1), spaciousness(1), user rules and manuals(1.1), organizational rules and manuals(1.1),  </v>
      </c>
      <c r="AF123" s="14" t="str">
        <f t="shared" si="251"/>
        <v xml:space="preserve">fabric(-1,6.25%), enthusiasm(-1,6.25%), enthusiasm(-1,%), local biz(-1,6.25%), investors(-1,6.25%), non-profits(-1,6.25%), efficiency(-1,6.25%),  </v>
      </c>
      <c r="AG123" s="27" t="str">
        <f t="shared" si="234"/>
        <v xml:space="preserve">fabric(6.25),enthusiasm(6.25),local biz(6.25),investors(6.25),non-profits(6.25),efficiency(6.25), </v>
      </c>
      <c r="AH123" s="14" t="str">
        <f t="shared" si="253"/>
        <v xml:space="preserve">scale(1)
enthusiasm(2)
fun-ness(1)
ease of access(1)
reputation(1)
 </v>
      </c>
      <c r="AI123" s="14" t="str">
        <f t="shared" si="254"/>
        <v xml:space="preserve">enthusiasm(-1,25%),  </v>
      </c>
      <c r="AJ123" s="14" t="str">
        <f t="shared" si="255"/>
        <v xml:space="preserve">enthusiasm(25)
 </v>
      </c>
      <c r="AK123" s="14" t="str">
        <f t="shared" si="256"/>
        <v xml:space="preserve">scale(2), enthusiasm(2), scale(3.1), attention to details(2.1), seriousness(2.1), community manager(2.1), administrator(2.1), spaciousness(1), ease of access(1), reputation(2), user rules and manuals(2.1), organizational rules and manuals(2.1), law(1.1), negotiation(1.1),  </v>
      </c>
      <c r="AL123" s="14" t="str">
        <f t="shared" si="257"/>
        <v xml:space="preserve">scale(-1,6.25%), enthusiasm(-1,6.25%), govt(-1,6.25%), non-profits(-1,6.25%), reputation(-1,6.25%),  </v>
      </c>
      <c r="AM123" s="27" t="str">
        <f t="shared" si="234"/>
        <v xml:space="preserve">scale(6.25),enthusiasm(6.25),govt(6.25),non-profits(6.25),reputation(6.25), </v>
      </c>
      <c r="AN123" s="14" t="str">
        <f t="shared" si="259"/>
        <v xml:space="preserve">scale(1)
fun-ness(1)
seriousness(1)
 </v>
      </c>
      <c r="AO123" s="14" t="str">
        <f t="shared" si="260"/>
        <v xml:space="preserve">scale(-1,25%), enthusiasm(-1,25%), enthusiasm(-1,25%),  </v>
      </c>
      <c r="AP123" s="14" t="str">
        <f t="shared" si="261"/>
        <v xml:space="preserve">scale(25)
enthusiasm(25)
enthusiasm(25)
 </v>
      </c>
      <c r="AQ123" s="14" t="str">
        <f t="shared" si="262"/>
        <v xml:space="preserve">scale(1), fun-ness(1), spaciousness(2.1), reputation(3), organizational rules and manuals(2.1), team building(2.1),  </v>
      </c>
      <c r="AR123" s="14" t="str">
        <f t="shared" si="263"/>
        <v xml:space="preserve">enthusiasm(-1,12.5%), fun-ness(-1,6.25%), reputation(-1,6.25%), efficiency(-1,6.25%),  </v>
      </c>
      <c r="AS123" s="27" t="str">
        <f t="shared" si="234"/>
        <v xml:space="preserve">enthusiasm(12.5),fun-ness(6.25),reputation(6.25),efficiency(6.25), </v>
      </c>
      <c r="AT123" s="14" t="str">
        <f t="shared" si="265"/>
        <v xml:space="preserve">scale(1)
enthusiasm(1)
network among members(3.1)
 </v>
      </c>
      <c r="AU123" s="14" t="str">
        <f t="shared" si="266"/>
        <v xml:space="preserve">scale(-1,25%), enthusiasm(-1,25%),  </v>
      </c>
      <c r="AV123" s="14" t="str">
        <f t="shared" si="267"/>
        <v xml:space="preserve">scale(25)
enthusiasm(25)
 </v>
      </c>
      <c r="AW123" s="14" t="str">
        <f t="shared" si="268"/>
        <v xml:space="preserve">scale(1), enthusiasm(1), attention to details(3.1), fun-ness(3.1), seriousness(3.1), initiative(2.1), leader(2.1), community manager(2.1), user rules and manuals(2.1), team building(2.1),  </v>
      </c>
      <c r="AX123" s="14" t="str">
        <f t="shared" si="269"/>
        <v xml:space="preserve">field knowledge(-1,6.25%), network among members(-1,6.25%), gifted assistant(-1,6.25%),  </v>
      </c>
      <c r="AY123" s="27" t="str">
        <f t="shared" si="234"/>
        <v xml:space="preserve">field knowledge(6.25),network among members(6.25),gifted assistant(6.25), </v>
      </c>
      <c r="AZ123" s="14" t="str">
        <f t="shared" si="271"/>
        <v xml:space="preserve">scale(1)
 </v>
      </c>
      <c r="BA123" s="14" t="str">
        <f t="shared" si="272"/>
        <v xml:space="preserve">enthusiasm(-1,12.5%), attention to details(1,12.5%), fun-ness(-1,12.5%), seriousness(1,12.5%), efficiency(-1,12.5%), user rules and manuals(1,25%),  </v>
      </c>
      <c r="BB123" s="14" t="str">
        <f t="shared" si="273"/>
        <v xml:space="preserve">enthusiasm(12.5)
attention to details(12.5)
fun-ness(12.5)
seriousness(12.5)
efficiency(12.5)
user rules and manuals(25)
 </v>
      </c>
      <c r="BC123" s="14" t="str">
        <f t="shared" si="274"/>
        <v xml:space="preserve">scale(1), agility(1.1), attention to details(1.1), seriousness(1.1), community manager(1.1), administrator(1.1), user rules and manuals(2.1), organizational rules and manuals(2.1),  </v>
      </c>
      <c r="BD123" s="14" t="str">
        <f t="shared" si="275"/>
        <v xml:space="preserve">scale(-1,6.25%), enthusiasm(-1,6.25%), reputation(-1,6.25%),  </v>
      </c>
      <c r="BE123" s="27" t="str">
        <f t="shared" si="234"/>
        <v xml:space="preserve">scale(6.25),enthusiasm(6.25),reputation(6.25), </v>
      </c>
      <c r="BF123" s="14" t="str">
        <f t="shared" si="277"/>
        <v xml:space="preserve"> </v>
      </c>
      <c r="BG123" s="14" t="str">
        <f t="shared" si="278"/>
        <v xml:space="preserve">enthusiasm(-1,25%), enthusiasm(-1,25%), attention to details(1,25%), fun-ness(-1,25%), seriousness(1,25%), user rules and manuals(1,25%), organizational rules and manuals(1,25%),  </v>
      </c>
      <c r="BH123" s="14" t="str">
        <f t="shared" si="279"/>
        <v xml:space="preserve">enthusiasm(25)
enthusiasm(25)
attention to details(25)
fun-ness(25)
seriousness(25)
user rules and manuals(25)
organizational rules and manuals(25)
 </v>
      </c>
      <c r="BI123" s="14" t="str">
        <f t="shared" si="280"/>
        <v xml:space="preserve">enthusiasm(1), engineering knowledge(1.1), enthusiasm(1), fun-ness(1), seriousness(2.1), community manager(1.1), administrator(1.1),  </v>
      </c>
      <c r="BJ123" s="14" t="str">
        <f t="shared" si="281"/>
        <v xml:space="preserve">reputation(-1,6.25%), efficiency(-1,25%),  </v>
      </c>
      <c r="BK123" s="27" t="str">
        <f t="shared" si="234"/>
        <v xml:space="preserve">reputation(6.25),efficiency(25), </v>
      </c>
      <c r="BL123" s="14" t="str">
        <f t="shared" si="283"/>
        <v xml:space="preserve">scale(2)
local biz(1)
ease of access(1)
reputation(1)
aesthetics(1)
 </v>
      </c>
      <c r="BM123" s="14" t="str">
        <f t="shared" si="284"/>
        <v xml:space="preserve">biz enhancement(1,%),  </v>
      </c>
      <c r="BN123" s="14" t="str">
        <f t="shared" si="285"/>
        <v xml:space="preserve"> </v>
      </c>
      <c r="BO123"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3" s="14" t="str">
        <f t="shared" si="287"/>
        <v xml:space="preserve">local biz(1,6.25%),  </v>
      </c>
      <c r="BQ123" s="27" t="str">
        <f t="shared" si="234"/>
        <v xml:space="preserve">local biz(6.25), </v>
      </c>
      <c r="BR123" s="14" t="str">
        <f t="shared" si="289"/>
        <v xml:space="preserve">scale(2)
scale(1)
local biz(1)
ease of access(1)
reputation(1)
aesthetics(1)
 </v>
      </c>
      <c r="BS123" s="14" t="str">
        <f t="shared" si="290"/>
        <v xml:space="preserve">biz project(1,%),  </v>
      </c>
      <c r="BT123" s="14" t="str">
        <f t="shared" si="291"/>
        <v xml:space="preserve"> </v>
      </c>
      <c r="BU123"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3" s="14" t="str">
        <f t="shared" si="293"/>
        <v xml:space="preserve">local biz(1,6.25%),  </v>
      </c>
      <c r="BW123" s="27" t="str">
        <f t="shared" si="234"/>
        <v xml:space="preserve">local biz(6.25), </v>
      </c>
      <c r="BX123" s="14" t="str">
        <f t="shared" si="295"/>
        <v xml:space="preserve">scale(2)
enthusiasm(1)
local biz(1)
ease of access(1)
reputation(1)
aesthetics(1)
interaction(1)
 </v>
      </c>
      <c r="BY123" s="14" t="str">
        <f t="shared" si="296"/>
        <v xml:space="preserve">biz project(1,%),  </v>
      </c>
      <c r="BZ123" s="14" t="str">
        <f t="shared" si="297"/>
        <v xml:space="preserve"> </v>
      </c>
      <c r="CA123"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3" s="14" t="str">
        <f t="shared" si="299"/>
        <v xml:space="preserve">local biz(1,6.25%),  </v>
      </c>
      <c r="CC123" s="27" t="str">
        <f t="shared" si="300"/>
        <v xml:space="preserve">local biz(6.25), </v>
      </c>
      <c r="CD123" s="14" t="str">
        <f t="shared" si="301"/>
        <v xml:space="preserve">scale(2)
enthusiasm(1)
ease of access(1)
reputation(1)
aesthetics(1)
 </v>
      </c>
      <c r="CE123" s="14" t="str">
        <f t="shared" si="302"/>
        <v xml:space="preserve">biz project(1,%),  </v>
      </c>
      <c r="CF123" s="14" t="str">
        <f t="shared" si="303"/>
        <v xml:space="preserve"> </v>
      </c>
      <c r="CG123"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3" s="14" t="str">
        <f t="shared" si="305"/>
        <v xml:space="preserve">local biz(1,6.25%),  </v>
      </c>
      <c r="CI123" s="27" t="str">
        <f t="shared" si="300"/>
        <v xml:space="preserve">local biz(6.25), </v>
      </c>
      <c r="CJ123" s="14" t="str">
        <f t="shared" si="307"/>
        <v xml:space="preserve">scale(2)
ease of access(1)
reputation(1)
aesthetics(1)
 </v>
      </c>
      <c r="CK123" s="14" t="str">
        <f t="shared" si="308"/>
        <v xml:space="preserve">biz project(1,%),  </v>
      </c>
      <c r="CL123" s="14" t="str">
        <f t="shared" si="309"/>
        <v xml:space="preserve"> </v>
      </c>
      <c r="CM123"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3" s="14" t="str">
        <f t="shared" si="311"/>
        <v xml:space="preserve">local biz(1,6.25%),  </v>
      </c>
      <c r="CO123" s="27" t="str">
        <f t="shared" si="300"/>
        <v xml:space="preserve">local biz(6.25), </v>
      </c>
      <c r="CP123" s="14" t="str">
        <f t="shared" si="313"/>
        <v xml:space="preserve">scale(2)
enthusiasm(1)
learning capacities(1)
field knowledge(1)
local biz(1)
metal processing(1)
functions(1)
 </v>
      </c>
      <c r="CQ123" s="14" t="str">
        <f t="shared" si="314"/>
        <v xml:space="preserve">local biz(1,50%), biz enhancement(1,50%),  </v>
      </c>
      <c r="CR123" s="14" t="str">
        <f t="shared" si="315"/>
        <v xml:space="preserve">local biz(50)
biz enhancement(50)
 </v>
      </c>
      <c r="CS123" s="14" t="str">
        <f t="shared" si="316"/>
        <v xml:space="preserve">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3" s="14" t="str">
        <f t="shared" si="317"/>
        <v xml:space="preserve">reputation(1,6.25%),  </v>
      </c>
      <c r="CU123" s="27" t="str">
        <f t="shared" si="300"/>
        <v xml:space="preserve">reputation(6.25), </v>
      </c>
      <c r="CV123" s="14" t="str">
        <f t="shared" si="319"/>
        <v xml:space="preserve">scale(1)
enthusiasm(2)
learning capacities(1)
non-profits(1)
wood processing(1)
aesthetics(1)
interaction(1)
 </v>
      </c>
      <c r="CW123" s="14" t="str">
        <f t="shared" si="320"/>
        <v xml:space="preserve">non-profits(1,50%), social project(1,50%),  </v>
      </c>
      <c r="CX123" s="14" t="str">
        <f t="shared" si="321"/>
        <v xml:space="preserve">non-profits(50)
social project(50)
 </v>
      </c>
      <c r="CY123"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3" s="14" t="str">
        <f t="shared" si="323"/>
        <v xml:space="preserve">media(1,6.25%), reputation(1,6.25%), portfolio(1,6.25%),  </v>
      </c>
      <c r="DA123" s="27" t="str">
        <f t="shared" si="300"/>
        <v xml:space="preserve">media(6.25),reputation(6.25),portfolio(6.25), </v>
      </c>
      <c r="DB123" s="14" t="str">
        <f t="shared" si="325"/>
        <v xml:space="preserve">scale(1)
enthusiasm(2)
learning capacities(1)
non-profits(1)
aesthetics(1)
interaction(1)
 </v>
      </c>
      <c r="DC123" s="14" t="str">
        <f t="shared" si="326"/>
        <v xml:space="preserve">non-profits(1,50%), social project(1,50%),  </v>
      </c>
      <c r="DD123" s="14" t="str">
        <f t="shared" si="327"/>
        <v xml:space="preserve">non-profits(50)
social project(50)
 </v>
      </c>
      <c r="DE123" s="14" t="str">
        <f t="shared" si="328"/>
        <v xml:space="preserve">gifted programmer(1), gifted designer(1), scale(2), enthusiasm(4), agility(2), ambition(4), attention to details(2), fun-ness(2), administrator(2), ease of access(2), efficiency(3), VR&amp;AR(2),  </v>
      </c>
      <c r="DF123" s="14" t="str">
        <f t="shared" si="329"/>
        <v xml:space="preserve">media(1,6.25%), reputation(1,6.25%), portfolio(1,6.25%),  </v>
      </c>
      <c r="DG123" s="27" t="str">
        <f t="shared" si="300"/>
        <v xml:space="preserve">media(6.25),reputation(6.25),portfolio(6.25), </v>
      </c>
      <c r="DH123" s="14" t="str">
        <f t="shared" si="331"/>
        <v xml:space="preserve">scale(2)
enthusiasm(2)
scale(1)
wood processing(1)
aesthetics(1)
safety(1)
 </v>
      </c>
      <c r="DI123" s="14" t="str">
        <f t="shared" si="332"/>
        <v xml:space="preserve">social project(1,100%),  </v>
      </c>
      <c r="DJ123" s="14" t="str">
        <f t="shared" si="333"/>
        <v xml:space="preserve">social project(100)
 </v>
      </c>
      <c r="DK123" s="14" t="str">
        <f t="shared" si="334"/>
        <v xml:space="preserve">electronics(1), 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3" s="14" t="str">
        <f t="shared" si="335"/>
        <v xml:space="preserve">scale(1,6.25%), enthusiasm(1,6.25%), network among members(1,6.25%), enthusiasm(1,6.25%), agility(1,6.25%), fun-ness(1,6.25%), reputation(1,6.25%), portfolio(1,6.25%), team building(1,6.25%),  </v>
      </c>
      <c r="DM123" s="27" t="str">
        <f t="shared" si="300"/>
        <v xml:space="preserve">scale(6.25),enthusiasm(6.25),network among members(6.25),enthusiasm(6.25),agility(6.25),fun-ness(6.25),reputation(6.25),portfolio(6.25),team building(6.25), </v>
      </c>
      <c r="DN123" s="14" t="str">
        <f t="shared" si="337"/>
        <v xml:space="preserve">electronics(1)
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23" s="14" t="str">
        <f t="shared" si="338"/>
        <v xml:space="preserve">reputation(1,25%), portfolio(1,50%),  </v>
      </c>
      <c r="DP123" s="14" t="str">
        <f t="shared" si="339"/>
        <v xml:space="preserve">reputation(25)
portfolio(50)
 </v>
      </c>
      <c r="DQ123"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3" s="14" t="str">
        <f t="shared" si="341"/>
        <v xml:space="preserve">suppliers(1,6.25%), reputation(1,6.25%),  </v>
      </c>
      <c r="DS123" s="27" t="str">
        <f t="shared" si="300"/>
        <v xml:space="preserve">suppliers(6.25),reputation(6.25), </v>
      </c>
      <c r="DT123" s="14" t="str">
        <f t="shared" si="343"/>
        <v xml:space="preserve">scale(2)
attention to details(2)
leader(1)
fame(1)
network(2)
reputation(3)
portfolio(2)
 </v>
      </c>
      <c r="DU123" s="14" t="str">
        <f t="shared" si="344"/>
        <v xml:space="preserve">fame(1,25%), govt(1,25%), non-profits(1,50%), reputation(1,25%),  </v>
      </c>
      <c r="DV123" s="14" t="str">
        <f t="shared" si="345"/>
        <v xml:space="preserve">fame(25)
govt(25)
non-profits(50)
reputation(25)
 </v>
      </c>
      <c r="DW123" s="14" t="str">
        <f t="shared" si="346"/>
        <v xml:space="preserve">scale(3), enthusiasm(3), enthusiasm(3), ambition(2), attention to details(2), PR(1), administrator(1), social media(2),  </v>
      </c>
      <c r="DX123" s="14" t="str">
        <f t="shared" si="347"/>
        <v xml:space="preserve">ambition(1,6.25%), fame(1,6.25%), reputation(1,6.25%),  </v>
      </c>
      <c r="DY123" s="27" t="str">
        <f t="shared" si="300"/>
        <v xml:space="preserve">ambition(6.25),fame(6.25),reputation(6.25), </v>
      </c>
      <c r="DZ123" s="14" t="str">
        <f t="shared" si="349"/>
        <v xml:space="preserve"> </v>
      </c>
      <c r="EA123" s="14" t="str">
        <f t="shared" si="350"/>
        <v xml:space="preserve"> </v>
      </c>
      <c r="EB123" s="14" t="str">
        <f t="shared" si="351"/>
        <v xml:space="preserve"> </v>
      </c>
      <c r="EC123" s="14" t="str">
        <f t="shared" si="352"/>
        <v xml:space="preserve"> </v>
      </c>
      <c r="ED123" s="14" t="str">
        <f t="shared" si="353"/>
        <v xml:space="preserve"> </v>
      </c>
      <c r="EE123" s="27" t="str">
        <f t="shared" si="300"/>
        <v xml:space="preserve"> </v>
      </c>
      <c r="EF123" s="14" t="str">
        <f t="shared" si="355"/>
        <v xml:space="preserve"> </v>
      </c>
      <c r="EG123" s="14" t="str">
        <f t="shared" si="356"/>
        <v xml:space="preserve"> </v>
      </c>
      <c r="EH123" s="14" t="str">
        <f t="shared" si="357"/>
        <v xml:space="preserve"> </v>
      </c>
      <c r="EI123" s="14" t="str">
        <f t="shared" si="358"/>
        <v xml:space="preserve"> </v>
      </c>
      <c r="EJ123" s="14" t="str">
        <f t="shared" si="359"/>
        <v xml:space="preserve"> </v>
      </c>
      <c r="EK123" s="27" t="str">
        <f t="shared" si="300"/>
        <v xml:space="preserve"> </v>
      </c>
      <c r="EL123" s="14" t="str">
        <f t="shared" si="361"/>
        <v xml:space="preserve"> </v>
      </c>
      <c r="EM123" s="14" t="str">
        <f t="shared" si="362"/>
        <v xml:space="preserve"> </v>
      </c>
      <c r="EN123" s="14" t="str">
        <f t="shared" si="363"/>
        <v xml:space="preserve"> </v>
      </c>
      <c r="EO123" s="14" t="str">
        <f t="shared" si="364"/>
        <v xml:space="preserve"> </v>
      </c>
      <c r="EP123" s="14" t="str">
        <f t="shared" si="365"/>
        <v xml:space="preserve"> </v>
      </c>
      <c r="EQ123" s="27" t="str">
        <f t="shared" si="366"/>
        <v xml:space="preserve"> </v>
      </c>
      <c r="ER123" s="14" t="str">
        <f t="shared" si="367"/>
        <v xml:space="preserve"> </v>
      </c>
      <c r="ES123" s="14" t="str">
        <f t="shared" si="368"/>
        <v xml:space="preserve"> </v>
      </c>
      <c r="ET123" s="14" t="str">
        <f t="shared" si="369"/>
        <v xml:space="preserve"> </v>
      </c>
      <c r="EU123" s="14" t="str">
        <f t="shared" si="370"/>
        <v xml:space="preserve"> </v>
      </c>
      <c r="EV123" s="14" t="str">
        <f t="shared" si="371"/>
        <v xml:space="preserve"> </v>
      </c>
      <c r="EW123" s="27" t="str">
        <f t="shared" si="366"/>
        <v xml:space="preserve"> </v>
      </c>
      <c r="EX123" s="14" t="str">
        <f t="shared" si="373"/>
        <v xml:space="preserve"> </v>
      </c>
      <c r="EY123" s="14" t="str">
        <f t="shared" si="374"/>
        <v xml:space="preserve"> </v>
      </c>
      <c r="EZ123" s="14" t="str">
        <f t="shared" si="375"/>
        <v xml:space="preserve"> </v>
      </c>
      <c r="FA123" s="14" t="str">
        <f t="shared" si="376"/>
        <v xml:space="preserve"> </v>
      </c>
      <c r="FB123" s="14" t="str">
        <f t="shared" si="377"/>
        <v xml:space="preserve"> </v>
      </c>
      <c r="FC123" s="27" t="str">
        <f t="shared" si="366"/>
        <v xml:space="preserve"> </v>
      </c>
      <c r="FD123" s="14" t="str">
        <f t="shared" si="379"/>
        <v xml:space="preserve"> </v>
      </c>
      <c r="FE123" s="14" t="str">
        <f t="shared" si="380"/>
        <v xml:space="preserve"> </v>
      </c>
      <c r="FF123" s="14" t="str">
        <f t="shared" si="381"/>
        <v xml:space="preserve"> </v>
      </c>
      <c r="FG123" s="14" t="str">
        <f t="shared" si="382"/>
        <v xml:space="preserve"> </v>
      </c>
      <c r="FH123" s="14" t="str">
        <f t="shared" si="383"/>
        <v xml:space="preserve"> </v>
      </c>
      <c r="FI123" s="27" t="str">
        <f t="shared" si="366"/>
        <v xml:space="preserve"> </v>
      </c>
      <c r="FJ123" s="14" t="str">
        <f t="shared" si="385"/>
        <v xml:space="preserve"> </v>
      </c>
      <c r="FK123" s="14" t="str">
        <f t="shared" si="386"/>
        <v xml:space="preserve"> </v>
      </c>
      <c r="FL123" s="14" t="str">
        <f t="shared" si="387"/>
        <v xml:space="preserve"> </v>
      </c>
      <c r="FM123" s="14" t="str">
        <f t="shared" si="388"/>
        <v xml:space="preserve"> </v>
      </c>
      <c r="FN123" s="14" t="str">
        <f t="shared" si="389"/>
        <v xml:space="preserve"> </v>
      </c>
      <c r="FO123" s="27" t="str">
        <f t="shared" si="366"/>
        <v xml:space="preserve"> </v>
      </c>
      <c r="FP123" s="14" t="str">
        <f t="shared" si="391"/>
        <v xml:space="preserve"> </v>
      </c>
      <c r="FQ123" s="14" t="str">
        <f t="shared" si="392"/>
        <v xml:space="preserve"> </v>
      </c>
      <c r="FR123" s="14" t="str">
        <f t="shared" si="393"/>
        <v xml:space="preserve"> </v>
      </c>
      <c r="FS123" s="14" t="str">
        <f t="shared" si="394"/>
        <v xml:space="preserve"> </v>
      </c>
      <c r="FT123" s="14" t="str">
        <f t="shared" si="395"/>
        <v xml:space="preserve"> </v>
      </c>
      <c r="FU123" s="27" t="str">
        <f t="shared" si="366"/>
        <v xml:space="preserve"> </v>
      </c>
      <c r="FV123" s="14" t="str">
        <f t="shared" si="397"/>
        <v xml:space="preserve"> </v>
      </c>
      <c r="FW123" s="14" t="str">
        <f t="shared" si="398"/>
        <v xml:space="preserve"> </v>
      </c>
      <c r="FX123" s="14" t="str">
        <f t="shared" si="399"/>
        <v xml:space="preserve"> </v>
      </c>
      <c r="FY123" s="14" t="str">
        <f t="shared" si="400"/>
        <v xml:space="preserve"> </v>
      </c>
      <c r="FZ123" s="14" t="str">
        <f t="shared" si="401"/>
        <v xml:space="preserve"> </v>
      </c>
      <c r="GA123" s="27" t="str">
        <f t="shared" si="366"/>
        <v xml:space="preserve"> </v>
      </c>
      <c r="GB123" s="14" t="str">
        <f t="shared" si="403"/>
        <v xml:space="preserve"> </v>
      </c>
      <c r="GC123" s="14" t="str">
        <f t="shared" si="404"/>
        <v xml:space="preserve"> </v>
      </c>
      <c r="GD123" s="14" t="str">
        <f t="shared" si="405"/>
        <v xml:space="preserve"> </v>
      </c>
      <c r="GE123" s="14" t="str">
        <f t="shared" si="406"/>
        <v xml:space="preserve"> </v>
      </c>
      <c r="GF123" s="14" t="str">
        <f t="shared" si="407"/>
        <v xml:space="preserve"> </v>
      </c>
      <c r="GG123" s="27" t="str">
        <f t="shared" si="366"/>
        <v xml:space="preserve"> </v>
      </c>
      <c r="GH123" s="14" t="str">
        <f t="shared" si="409"/>
        <v xml:space="preserve"> </v>
      </c>
      <c r="GI123" s="14" t="str">
        <f t="shared" si="410"/>
        <v xml:space="preserve"> </v>
      </c>
      <c r="GJ123" s="14" t="str">
        <f t="shared" si="411"/>
        <v xml:space="preserve"> </v>
      </c>
      <c r="GK123" s="14" t="str">
        <f t="shared" si="412"/>
        <v xml:space="preserve"> </v>
      </c>
      <c r="GL123" s="14" t="str">
        <f t="shared" si="413"/>
        <v xml:space="preserve"> </v>
      </c>
      <c r="GM123" s="27" t="str">
        <f t="shared" si="366"/>
        <v xml:space="preserve"> </v>
      </c>
      <c r="GN123" s="14" t="str">
        <f t="shared" si="415"/>
        <v xml:space="preserve"> </v>
      </c>
      <c r="GO123" s="14" t="str">
        <f t="shared" si="416"/>
        <v xml:space="preserve"> </v>
      </c>
      <c r="GP123" s="14" t="str">
        <f t="shared" si="417"/>
        <v xml:space="preserve"> </v>
      </c>
      <c r="GQ123" s="14" t="str">
        <f t="shared" si="418"/>
        <v xml:space="preserve"> </v>
      </c>
      <c r="GR123" s="14" t="str">
        <f t="shared" si="419"/>
        <v xml:space="preserve"> </v>
      </c>
      <c r="GS123" s="27" t="str">
        <f t="shared" si="366"/>
        <v xml:space="preserve"> </v>
      </c>
      <c r="GT123" s="14" t="str">
        <f t="shared" si="421"/>
        <v xml:space="preserve"> </v>
      </c>
      <c r="GU123" s="14" t="str">
        <f t="shared" si="422"/>
        <v xml:space="preserve"> </v>
      </c>
      <c r="GV123" s="14" t="str">
        <f t="shared" si="423"/>
        <v xml:space="preserve"> </v>
      </c>
      <c r="GW123" s="14" t="str">
        <f t="shared" si="424"/>
        <v xml:space="preserve"> </v>
      </c>
      <c r="GX123" s="14" t="str">
        <f t="shared" si="425"/>
        <v xml:space="preserve"> </v>
      </c>
      <c r="GY123" s="27" t="str">
        <f t="shared" si="366"/>
        <v xml:space="preserve"> </v>
      </c>
      <c r="GZ123" s="14" t="str">
        <f t="shared" si="427"/>
        <v xml:space="preserve"> </v>
      </c>
      <c r="HA123" s="14" t="str">
        <f t="shared" si="428"/>
        <v xml:space="preserve"> </v>
      </c>
      <c r="HB123" s="14" t="str">
        <f t="shared" si="429"/>
        <v xml:space="preserve"> </v>
      </c>
      <c r="HC123" s="14" t="str">
        <f t="shared" si="430"/>
        <v xml:space="preserve"> </v>
      </c>
      <c r="HD123" s="14" t="str">
        <f t="shared" si="431"/>
        <v xml:space="preserve"> </v>
      </c>
      <c r="HE123" s="27" t="str">
        <f t="shared" si="432"/>
        <v xml:space="preserve"> </v>
      </c>
      <c r="HF123" s="14" t="str">
        <f t="shared" si="433"/>
        <v xml:space="preserve"> </v>
      </c>
      <c r="HG123" s="14" t="str">
        <f t="shared" si="434"/>
        <v xml:space="preserve"> </v>
      </c>
      <c r="HH123" s="14" t="str">
        <f t="shared" si="435"/>
        <v xml:space="preserve"> </v>
      </c>
      <c r="HI123" s="14" t="str">
        <f t="shared" si="436"/>
        <v xml:space="preserve"> </v>
      </c>
      <c r="HJ123" s="14" t="str">
        <f t="shared" si="437"/>
        <v xml:space="preserve"> </v>
      </c>
      <c r="HK123" s="27" t="str">
        <f t="shared" si="432"/>
        <v xml:space="preserve"> </v>
      </c>
      <c r="HL123" s="14" t="str">
        <f t="shared" si="439"/>
        <v xml:space="preserve"> </v>
      </c>
      <c r="HM123" s="14" t="str">
        <f t="shared" si="440"/>
        <v xml:space="preserve"> </v>
      </c>
      <c r="HN123" s="14" t="str">
        <f t="shared" si="441"/>
        <v xml:space="preserve"> </v>
      </c>
      <c r="HO123" s="14" t="str">
        <f t="shared" si="442"/>
        <v xml:space="preserve"> </v>
      </c>
      <c r="HP123" s="14" t="str">
        <f t="shared" si="443"/>
        <v xml:space="preserve"> </v>
      </c>
      <c r="HQ123" s="27" t="str">
        <f t="shared" si="432"/>
        <v xml:space="preserve"> </v>
      </c>
    </row>
    <row r="124" spans="1:225" ht="15.75" customHeight="1">
      <c r="A124" s="7">
        <f t="shared" ref="A124:C124" si="470">A16</f>
        <v>0</v>
      </c>
      <c r="B124" s="7">
        <f t="shared" si="470"/>
        <v>0</v>
      </c>
      <c r="C124" s="7" t="str">
        <f t="shared" si="470"/>
        <v>fabric</v>
      </c>
      <c r="D124" s="14" t="str">
        <f t="shared" si="446"/>
        <v xml:space="preserve"> </v>
      </c>
      <c r="E124" s="14" t="str">
        <f t="shared" si="447"/>
        <v xml:space="preserve"> </v>
      </c>
      <c r="F124" s="14" t="str">
        <f t="shared" si="448"/>
        <v xml:space="preserve"> </v>
      </c>
      <c r="G124" s="14" t="str">
        <f t="shared" si="449"/>
        <v xml:space="preserve">fabric(1), scale(1), attention to details(1.1), efficiency(1), user rules and manuals(2.1), organizational rules and manuals(2.1),  </v>
      </c>
      <c r="H124" s="14" t="str">
        <f t="shared" si="450"/>
        <v xml:space="preserve">fabric(-1,6.25%), scale(-1,6.25%), efficiency(-1,6.25%),  </v>
      </c>
      <c r="I124" s="27" t="str">
        <f t="shared" ref="I124" si="471">IF(I16="",I125,$C124&amp;"("&amp;I16&amp;"),"&amp;I125)</f>
        <v xml:space="preserve">fabric(6.25),scale(6.25),efficiency(6.25), </v>
      </c>
      <c r="J124" s="14" t="str">
        <f t="shared" si="229"/>
        <v xml:space="preserve">scale(1)
enthusiasm(1)
 </v>
      </c>
      <c r="K124" s="14" t="str">
        <f t="shared" si="230"/>
        <v xml:space="preserve">scale(-1,12.5%), enthusiasm(-1,25%),  </v>
      </c>
      <c r="L124" s="14" t="str">
        <f t="shared" si="231"/>
        <v xml:space="preserve">scale(12.5)
enthusiasm(25)
 </v>
      </c>
      <c r="M124" s="14" t="str">
        <f t="shared" si="232"/>
        <v xml:space="preserve">scale(1.1), efficiency(0.1), organizational rules and manuals(1.1),  </v>
      </c>
      <c r="N124" s="14" t="str">
        <f t="shared" si="233"/>
        <v xml:space="preserve">agility(-1,6.75%), ambition(-1,6.75%), fun-ness(-1,6.75%), initiative(-1,6.75%),  </v>
      </c>
      <c r="O124" s="27" t="str">
        <f t="shared" si="234"/>
        <v xml:space="preserve">agility(6.75),ambition(6.75),fun-ness(6.75),initiative(6.75), </v>
      </c>
      <c r="P124" s="14" t="str">
        <f t="shared" si="235"/>
        <v xml:space="preserve">scale(1)
enthusiasm(1)
 </v>
      </c>
      <c r="Q124" s="14" t="str">
        <f t="shared" si="236"/>
        <v xml:space="preserve">enthusiasm(-1,50%), gifted leader(-1,25%), gifted programmer(-1,25%), gifted designer(-1,25%),  </v>
      </c>
      <c r="R124" s="14" t="str">
        <f t="shared" si="237"/>
        <v xml:space="preserve">enthusiasm(50)
gifted leader(25)
gifted programmer(25)
gifted designer(25)
 </v>
      </c>
      <c r="S124" s="14" t="str">
        <f t="shared" si="238"/>
        <v xml:space="preserve">scale(1), network among members(0.1), gifted leader(1), gifted programmer(1), gifted designer(1), ambition(1), attention to details(0.1), community manager(0.1), team building(0.1),  </v>
      </c>
      <c r="T124" s="14" t="str">
        <f t="shared" si="239"/>
        <v xml:space="preserve">ambition(-1,%), business model(-1,6.25%), web(-1,6.25%), mobile apps(-1,6.25%), aesthetics(-1,6.25%),  </v>
      </c>
      <c r="U124" s="27" t="str">
        <f t="shared" si="234"/>
        <v xml:space="preserve">business model(6.25),web(6.25),mobile apps(6.25),aesthetics(6.25), </v>
      </c>
      <c r="V124" s="14" t="str">
        <f t="shared" si="241"/>
        <v xml:space="preserve">scale(1)
scale(1)
 </v>
      </c>
      <c r="W124" s="14" t="str">
        <f t="shared" si="242"/>
        <v xml:space="preserve">enthusiasm(-1,25%), enthusiasm(-1,25%), efficiency(-1,25%),  </v>
      </c>
      <c r="X124" s="14" t="str">
        <f t="shared" si="243"/>
        <v xml:space="preserve">enthusiasm(25)
enthusiasm(25)
efficiency(25)
 </v>
      </c>
      <c r="Y124" s="14" t="str">
        <f t="shared" si="244"/>
        <v xml:space="preserve">community manager(0.1), administrator(0.1), spaciousness(1), ease of access(3), reputation(2), user rules and manuals(0.1), project management(0.1), negotiation(0.1),  </v>
      </c>
      <c r="Z124" s="14" t="str">
        <f t="shared" si="245"/>
        <v xml:space="preserve">scale(-1,6.25%), reputation(-1,%),  </v>
      </c>
      <c r="AA124" s="27" t="str">
        <f t="shared" si="234"/>
        <v xml:space="preserve">scale(6.25), </v>
      </c>
      <c r="AB124" s="14" t="str">
        <f t="shared" si="247"/>
        <v xml:space="preserve"> </v>
      </c>
      <c r="AC124" s="14" t="str">
        <f t="shared" si="248"/>
        <v xml:space="preserve"> </v>
      </c>
      <c r="AD124" s="14" t="str">
        <f t="shared" si="249"/>
        <v xml:space="preserve"> </v>
      </c>
      <c r="AE124" s="14" t="str">
        <f t="shared" si="250"/>
        <v xml:space="preserve">scale(3), network among members(0.1), scale(1.1), attention to details(0.1), seriousness(0.1), initiative(0.1), spaciousness(1), user rules and manuals(1.1), organizational rules and manuals(1.1),  </v>
      </c>
      <c r="AF124" s="14" t="str">
        <f t="shared" si="251"/>
        <v xml:space="preserve">fabric(-1,6.25%), enthusiasm(-1,6.25%), enthusiasm(-1,%), local biz(-1,6.25%), investors(-1,6.25%), non-profits(-1,6.25%), efficiency(-1,6.25%),  </v>
      </c>
      <c r="AG124" s="27" t="str">
        <f t="shared" si="234"/>
        <v xml:space="preserve">fabric(6.25),enthusiasm(6.25),local biz(6.25),investors(6.25),non-profits(6.25),efficiency(6.25), </v>
      </c>
      <c r="AH124" s="14" t="str">
        <f t="shared" si="253"/>
        <v xml:space="preserve">scale(1)
enthusiasm(2)
fun-ness(1)
ease of access(1)
reputation(1)
 </v>
      </c>
      <c r="AI124" s="14" t="str">
        <f t="shared" si="254"/>
        <v xml:space="preserve">enthusiasm(-1,25%),  </v>
      </c>
      <c r="AJ124" s="14" t="str">
        <f t="shared" si="255"/>
        <v xml:space="preserve">enthusiasm(25)
 </v>
      </c>
      <c r="AK124" s="14" t="str">
        <f t="shared" si="256"/>
        <v xml:space="preserve">scale(2), enthusiasm(2), scale(3.1), attention to details(2.1), seriousness(2.1), community manager(2.1), administrator(2.1), spaciousness(1), ease of access(1), reputation(2), user rules and manuals(2.1), organizational rules and manuals(2.1), law(1.1), negotiation(1.1),  </v>
      </c>
      <c r="AL124" s="14" t="str">
        <f t="shared" si="257"/>
        <v xml:space="preserve">scale(-1,6.25%), enthusiasm(-1,6.25%), govt(-1,6.25%), non-profits(-1,6.25%), reputation(-1,6.25%),  </v>
      </c>
      <c r="AM124" s="27" t="str">
        <f t="shared" si="234"/>
        <v xml:space="preserve">scale(6.25),enthusiasm(6.25),govt(6.25),non-profits(6.25),reputation(6.25), </v>
      </c>
      <c r="AN124" s="14" t="str">
        <f t="shared" si="259"/>
        <v xml:space="preserve">scale(1)
fun-ness(1)
seriousness(1)
 </v>
      </c>
      <c r="AO124" s="14" t="str">
        <f t="shared" si="260"/>
        <v xml:space="preserve">scale(-1,25%), enthusiasm(-1,25%), enthusiasm(-1,25%),  </v>
      </c>
      <c r="AP124" s="14" t="str">
        <f t="shared" si="261"/>
        <v xml:space="preserve">scale(25)
enthusiasm(25)
enthusiasm(25)
 </v>
      </c>
      <c r="AQ124" s="14" t="str">
        <f t="shared" si="262"/>
        <v xml:space="preserve">scale(1), fun-ness(1), spaciousness(2.1), reputation(3), organizational rules and manuals(2.1), team building(2.1),  </v>
      </c>
      <c r="AR124" s="14" t="str">
        <f t="shared" si="263"/>
        <v xml:space="preserve">enthusiasm(-1,12.5%), fun-ness(-1,6.25%), reputation(-1,6.25%), efficiency(-1,6.25%),  </v>
      </c>
      <c r="AS124" s="27" t="str">
        <f t="shared" si="234"/>
        <v xml:space="preserve">enthusiasm(12.5),fun-ness(6.25),reputation(6.25),efficiency(6.25), </v>
      </c>
      <c r="AT124" s="14" t="str">
        <f t="shared" si="265"/>
        <v xml:space="preserve">scale(1)
enthusiasm(1)
network among members(3.1)
 </v>
      </c>
      <c r="AU124" s="14" t="str">
        <f t="shared" si="266"/>
        <v xml:space="preserve">scale(-1,25%), enthusiasm(-1,25%),  </v>
      </c>
      <c r="AV124" s="14" t="str">
        <f t="shared" si="267"/>
        <v xml:space="preserve">scale(25)
enthusiasm(25)
 </v>
      </c>
      <c r="AW124" s="14" t="str">
        <f t="shared" si="268"/>
        <v xml:space="preserve">scale(1), enthusiasm(1), attention to details(3.1), fun-ness(3.1), seriousness(3.1), initiative(2.1), leader(2.1), community manager(2.1), user rules and manuals(2.1), team building(2.1),  </v>
      </c>
      <c r="AX124" s="14" t="str">
        <f t="shared" si="269"/>
        <v xml:space="preserve">field knowledge(-1,6.25%), network among members(-1,6.25%), gifted assistant(-1,6.25%),  </v>
      </c>
      <c r="AY124" s="27" t="str">
        <f t="shared" si="234"/>
        <v xml:space="preserve">field knowledge(6.25),network among members(6.25),gifted assistant(6.25), </v>
      </c>
      <c r="AZ124" s="14" t="str">
        <f t="shared" si="271"/>
        <v xml:space="preserve">scale(1)
 </v>
      </c>
      <c r="BA124" s="14" t="str">
        <f t="shared" si="272"/>
        <v xml:space="preserve">enthusiasm(-1,12.5%), attention to details(1,12.5%), fun-ness(-1,12.5%), seriousness(1,12.5%), efficiency(-1,12.5%), user rules and manuals(1,25%),  </v>
      </c>
      <c r="BB124" s="14" t="str">
        <f t="shared" si="273"/>
        <v xml:space="preserve">enthusiasm(12.5)
attention to details(12.5)
fun-ness(12.5)
seriousness(12.5)
efficiency(12.5)
user rules and manuals(25)
 </v>
      </c>
      <c r="BC124" s="14" t="str">
        <f t="shared" si="274"/>
        <v xml:space="preserve">scale(1), agility(1.1), attention to details(1.1), seriousness(1.1), community manager(1.1), administrator(1.1), user rules and manuals(2.1), organizational rules and manuals(2.1),  </v>
      </c>
      <c r="BD124" s="14" t="str">
        <f t="shared" si="275"/>
        <v xml:space="preserve">scale(-1,6.25%), enthusiasm(-1,6.25%), reputation(-1,6.25%),  </v>
      </c>
      <c r="BE124" s="27" t="str">
        <f t="shared" si="234"/>
        <v xml:space="preserve">scale(6.25),enthusiasm(6.25),reputation(6.25), </v>
      </c>
      <c r="BF124" s="14" t="str">
        <f t="shared" si="277"/>
        <v xml:space="preserve"> </v>
      </c>
      <c r="BG124" s="14" t="str">
        <f t="shared" si="278"/>
        <v xml:space="preserve">enthusiasm(-1,25%), enthusiasm(-1,25%), attention to details(1,25%), fun-ness(-1,25%), seriousness(1,25%), user rules and manuals(1,25%), organizational rules and manuals(1,25%),  </v>
      </c>
      <c r="BH124" s="14" t="str">
        <f t="shared" si="279"/>
        <v xml:space="preserve">enthusiasm(25)
enthusiasm(25)
attention to details(25)
fun-ness(25)
seriousness(25)
user rules and manuals(25)
organizational rules and manuals(25)
 </v>
      </c>
      <c r="BI124" s="14" t="str">
        <f t="shared" si="280"/>
        <v xml:space="preserve">enthusiasm(1), engineering knowledge(1.1), enthusiasm(1), fun-ness(1), seriousness(2.1), community manager(1.1), administrator(1.1),  </v>
      </c>
      <c r="BJ124" s="14" t="str">
        <f t="shared" si="281"/>
        <v xml:space="preserve">reputation(-1,6.25%), efficiency(-1,25%),  </v>
      </c>
      <c r="BK124" s="27" t="str">
        <f t="shared" si="234"/>
        <v xml:space="preserve">reputation(6.25),efficiency(25), </v>
      </c>
      <c r="BL124" s="14" t="str">
        <f t="shared" si="283"/>
        <v xml:space="preserve">scale(2)
local biz(1)
ease of access(1)
reputation(1)
aesthetics(1)
 </v>
      </c>
      <c r="BM124" s="14" t="str">
        <f t="shared" si="284"/>
        <v xml:space="preserve">biz enhancement(1,%),  </v>
      </c>
      <c r="BN124" s="14" t="str">
        <f t="shared" si="285"/>
        <v xml:space="preserve"> </v>
      </c>
      <c r="BO124"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4" s="14" t="str">
        <f t="shared" si="287"/>
        <v xml:space="preserve">local biz(1,6.25%),  </v>
      </c>
      <c r="BQ124" s="27" t="str">
        <f t="shared" si="234"/>
        <v xml:space="preserve">local biz(6.25), </v>
      </c>
      <c r="BR124" s="14" t="str">
        <f t="shared" si="289"/>
        <v xml:space="preserve">scale(2)
scale(1)
local biz(1)
ease of access(1)
reputation(1)
aesthetics(1)
 </v>
      </c>
      <c r="BS124" s="14" t="str">
        <f t="shared" si="290"/>
        <v xml:space="preserve">biz project(1,%),  </v>
      </c>
      <c r="BT124" s="14" t="str">
        <f t="shared" si="291"/>
        <v xml:space="preserve"> </v>
      </c>
      <c r="BU124"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4" s="14" t="str">
        <f t="shared" si="293"/>
        <v xml:space="preserve">local biz(1,6.25%),  </v>
      </c>
      <c r="BW124" s="27" t="str">
        <f t="shared" si="234"/>
        <v xml:space="preserve">local biz(6.25), </v>
      </c>
      <c r="BX124" s="14" t="str">
        <f t="shared" si="295"/>
        <v xml:space="preserve">scale(2)
enthusiasm(1)
local biz(1)
ease of access(1)
reputation(1)
aesthetics(1)
interaction(1)
 </v>
      </c>
      <c r="BY124" s="14" t="str">
        <f t="shared" si="296"/>
        <v xml:space="preserve">biz project(1,%),  </v>
      </c>
      <c r="BZ124" s="14" t="str">
        <f t="shared" si="297"/>
        <v xml:space="preserve"> </v>
      </c>
      <c r="CA124"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4" s="14" t="str">
        <f t="shared" si="299"/>
        <v xml:space="preserve">local biz(1,6.25%),  </v>
      </c>
      <c r="CC124" s="27" t="str">
        <f t="shared" si="300"/>
        <v xml:space="preserve">local biz(6.25), </v>
      </c>
      <c r="CD124" s="14" t="str">
        <f t="shared" si="301"/>
        <v xml:space="preserve">scale(2)
enthusiasm(1)
ease of access(1)
reputation(1)
aesthetics(1)
 </v>
      </c>
      <c r="CE124" s="14" t="str">
        <f t="shared" si="302"/>
        <v xml:space="preserve">biz project(1,%),  </v>
      </c>
      <c r="CF124" s="14" t="str">
        <f t="shared" si="303"/>
        <v xml:space="preserve"> </v>
      </c>
      <c r="CG124"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4" s="14" t="str">
        <f t="shared" si="305"/>
        <v xml:space="preserve">local biz(1,6.25%),  </v>
      </c>
      <c r="CI124" s="27" t="str">
        <f t="shared" si="300"/>
        <v xml:space="preserve">local biz(6.25), </v>
      </c>
      <c r="CJ124" s="14" t="str">
        <f t="shared" si="307"/>
        <v xml:space="preserve">scale(2)
ease of access(1)
reputation(1)
aesthetics(1)
 </v>
      </c>
      <c r="CK124" s="14" t="str">
        <f t="shared" si="308"/>
        <v xml:space="preserve">biz project(1,%),  </v>
      </c>
      <c r="CL124" s="14" t="str">
        <f t="shared" si="309"/>
        <v xml:space="preserve"> </v>
      </c>
      <c r="CM124"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4" s="14" t="str">
        <f t="shared" si="311"/>
        <v xml:space="preserve">local biz(1,6.25%),  </v>
      </c>
      <c r="CO124" s="27" t="str">
        <f t="shared" si="300"/>
        <v xml:space="preserve">local biz(6.25), </v>
      </c>
      <c r="CP124" s="14" t="str">
        <f t="shared" si="313"/>
        <v xml:space="preserve">scale(2)
enthusiasm(1)
learning capacities(1)
field knowledge(1)
local biz(1)
metal processing(1)
functions(1)
 </v>
      </c>
      <c r="CQ124" s="14" t="str">
        <f t="shared" si="314"/>
        <v xml:space="preserve">local biz(1,50%), biz enhancement(1,50%),  </v>
      </c>
      <c r="CR124" s="14" t="str">
        <f t="shared" si="315"/>
        <v xml:space="preserve">local biz(50)
biz enhancement(50)
 </v>
      </c>
      <c r="CS124" s="14" t="str">
        <f t="shared" si="316"/>
        <v xml:space="preserve">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4" s="14" t="str">
        <f t="shared" si="317"/>
        <v xml:space="preserve">reputation(1,6.25%),  </v>
      </c>
      <c r="CU124" s="27" t="str">
        <f t="shared" si="300"/>
        <v xml:space="preserve">reputation(6.25), </v>
      </c>
      <c r="CV124" s="14" t="str">
        <f t="shared" si="319"/>
        <v xml:space="preserve">scale(1)
enthusiasm(2)
learning capacities(1)
non-profits(1)
wood processing(1)
aesthetics(1)
interaction(1)
 </v>
      </c>
      <c r="CW124" s="14" t="str">
        <f t="shared" si="320"/>
        <v xml:space="preserve">non-profits(1,50%), social project(1,50%),  </v>
      </c>
      <c r="CX124" s="14" t="str">
        <f t="shared" si="321"/>
        <v xml:space="preserve">non-profits(50)
social project(50)
 </v>
      </c>
      <c r="CY124"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4" s="14" t="str">
        <f t="shared" si="323"/>
        <v xml:space="preserve">media(1,6.25%), reputation(1,6.25%), portfolio(1,6.25%),  </v>
      </c>
      <c r="DA124" s="27" t="str">
        <f t="shared" si="300"/>
        <v xml:space="preserve">media(6.25),reputation(6.25),portfolio(6.25), </v>
      </c>
      <c r="DB124" s="14" t="str">
        <f t="shared" si="325"/>
        <v xml:space="preserve">scale(1)
enthusiasm(2)
learning capacities(1)
non-profits(1)
aesthetics(1)
interaction(1)
 </v>
      </c>
      <c r="DC124" s="14" t="str">
        <f t="shared" si="326"/>
        <v xml:space="preserve">non-profits(1,50%), social project(1,50%),  </v>
      </c>
      <c r="DD124" s="14" t="str">
        <f t="shared" si="327"/>
        <v xml:space="preserve">non-profits(50)
social project(50)
 </v>
      </c>
      <c r="DE124" s="14" t="str">
        <f t="shared" si="328"/>
        <v xml:space="preserve">gifted programmer(1), gifted designer(1), scale(2), enthusiasm(4), agility(2), ambition(4), attention to details(2), fun-ness(2), administrator(2), ease of access(2), efficiency(3), VR&amp;AR(2),  </v>
      </c>
      <c r="DF124" s="14" t="str">
        <f t="shared" si="329"/>
        <v xml:space="preserve">media(1,6.25%), reputation(1,6.25%), portfolio(1,6.25%),  </v>
      </c>
      <c r="DG124" s="27" t="str">
        <f t="shared" si="300"/>
        <v xml:space="preserve">media(6.25),reputation(6.25),portfolio(6.25), </v>
      </c>
      <c r="DH124" s="14" t="str">
        <f t="shared" si="331"/>
        <v xml:space="preserve">scale(2)
enthusiasm(2)
scale(1)
wood processing(1)
aesthetics(1)
safety(1)
 </v>
      </c>
      <c r="DI124" s="14" t="str">
        <f t="shared" si="332"/>
        <v xml:space="preserve">social project(1,100%),  </v>
      </c>
      <c r="DJ124" s="14" t="str">
        <f t="shared" si="333"/>
        <v xml:space="preserve">social project(100)
 </v>
      </c>
      <c r="DK124" s="14" t="str">
        <f t="shared" si="334"/>
        <v xml:space="preserve">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4" s="14" t="str">
        <f t="shared" si="335"/>
        <v xml:space="preserve">scale(1,6.25%), enthusiasm(1,6.25%), network among members(1,6.25%), enthusiasm(1,6.25%), agility(1,6.25%), fun-ness(1,6.25%), reputation(1,6.25%), portfolio(1,6.25%), team building(1,6.25%),  </v>
      </c>
      <c r="DM124" s="27" t="str">
        <f t="shared" si="300"/>
        <v xml:space="preserve">scale(6.25),enthusiasm(6.25),network among members(6.25),enthusiasm(6.25),agility(6.25),fun-ness(6.25),reputation(6.25),portfolio(6.25),team building(6.25), </v>
      </c>
      <c r="DN124" s="14" t="str">
        <f t="shared" si="337"/>
        <v xml:space="preserve">fabric(1)
scale(2)
scale(2)
agility(1)
attention to details(2)
fun-ness(2)
initiative(1)
community manager(1)
fame(1)
network(2)
suppliers(2)
spaciousness(1)
ease of access(2)
reputation(3)
project management(2)
wood processing(1)
plastic processing(1)
electronics(1)
aesthetics(2)
functions(1)
safety(1)
biz project(1)
 </v>
      </c>
      <c r="DO124" s="14" t="str">
        <f t="shared" si="338"/>
        <v xml:space="preserve">reputation(1,25%), portfolio(1,50%),  </v>
      </c>
      <c r="DP124" s="14" t="str">
        <f t="shared" si="339"/>
        <v xml:space="preserve">reputation(25)
portfolio(50)
 </v>
      </c>
      <c r="DQ124"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4" s="14" t="str">
        <f t="shared" si="341"/>
        <v xml:space="preserve">suppliers(1,6.25%), reputation(1,6.25%),  </v>
      </c>
      <c r="DS124" s="27" t="str">
        <f t="shared" si="300"/>
        <v xml:space="preserve">suppliers(6.25),reputation(6.25), </v>
      </c>
      <c r="DT124" s="14" t="str">
        <f t="shared" si="343"/>
        <v xml:space="preserve">scale(2)
attention to details(2)
leader(1)
fame(1)
network(2)
reputation(3)
portfolio(2)
 </v>
      </c>
      <c r="DU124" s="14" t="str">
        <f t="shared" si="344"/>
        <v xml:space="preserve">fame(1,25%), govt(1,25%), non-profits(1,50%), reputation(1,25%),  </v>
      </c>
      <c r="DV124" s="14" t="str">
        <f t="shared" si="345"/>
        <v xml:space="preserve">fame(25)
govt(25)
non-profits(50)
reputation(25)
 </v>
      </c>
      <c r="DW124" s="14" t="str">
        <f t="shared" si="346"/>
        <v xml:space="preserve">scale(3), enthusiasm(3), enthusiasm(3), ambition(2), attention to details(2), PR(1), administrator(1), social media(2),  </v>
      </c>
      <c r="DX124" s="14" t="str">
        <f t="shared" si="347"/>
        <v xml:space="preserve">ambition(1,6.25%), fame(1,6.25%), reputation(1,6.25%),  </v>
      </c>
      <c r="DY124" s="27" t="str">
        <f t="shared" si="300"/>
        <v xml:space="preserve">ambition(6.25),fame(6.25),reputation(6.25), </v>
      </c>
      <c r="DZ124" s="14" t="str">
        <f t="shared" si="349"/>
        <v xml:space="preserve"> </v>
      </c>
      <c r="EA124" s="14" t="str">
        <f t="shared" si="350"/>
        <v xml:space="preserve"> </v>
      </c>
      <c r="EB124" s="14" t="str">
        <f t="shared" si="351"/>
        <v xml:space="preserve"> </v>
      </c>
      <c r="EC124" s="14" t="str">
        <f t="shared" si="352"/>
        <v xml:space="preserve"> </v>
      </c>
      <c r="ED124" s="14" t="str">
        <f t="shared" si="353"/>
        <v xml:space="preserve"> </v>
      </c>
      <c r="EE124" s="27" t="str">
        <f t="shared" si="300"/>
        <v xml:space="preserve"> </v>
      </c>
      <c r="EF124" s="14" t="str">
        <f t="shared" si="355"/>
        <v xml:space="preserve"> </v>
      </c>
      <c r="EG124" s="14" t="str">
        <f t="shared" si="356"/>
        <v xml:space="preserve"> </v>
      </c>
      <c r="EH124" s="14" t="str">
        <f t="shared" si="357"/>
        <v xml:space="preserve"> </v>
      </c>
      <c r="EI124" s="14" t="str">
        <f t="shared" si="358"/>
        <v xml:space="preserve"> </v>
      </c>
      <c r="EJ124" s="14" t="str">
        <f t="shared" si="359"/>
        <v xml:space="preserve"> </v>
      </c>
      <c r="EK124" s="27" t="str">
        <f t="shared" si="300"/>
        <v xml:space="preserve"> </v>
      </c>
      <c r="EL124" s="14" t="str">
        <f t="shared" si="361"/>
        <v xml:space="preserve"> </v>
      </c>
      <c r="EM124" s="14" t="str">
        <f t="shared" si="362"/>
        <v xml:space="preserve"> </v>
      </c>
      <c r="EN124" s="14" t="str">
        <f t="shared" si="363"/>
        <v xml:space="preserve"> </v>
      </c>
      <c r="EO124" s="14" t="str">
        <f t="shared" si="364"/>
        <v xml:space="preserve"> </v>
      </c>
      <c r="EP124" s="14" t="str">
        <f t="shared" si="365"/>
        <v xml:space="preserve"> </v>
      </c>
      <c r="EQ124" s="27" t="str">
        <f t="shared" si="366"/>
        <v xml:space="preserve"> </v>
      </c>
      <c r="ER124" s="14" t="str">
        <f t="shared" si="367"/>
        <v xml:space="preserve"> </v>
      </c>
      <c r="ES124" s="14" t="str">
        <f t="shared" si="368"/>
        <v xml:space="preserve"> </v>
      </c>
      <c r="ET124" s="14" t="str">
        <f t="shared" si="369"/>
        <v xml:space="preserve"> </v>
      </c>
      <c r="EU124" s="14" t="str">
        <f t="shared" si="370"/>
        <v xml:space="preserve"> </v>
      </c>
      <c r="EV124" s="14" t="str">
        <f t="shared" si="371"/>
        <v xml:space="preserve"> </v>
      </c>
      <c r="EW124" s="27" t="str">
        <f t="shared" si="366"/>
        <v xml:space="preserve"> </v>
      </c>
      <c r="EX124" s="14" t="str">
        <f t="shared" si="373"/>
        <v xml:space="preserve"> </v>
      </c>
      <c r="EY124" s="14" t="str">
        <f t="shared" si="374"/>
        <v xml:space="preserve"> </v>
      </c>
      <c r="EZ124" s="14" t="str">
        <f t="shared" si="375"/>
        <v xml:space="preserve"> </v>
      </c>
      <c r="FA124" s="14" t="str">
        <f t="shared" si="376"/>
        <v xml:space="preserve"> </v>
      </c>
      <c r="FB124" s="14" t="str">
        <f t="shared" si="377"/>
        <v xml:space="preserve"> </v>
      </c>
      <c r="FC124" s="27" t="str">
        <f t="shared" si="366"/>
        <v xml:space="preserve"> </v>
      </c>
      <c r="FD124" s="14" t="str">
        <f t="shared" si="379"/>
        <v xml:space="preserve"> </v>
      </c>
      <c r="FE124" s="14" t="str">
        <f t="shared" si="380"/>
        <v xml:space="preserve"> </v>
      </c>
      <c r="FF124" s="14" t="str">
        <f t="shared" si="381"/>
        <v xml:space="preserve"> </v>
      </c>
      <c r="FG124" s="14" t="str">
        <f t="shared" si="382"/>
        <v xml:space="preserve"> </v>
      </c>
      <c r="FH124" s="14" t="str">
        <f t="shared" si="383"/>
        <v xml:space="preserve"> </v>
      </c>
      <c r="FI124" s="27" t="str">
        <f t="shared" si="366"/>
        <v xml:space="preserve"> </v>
      </c>
      <c r="FJ124" s="14" t="str">
        <f t="shared" si="385"/>
        <v xml:space="preserve"> </v>
      </c>
      <c r="FK124" s="14" t="str">
        <f t="shared" si="386"/>
        <v xml:space="preserve"> </v>
      </c>
      <c r="FL124" s="14" t="str">
        <f t="shared" si="387"/>
        <v xml:space="preserve"> </v>
      </c>
      <c r="FM124" s="14" t="str">
        <f t="shared" si="388"/>
        <v xml:space="preserve"> </v>
      </c>
      <c r="FN124" s="14" t="str">
        <f t="shared" si="389"/>
        <v xml:space="preserve"> </v>
      </c>
      <c r="FO124" s="27" t="str">
        <f t="shared" si="366"/>
        <v xml:space="preserve"> </v>
      </c>
      <c r="FP124" s="14" t="str">
        <f t="shared" si="391"/>
        <v xml:space="preserve"> </v>
      </c>
      <c r="FQ124" s="14" t="str">
        <f t="shared" si="392"/>
        <v xml:space="preserve"> </v>
      </c>
      <c r="FR124" s="14" t="str">
        <f t="shared" si="393"/>
        <v xml:space="preserve"> </v>
      </c>
      <c r="FS124" s="14" t="str">
        <f t="shared" si="394"/>
        <v xml:space="preserve"> </v>
      </c>
      <c r="FT124" s="14" t="str">
        <f t="shared" si="395"/>
        <v xml:space="preserve"> </v>
      </c>
      <c r="FU124" s="27" t="str">
        <f t="shared" si="366"/>
        <v xml:space="preserve"> </v>
      </c>
      <c r="FV124" s="14" t="str">
        <f t="shared" si="397"/>
        <v xml:space="preserve"> </v>
      </c>
      <c r="FW124" s="14" t="str">
        <f t="shared" si="398"/>
        <v xml:space="preserve"> </v>
      </c>
      <c r="FX124" s="14" t="str">
        <f t="shared" si="399"/>
        <v xml:space="preserve"> </v>
      </c>
      <c r="FY124" s="14" t="str">
        <f t="shared" si="400"/>
        <v xml:space="preserve"> </v>
      </c>
      <c r="FZ124" s="14" t="str">
        <f t="shared" si="401"/>
        <v xml:space="preserve"> </v>
      </c>
      <c r="GA124" s="27" t="str">
        <f t="shared" si="366"/>
        <v xml:space="preserve"> </v>
      </c>
      <c r="GB124" s="14" t="str">
        <f t="shared" si="403"/>
        <v xml:space="preserve"> </v>
      </c>
      <c r="GC124" s="14" t="str">
        <f t="shared" si="404"/>
        <v xml:space="preserve"> </v>
      </c>
      <c r="GD124" s="14" t="str">
        <f t="shared" si="405"/>
        <v xml:space="preserve"> </v>
      </c>
      <c r="GE124" s="14" t="str">
        <f t="shared" si="406"/>
        <v xml:space="preserve"> </v>
      </c>
      <c r="GF124" s="14" t="str">
        <f t="shared" si="407"/>
        <v xml:space="preserve"> </v>
      </c>
      <c r="GG124" s="27" t="str">
        <f t="shared" si="366"/>
        <v xml:space="preserve"> </v>
      </c>
      <c r="GH124" s="14" t="str">
        <f t="shared" si="409"/>
        <v xml:space="preserve"> </v>
      </c>
      <c r="GI124" s="14" t="str">
        <f t="shared" si="410"/>
        <v xml:space="preserve"> </v>
      </c>
      <c r="GJ124" s="14" t="str">
        <f t="shared" si="411"/>
        <v xml:space="preserve"> </v>
      </c>
      <c r="GK124" s="14" t="str">
        <f t="shared" si="412"/>
        <v xml:space="preserve"> </v>
      </c>
      <c r="GL124" s="14" t="str">
        <f t="shared" si="413"/>
        <v xml:space="preserve"> </v>
      </c>
      <c r="GM124" s="27" t="str">
        <f t="shared" si="366"/>
        <v xml:space="preserve"> </v>
      </c>
      <c r="GN124" s="14" t="str">
        <f t="shared" si="415"/>
        <v xml:space="preserve"> </v>
      </c>
      <c r="GO124" s="14" t="str">
        <f t="shared" si="416"/>
        <v xml:space="preserve"> </v>
      </c>
      <c r="GP124" s="14" t="str">
        <f t="shared" si="417"/>
        <v xml:space="preserve"> </v>
      </c>
      <c r="GQ124" s="14" t="str">
        <f t="shared" si="418"/>
        <v xml:space="preserve"> </v>
      </c>
      <c r="GR124" s="14" t="str">
        <f t="shared" si="419"/>
        <v xml:space="preserve"> </v>
      </c>
      <c r="GS124" s="27" t="str">
        <f t="shared" si="366"/>
        <v xml:space="preserve"> </v>
      </c>
      <c r="GT124" s="14" t="str">
        <f t="shared" si="421"/>
        <v xml:space="preserve"> </v>
      </c>
      <c r="GU124" s="14" t="str">
        <f t="shared" si="422"/>
        <v xml:space="preserve"> </v>
      </c>
      <c r="GV124" s="14" t="str">
        <f t="shared" si="423"/>
        <v xml:space="preserve"> </v>
      </c>
      <c r="GW124" s="14" t="str">
        <f t="shared" si="424"/>
        <v xml:space="preserve"> </v>
      </c>
      <c r="GX124" s="14" t="str">
        <f t="shared" si="425"/>
        <v xml:space="preserve"> </v>
      </c>
      <c r="GY124" s="27" t="str">
        <f t="shared" si="366"/>
        <v xml:space="preserve"> </v>
      </c>
      <c r="GZ124" s="14" t="str">
        <f t="shared" si="427"/>
        <v xml:space="preserve"> </v>
      </c>
      <c r="HA124" s="14" t="str">
        <f t="shared" si="428"/>
        <v xml:space="preserve"> </v>
      </c>
      <c r="HB124" s="14" t="str">
        <f t="shared" si="429"/>
        <v xml:space="preserve"> </v>
      </c>
      <c r="HC124" s="14" t="str">
        <f t="shared" si="430"/>
        <v xml:space="preserve"> </v>
      </c>
      <c r="HD124" s="14" t="str">
        <f t="shared" si="431"/>
        <v xml:space="preserve"> </v>
      </c>
      <c r="HE124" s="27" t="str">
        <f t="shared" si="432"/>
        <v xml:space="preserve"> </v>
      </c>
      <c r="HF124" s="14" t="str">
        <f t="shared" si="433"/>
        <v xml:space="preserve"> </v>
      </c>
      <c r="HG124" s="14" t="str">
        <f t="shared" si="434"/>
        <v xml:space="preserve"> </v>
      </c>
      <c r="HH124" s="14" t="str">
        <f t="shared" si="435"/>
        <v xml:space="preserve"> </v>
      </c>
      <c r="HI124" s="14" t="str">
        <f t="shared" si="436"/>
        <v xml:space="preserve"> </v>
      </c>
      <c r="HJ124" s="14" t="str">
        <f t="shared" si="437"/>
        <v xml:space="preserve"> </v>
      </c>
      <c r="HK124" s="27" t="str">
        <f t="shared" si="432"/>
        <v xml:space="preserve"> </v>
      </c>
      <c r="HL124" s="14" t="str">
        <f t="shared" si="439"/>
        <v xml:space="preserve"> </v>
      </c>
      <c r="HM124" s="14" t="str">
        <f t="shared" si="440"/>
        <v xml:space="preserve"> </v>
      </c>
      <c r="HN124" s="14" t="str">
        <f t="shared" si="441"/>
        <v xml:space="preserve"> </v>
      </c>
      <c r="HO124" s="14" t="str">
        <f t="shared" si="442"/>
        <v xml:space="preserve"> </v>
      </c>
      <c r="HP124" s="14" t="str">
        <f t="shared" si="443"/>
        <v xml:space="preserve"> </v>
      </c>
      <c r="HQ124" s="27" t="str">
        <f t="shared" si="432"/>
        <v xml:space="preserve"> </v>
      </c>
    </row>
    <row r="125" spans="1:225" ht="15.75" customHeight="1">
      <c r="A125" s="7">
        <f t="shared" ref="A125:C125" si="472">A17</f>
        <v>0</v>
      </c>
      <c r="B125" s="7" t="str">
        <f t="shared" si="472"/>
        <v>lab members</v>
      </c>
      <c r="C125" s="7" t="str">
        <f t="shared" si="472"/>
        <v>scale</v>
      </c>
      <c r="D125" s="14" t="str">
        <f t="shared" si="446"/>
        <v xml:space="preserve"> </v>
      </c>
      <c r="E125" s="14" t="str">
        <f t="shared" si="447"/>
        <v xml:space="preserve"> </v>
      </c>
      <c r="F125" s="14" t="str">
        <f t="shared" si="448"/>
        <v xml:space="preserve"> </v>
      </c>
      <c r="G125" s="14" t="str">
        <f t="shared" si="449"/>
        <v xml:space="preserve">scale(1), attention to details(1.1), efficiency(1), user rules and manuals(2.1), organizational rules and manuals(2.1),  </v>
      </c>
      <c r="H125" s="14" t="str">
        <f t="shared" si="450"/>
        <v xml:space="preserve">scale(-1,6.25%), efficiency(-1,6.25%),  </v>
      </c>
      <c r="I125" s="27" t="str">
        <f t="shared" ref="I125" si="473">IF(I17="",I126,$C125&amp;"("&amp;I17&amp;"),"&amp;I126)</f>
        <v xml:space="preserve">scale(6.25),efficiency(6.25), </v>
      </c>
      <c r="J125" s="14" t="str">
        <f t="shared" si="229"/>
        <v xml:space="preserve">scale(1)
enthusiasm(1)
 </v>
      </c>
      <c r="K125" s="14" t="str">
        <f t="shared" si="230"/>
        <v xml:space="preserve">scale(-1,12.5%), enthusiasm(-1,25%),  </v>
      </c>
      <c r="L125" s="14" t="str">
        <f t="shared" si="231"/>
        <v xml:space="preserve">scale(12.5)
enthusiasm(25)
 </v>
      </c>
      <c r="M125" s="14" t="str">
        <f t="shared" si="232"/>
        <v xml:space="preserve">scale(1.1), efficiency(0.1), organizational rules and manuals(1.1),  </v>
      </c>
      <c r="N125" s="14" t="str">
        <f t="shared" si="233"/>
        <v xml:space="preserve">agility(-1,6.75%), ambition(-1,6.75%), fun-ness(-1,6.75%), initiative(-1,6.75%),  </v>
      </c>
      <c r="O125" s="27" t="str">
        <f t="shared" si="234"/>
        <v xml:space="preserve">agility(6.75),ambition(6.75),fun-ness(6.75),initiative(6.75), </v>
      </c>
      <c r="P125" s="14" t="str">
        <f t="shared" si="235"/>
        <v xml:space="preserve">scale(1)
enthusiasm(1)
 </v>
      </c>
      <c r="Q125" s="14" t="str">
        <f t="shared" si="236"/>
        <v xml:space="preserve">enthusiasm(-1,50%), gifted leader(-1,25%), gifted programmer(-1,25%), gifted designer(-1,25%),  </v>
      </c>
      <c r="R125" s="14" t="str">
        <f t="shared" si="237"/>
        <v xml:space="preserve">enthusiasm(50)
gifted leader(25)
gifted programmer(25)
gifted designer(25)
 </v>
      </c>
      <c r="S125" s="14" t="str">
        <f t="shared" si="238"/>
        <v xml:space="preserve">scale(1), network among members(0.1), gifted leader(1), gifted programmer(1), gifted designer(1), ambition(1), attention to details(0.1), community manager(0.1), team building(0.1),  </v>
      </c>
      <c r="T125" s="14" t="str">
        <f t="shared" si="239"/>
        <v xml:space="preserve">ambition(-1,%), business model(-1,6.25%), web(-1,6.25%), mobile apps(-1,6.25%), aesthetics(-1,6.25%),  </v>
      </c>
      <c r="U125" s="27" t="str">
        <f t="shared" si="234"/>
        <v xml:space="preserve">business model(6.25),web(6.25),mobile apps(6.25),aesthetics(6.25), </v>
      </c>
      <c r="V125" s="14" t="str">
        <f t="shared" si="241"/>
        <v xml:space="preserve">scale(1)
scale(1)
 </v>
      </c>
      <c r="W125" s="14" t="str">
        <f t="shared" si="242"/>
        <v xml:space="preserve">enthusiasm(-1,25%), enthusiasm(-1,25%), efficiency(-1,25%),  </v>
      </c>
      <c r="X125" s="14" t="str">
        <f t="shared" si="243"/>
        <v xml:space="preserve">enthusiasm(25)
enthusiasm(25)
efficiency(25)
 </v>
      </c>
      <c r="Y125" s="14" t="str">
        <f t="shared" si="244"/>
        <v xml:space="preserve">community manager(0.1), administrator(0.1), spaciousness(1), ease of access(3), reputation(2), user rules and manuals(0.1), project management(0.1), negotiation(0.1),  </v>
      </c>
      <c r="Z125" s="14" t="str">
        <f t="shared" si="245"/>
        <v xml:space="preserve">scale(-1,6.25%), reputation(-1,%),  </v>
      </c>
      <c r="AA125" s="27" t="str">
        <f t="shared" si="234"/>
        <v xml:space="preserve">scale(6.25), </v>
      </c>
      <c r="AB125" s="14" t="str">
        <f t="shared" si="247"/>
        <v xml:space="preserve"> </v>
      </c>
      <c r="AC125" s="14" t="str">
        <f t="shared" si="248"/>
        <v xml:space="preserve"> </v>
      </c>
      <c r="AD125" s="14" t="str">
        <f t="shared" si="249"/>
        <v xml:space="preserve"> </v>
      </c>
      <c r="AE125" s="14" t="str">
        <f t="shared" si="250"/>
        <v xml:space="preserve">scale(3), network among members(0.1), scale(1.1), attention to details(0.1), seriousness(0.1), initiative(0.1), spaciousness(1), user rules and manuals(1.1), organizational rules and manuals(1.1),  </v>
      </c>
      <c r="AF125" s="14" t="str">
        <f t="shared" si="251"/>
        <v xml:space="preserve">enthusiasm(-1,6.25%), enthusiasm(-1,%), local biz(-1,6.25%), investors(-1,6.25%), non-profits(-1,6.25%), efficiency(-1,6.25%),  </v>
      </c>
      <c r="AG125" s="27" t="str">
        <f t="shared" si="234"/>
        <v xml:space="preserve">enthusiasm(6.25),local biz(6.25),investors(6.25),non-profits(6.25),efficiency(6.25), </v>
      </c>
      <c r="AH125" s="14" t="str">
        <f t="shared" si="253"/>
        <v xml:space="preserve">scale(1)
enthusiasm(2)
fun-ness(1)
ease of access(1)
reputation(1)
 </v>
      </c>
      <c r="AI125" s="14" t="str">
        <f t="shared" si="254"/>
        <v xml:space="preserve">enthusiasm(-1,25%),  </v>
      </c>
      <c r="AJ125" s="14" t="str">
        <f t="shared" si="255"/>
        <v xml:space="preserve">enthusiasm(25)
 </v>
      </c>
      <c r="AK125" s="14" t="str">
        <f t="shared" si="256"/>
        <v xml:space="preserve">scale(2), enthusiasm(2), scale(3.1), attention to details(2.1), seriousness(2.1), community manager(2.1), administrator(2.1), spaciousness(1), ease of access(1), reputation(2), user rules and manuals(2.1), organizational rules and manuals(2.1), law(1.1), negotiation(1.1),  </v>
      </c>
      <c r="AL125" s="14" t="str">
        <f t="shared" si="257"/>
        <v xml:space="preserve">scale(-1,6.25%), enthusiasm(-1,6.25%), govt(-1,6.25%), non-profits(-1,6.25%), reputation(-1,6.25%),  </v>
      </c>
      <c r="AM125" s="27" t="str">
        <f t="shared" si="234"/>
        <v xml:space="preserve">scale(6.25),enthusiasm(6.25),govt(6.25),non-profits(6.25),reputation(6.25), </v>
      </c>
      <c r="AN125" s="14" t="str">
        <f t="shared" si="259"/>
        <v xml:space="preserve">scale(1)
fun-ness(1)
seriousness(1)
 </v>
      </c>
      <c r="AO125" s="14" t="str">
        <f t="shared" si="260"/>
        <v xml:space="preserve">scale(-1,25%), enthusiasm(-1,25%), enthusiasm(-1,25%),  </v>
      </c>
      <c r="AP125" s="14" t="str">
        <f t="shared" si="261"/>
        <v xml:space="preserve">scale(25)
enthusiasm(25)
enthusiasm(25)
 </v>
      </c>
      <c r="AQ125" s="14" t="str">
        <f t="shared" si="262"/>
        <v xml:space="preserve">scale(1), fun-ness(1), spaciousness(2.1), reputation(3), organizational rules and manuals(2.1), team building(2.1),  </v>
      </c>
      <c r="AR125" s="14" t="str">
        <f t="shared" si="263"/>
        <v xml:space="preserve">enthusiasm(-1,12.5%), fun-ness(-1,6.25%), reputation(-1,6.25%), efficiency(-1,6.25%),  </v>
      </c>
      <c r="AS125" s="27" t="str">
        <f t="shared" si="234"/>
        <v xml:space="preserve">enthusiasm(12.5),fun-ness(6.25),reputation(6.25),efficiency(6.25), </v>
      </c>
      <c r="AT125" s="14" t="str">
        <f t="shared" si="265"/>
        <v xml:space="preserve">scale(1)
enthusiasm(1)
network among members(3.1)
 </v>
      </c>
      <c r="AU125" s="14" t="str">
        <f t="shared" si="266"/>
        <v xml:space="preserve">scale(-1,25%), enthusiasm(-1,25%),  </v>
      </c>
      <c r="AV125" s="14" t="str">
        <f t="shared" si="267"/>
        <v xml:space="preserve">scale(25)
enthusiasm(25)
 </v>
      </c>
      <c r="AW125" s="14" t="str">
        <f t="shared" si="268"/>
        <v xml:space="preserve">scale(1), enthusiasm(1), attention to details(3.1), fun-ness(3.1), seriousness(3.1), initiative(2.1), leader(2.1), community manager(2.1), user rules and manuals(2.1), team building(2.1),  </v>
      </c>
      <c r="AX125" s="14" t="str">
        <f t="shared" si="269"/>
        <v xml:space="preserve">field knowledge(-1,6.25%), network among members(-1,6.25%), gifted assistant(-1,6.25%),  </v>
      </c>
      <c r="AY125" s="27" t="str">
        <f t="shared" si="234"/>
        <v xml:space="preserve">field knowledge(6.25),network among members(6.25),gifted assistant(6.25), </v>
      </c>
      <c r="AZ125" s="14" t="str">
        <f t="shared" si="271"/>
        <v xml:space="preserve">scale(1)
 </v>
      </c>
      <c r="BA125" s="14" t="str">
        <f t="shared" si="272"/>
        <v xml:space="preserve">enthusiasm(-1,12.5%), attention to details(1,12.5%), fun-ness(-1,12.5%), seriousness(1,12.5%), efficiency(-1,12.5%), user rules and manuals(1,25%),  </v>
      </c>
      <c r="BB125" s="14" t="str">
        <f t="shared" si="273"/>
        <v xml:space="preserve">enthusiasm(12.5)
attention to details(12.5)
fun-ness(12.5)
seriousness(12.5)
efficiency(12.5)
user rules and manuals(25)
 </v>
      </c>
      <c r="BC125" s="14" t="str">
        <f t="shared" si="274"/>
        <v xml:space="preserve">scale(1), agility(1.1), attention to details(1.1), seriousness(1.1), community manager(1.1), administrator(1.1), user rules and manuals(2.1), organizational rules and manuals(2.1),  </v>
      </c>
      <c r="BD125" s="14" t="str">
        <f t="shared" si="275"/>
        <v xml:space="preserve">scale(-1,6.25%), enthusiasm(-1,6.25%), reputation(-1,6.25%),  </v>
      </c>
      <c r="BE125" s="27" t="str">
        <f t="shared" si="234"/>
        <v xml:space="preserve">scale(6.25),enthusiasm(6.25),reputation(6.25), </v>
      </c>
      <c r="BF125" s="14" t="str">
        <f t="shared" si="277"/>
        <v xml:space="preserve"> </v>
      </c>
      <c r="BG125" s="14" t="str">
        <f t="shared" si="278"/>
        <v xml:space="preserve">enthusiasm(-1,25%), enthusiasm(-1,25%), attention to details(1,25%), fun-ness(-1,25%), seriousness(1,25%), user rules and manuals(1,25%), organizational rules and manuals(1,25%),  </v>
      </c>
      <c r="BH125" s="14" t="str">
        <f t="shared" si="279"/>
        <v xml:space="preserve">enthusiasm(25)
enthusiasm(25)
attention to details(25)
fun-ness(25)
seriousness(25)
user rules and manuals(25)
organizational rules and manuals(25)
 </v>
      </c>
      <c r="BI125" s="14" t="str">
        <f t="shared" si="280"/>
        <v xml:space="preserve">enthusiasm(1), engineering knowledge(1.1), enthusiasm(1), fun-ness(1), seriousness(2.1), community manager(1.1), administrator(1.1),  </v>
      </c>
      <c r="BJ125" s="14" t="str">
        <f t="shared" si="281"/>
        <v xml:space="preserve">reputation(-1,6.25%), efficiency(-1,25%),  </v>
      </c>
      <c r="BK125" s="27" t="str">
        <f t="shared" si="234"/>
        <v xml:space="preserve">reputation(6.25),efficiency(25), </v>
      </c>
      <c r="BL125" s="14" t="str">
        <f t="shared" si="283"/>
        <v xml:space="preserve">scale(2)
local biz(1)
ease of access(1)
reputation(1)
aesthetics(1)
 </v>
      </c>
      <c r="BM125" s="14" t="str">
        <f t="shared" si="284"/>
        <v xml:space="preserve">biz enhancement(1,%),  </v>
      </c>
      <c r="BN125" s="14" t="str">
        <f t="shared" si="285"/>
        <v xml:space="preserve"> </v>
      </c>
      <c r="BO125"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5" s="14" t="str">
        <f t="shared" si="287"/>
        <v xml:space="preserve">local biz(1,6.25%),  </v>
      </c>
      <c r="BQ125" s="27" t="str">
        <f t="shared" si="234"/>
        <v xml:space="preserve">local biz(6.25), </v>
      </c>
      <c r="BR125" s="14" t="str">
        <f t="shared" si="289"/>
        <v xml:space="preserve">scale(2)
scale(1)
local biz(1)
ease of access(1)
reputation(1)
aesthetics(1)
 </v>
      </c>
      <c r="BS125" s="14" t="str">
        <f t="shared" si="290"/>
        <v xml:space="preserve">biz project(1,%),  </v>
      </c>
      <c r="BT125" s="14" t="str">
        <f t="shared" si="291"/>
        <v xml:space="preserve"> </v>
      </c>
      <c r="BU125"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5" s="14" t="str">
        <f t="shared" si="293"/>
        <v xml:space="preserve">local biz(1,6.25%),  </v>
      </c>
      <c r="BW125" s="27" t="str">
        <f t="shared" si="234"/>
        <v xml:space="preserve">local biz(6.25), </v>
      </c>
      <c r="BX125" s="14" t="str">
        <f t="shared" si="295"/>
        <v xml:space="preserve">scale(2)
enthusiasm(1)
local biz(1)
ease of access(1)
reputation(1)
aesthetics(1)
interaction(1)
 </v>
      </c>
      <c r="BY125" s="14" t="str">
        <f t="shared" si="296"/>
        <v xml:space="preserve">biz project(1,%),  </v>
      </c>
      <c r="BZ125" s="14" t="str">
        <f t="shared" si="297"/>
        <v xml:space="preserve"> </v>
      </c>
      <c r="CA125"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5" s="14" t="str">
        <f t="shared" si="299"/>
        <v xml:space="preserve">local biz(1,6.25%),  </v>
      </c>
      <c r="CC125" s="27" t="str">
        <f t="shared" si="300"/>
        <v xml:space="preserve">local biz(6.25), </v>
      </c>
      <c r="CD125" s="14" t="str">
        <f t="shared" si="301"/>
        <v xml:space="preserve">scale(2)
enthusiasm(1)
ease of access(1)
reputation(1)
aesthetics(1)
 </v>
      </c>
      <c r="CE125" s="14" t="str">
        <f t="shared" si="302"/>
        <v xml:space="preserve">biz project(1,%),  </v>
      </c>
      <c r="CF125" s="14" t="str">
        <f t="shared" si="303"/>
        <v xml:space="preserve"> </v>
      </c>
      <c r="CG125"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5" s="14" t="str">
        <f t="shared" si="305"/>
        <v xml:space="preserve">local biz(1,6.25%),  </v>
      </c>
      <c r="CI125" s="27" t="str">
        <f t="shared" si="300"/>
        <v xml:space="preserve">local biz(6.25), </v>
      </c>
      <c r="CJ125" s="14" t="str">
        <f t="shared" si="307"/>
        <v xml:space="preserve">scale(2)
ease of access(1)
reputation(1)
aesthetics(1)
 </v>
      </c>
      <c r="CK125" s="14" t="str">
        <f t="shared" si="308"/>
        <v xml:space="preserve">biz project(1,%),  </v>
      </c>
      <c r="CL125" s="14" t="str">
        <f t="shared" si="309"/>
        <v xml:space="preserve"> </v>
      </c>
      <c r="CM125"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5" s="14" t="str">
        <f t="shared" si="311"/>
        <v xml:space="preserve">local biz(1,6.25%),  </v>
      </c>
      <c r="CO125" s="27" t="str">
        <f t="shared" si="300"/>
        <v xml:space="preserve">local biz(6.25), </v>
      </c>
      <c r="CP125" s="14" t="str">
        <f t="shared" si="313"/>
        <v xml:space="preserve">scale(2)
enthusiasm(1)
learning capacities(1)
field knowledge(1)
local biz(1)
metal processing(1)
functions(1)
 </v>
      </c>
      <c r="CQ125" s="14" t="str">
        <f t="shared" si="314"/>
        <v xml:space="preserve">local biz(1,50%), biz enhancement(1,50%),  </v>
      </c>
      <c r="CR125" s="14" t="str">
        <f t="shared" si="315"/>
        <v xml:space="preserve">local biz(50)
biz enhancement(50)
 </v>
      </c>
      <c r="CS125" s="14" t="str">
        <f t="shared" si="316"/>
        <v xml:space="preserve">scale(3), 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5" s="14" t="str">
        <f t="shared" si="317"/>
        <v xml:space="preserve">reputation(1,6.25%),  </v>
      </c>
      <c r="CU125" s="27" t="str">
        <f t="shared" si="300"/>
        <v xml:space="preserve">reputation(6.25), </v>
      </c>
      <c r="CV125" s="14" t="str">
        <f t="shared" si="319"/>
        <v xml:space="preserve">scale(1)
enthusiasm(2)
learning capacities(1)
non-profits(1)
wood processing(1)
aesthetics(1)
interaction(1)
 </v>
      </c>
      <c r="CW125" s="14" t="str">
        <f t="shared" si="320"/>
        <v xml:space="preserve">non-profits(1,50%), social project(1,50%),  </v>
      </c>
      <c r="CX125" s="14" t="str">
        <f t="shared" si="321"/>
        <v xml:space="preserve">non-profits(50)
social project(50)
 </v>
      </c>
      <c r="CY125"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5" s="14" t="str">
        <f t="shared" si="323"/>
        <v xml:space="preserve">media(1,6.25%), reputation(1,6.25%), portfolio(1,6.25%),  </v>
      </c>
      <c r="DA125" s="27" t="str">
        <f t="shared" si="300"/>
        <v xml:space="preserve">media(6.25),reputation(6.25),portfolio(6.25), </v>
      </c>
      <c r="DB125" s="14" t="str">
        <f t="shared" si="325"/>
        <v xml:space="preserve">scale(1)
enthusiasm(2)
learning capacities(1)
non-profits(1)
aesthetics(1)
interaction(1)
 </v>
      </c>
      <c r="DC125" s="14" t="str">
        <f t="shared" si="326"/>
        <v xml:space="preserve">non-profits(1,50%), social project(1,50%),  </v>
      </c>
      <c r="DD125" s="14" t="str">
        <f t="shared" si="327"/>
        <v xml:space="preserve">non-profits(50)
social project(50)
 </v>
      </c>
      <c r="DE125" s="14" t="str">
        <f t="shared" si="328"/>
        <v xml:space="preserve">gifted programmer(1), gifted designer(1), scale(2), enthusiasm(4), agility(2), ambition(4), attention to details(2), fun-ness(2), administrator(2), ease of access(2), efficiency(3), VR&amp;AR(2),  </v>
      </c>
      <c r="DF125" s="14" t="str">
        <f t="shared" si="329"/>
        <v xml:space="preserve">media(1,6.25%), reputation(1,6.25%), portfolio(1,6.25%),  </v>
      </c>
      <c r="DG125" s="27" t="str">
        <f t="shared" si="300"/>
        <v xml:space="preserve">media(6.25),reputation(6.25),portfolio(6.25), </v>
      </c>
      <c r="DH125" s="14" t="str">
        <f t="shared" si="331"/>
        <v xml:space="preserve">scale(2)
enthusiasm(2)
scale(1)
wood processing(1)
aesthetics(1)
safety(1)
 </v>
      </c>
      <c r="DI125" s="14" t="str">
        <f t="shared" si="332"/>
        <v xml:space="preserve">social project(1,100%),  </v>
      </c>
      <c r="DJ125" s="14" t="str">
        <f t="shared" si="333"/>
        <v xml:space="preserve">social project(100)
 </v>
      </c>
      <c r="DK125" s="14" t="str">
        <f t="shared" si="334"/>
        <v xml:space="preserve">scale(4), 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5" s="14" t="str">
        <f t="shared" si="335"/>
        <v xml:space="preserve">scale(1,6.25%), enthusiasm(1,6.25%), network among members(1,6.25%), enthusiasm(1,6.25%), agility(1,6.25%), fun-ness(1,6.25%), reputation(1,6.25%), portfolio(1,6.25%), team building(1,6.25%),  </v>
      </c>
      <c r="DM125" s="27" t="str">
        <f t="shared" si="300"/>
        <v xml:space="preserve">scale(6.25),enthusiasm(6.25),network among members(6.25),enthusiasm(6.25),agility(6.25),fun-ness(6.25),reputation(6.25),portfolio(6.25),team building(6.25), </v>
      </c>
      <c r="DN125" s="14" t="str">
        <f t="shared" si="337"/>
        <v xml:space="preserve">scale(2)
scale(2)
agility(1)
attention to details(2)
fun-ness(2)
initiative(1)
community manager(1)
fame(1)
network(2)
suppliers(2)
spaciousness(1)
ease of access(2)
reputation(3)
project management(2)
wood processing(1)
plastic processing(1)
electronics(1)
aesthetics(2)
functions(1)
safety(1)
biz project(1)
 </v>
      </c>
      <c r="DO125" s="14" t="str">
        <f t="shared" si="338"/>
        <v xml:space="preserve">reputation(1,25%), portfolio(1,50%),  </v>
      </c>
      <c r="DP125" s="14" t="str">
        <f t="shared" si="339"/>
        <v xml:space="preserve">reputation(25)
portfolio(50)
 </v>
      </c>
      <c r="DQ125"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5" s="14" t="str">
        <f t="shared" si="341"/>
        <v xml:space="preserve">suppliers(1,6.25%), reputation(1,6.25%),  </v>
      </c>
      <c r="DS125" s="27" t="str">
        <f t="shared" si="300"/>
        <v xml:space="preserve">suppliers(6.25),reputation(6.25), </v>
      </c>
      <c r="DT125" s="14" t="str">
        <f t="shared" si="343"/>
        <v xml:space="preserve">scale(2)
attention to details(2)
leader(1)
fame(1)
network(2)
reputation(3)
portfolio(2)
 </v>
      </c>
      <c r="DU125" s="14" t="str">
        <f t="shared" si="344"/>
        <v xml:space="preserve">fame(1,25%), govt(1,25%), non-profits(1,50%), reputation(1,25%),  </v>
      </c>
      <c r="DV125" s="14" t="str">
        <f t="shared" si="345"/>
        <v xml:space="preserve">fame(25)
govt(25)
non-profits(50)
reputation(25)
 </v>
      </c>
      <c r="DW125" s="14" t="str">
        <f t="shared" si="346"/>
        <v xml:space="preserve">scale(3), enthusiasm(3), enthusiasm(3), ambition(2), attention to details(2), PR(1), administrator(1), social media(2),  </v>
      </c>
      <c r="DX125" s="14" t="str">
        <f t="shared" si="347"/>
        <v xml:space="preserve">ambition(1,6.25%), fame(1,6.25%), reputation(1,6.25%),  </v>
      </c>
      <c r="DY125" s="27" t="str">
        <f t="shared" si="300"/>
        <v xml:space="preserve">ambition(6.25),fame(6.25),reputation(6.25), </v>
      </c>
      <c r="DZ125" s="14" t="str">
        <f t="shared" si="349"/>
        <v xml:space="preserve"> </v>
      </c>
      <c r="EA125" s="14" t="str">
        <f t="shared" si="350"/>
        <v xml:space="preserve"> </v>
      </c>
      <c r="EB125" s="14" t="str">
        <f t="shared" si="351"/>
        <v xml:space="preserve"> </v>
      </c>
      <c r="EC125" s="14" t="str">
        <f t="shared" si="352"/>
        <v xml:space="preserve"> </v>
      </c>
      <c r="ED125" s="14" t="str">
        <f t="shared" si="353"/>
        <v xml:space="preserve"> </v>
      </c>
      <c r="EE125" s="27" t="str">
        <f t="shared" si="300"/>
        <v xml:space="preserve"> </v>
      </c>
      <c r="EF125" s="14" t="str">
        <f t="shared" si="355"/>
        <v xml:space="preserve"> </v>
      </c>
      <c r="EG125" s="14" t="str">
        <f t="shared" si="356"/>
        <v xml:space="preserve"> </v>
      </c>
      <c r="EH125" s="14" t="str">
        <f t="shared" si="357"/>
        <v xml:space="preserve"> </v>
      </c>
      <c r="EI125" s="14" t="str">
        <f t="shared" si="358"/>
        <v xml:space="preserve"> </v>
      </c>
      <c r="EJ125" s="14" t="str">
        <f t="shared" si="359"/>
        <v xml:space="preserve"> </v>
      </c>
      <c r="EK125" s="27" t="str">
        <f t="shared" si="300"/>
        <v xml:space="preserve"> </v>
      </c>
      <c r="EL125" s="14" t="str">
        <f t="shared" si="361"/>
        <v xml:space="preserve"> </v>
      </c>
      <c r="EM125" s="14" t="str">
        <f t="shared" si="362"/>
        <v xml:space="preserve"> </v>
      </c>
      <c r="EN125" s="14" t="str">
        <f t="shared" si="363"/>
        <v xml:space="preserve"> </v>
      </c>
      <c r="EO125" s="14" t="str">
        <f t="shared" si="364"/>
        <v xml:space="preserve"> </v>
      </c>
      <c r="EP125" s="14" t="str">
        <f t="shared" si="365"/>
        <v xml:space="preserve"> </v>
      </c>
      <c r="EQ125" s="27" t="str">
        <f t="shared" si="366"/>
        <v xml:space="preserve"> </v>
      </c>
      <c r="ER125" s="14" t="str">
        <f t="shared" si="367"/>
        <v xml:space="preserve"> </v>
      </c>
      <c r="ES125" s="14" t="str">
        <f t="shared" si="368"/>
        <v xml:space="preserve"> </v>
      </c>
      <c r="ET125" s="14" t="str">
        <f t="shared" si="369"/>
        <v xml:space="preserve"> </v>
      </c>
      <c r="EU125" s="14" t="str">
        <f t="shared" si="370"/>
        <v xml:space="preserve"> </v>
      </c>
      <c r="EV125" s="14" t="str">
        <f t="shared" si="371"/>
        <v xml:space="preserve"> </v>
      </c>
      <c r="EW125" s="27" t="str">
        <f t="shared" si="366"/>
        <v xml:space="preserve"> </v>
      </c>
      <c r="EX125" s="14" t="str">
        <f t="shared" si="373"/>
        <v xml:space="preserve"> </v>
      </c>
      <c r="EY125" s="14" t="str">
        <f t="shared" si="374"/>
        <v xml:space="preserve"> </v>
      </c>
      <c r="EZ125" s="14" t="str">
        <f t="shared" si="375"/>
        <v xml:space="preserve"> </v>
      </c>
      <c r="FA125" s="14" t="str">
        <f t="shared" si="376"/>
        <v xml:space="preserve"> </v>
      </c>
      <c r="FB125" s="14" t="str">
        <f t="shared" si="377"/>
        <v xml:space="preserve"> </v>
      </c>
      <c r="FC125" s="27" t="str">
        <f t="shared" si="366"/>
        <v xml:space="preserve"> </v>
      </c>
      <c r="FD125" s="14" t="str">
        <f t="shared" si="379"/>
        <v xml:space="preserve"> </v>
      </c>
      <c r="FE125" s="14" t="str">
        <f t="shared" si="380"/>
        <v xml:space="preserve"> </v>
      </c>
      <c r="FF125" s="14" t="str">
        <f t="shared" si="381"/>
        <v xml:space="preserve"> </v>
      </c>
      <c r="FG125" s="14" t="str">
        <f t="shared" si="382"/>
        <v xml:space="preserve"> </v>
      </c>
      <c r="FH125" s="14" t="str">
        <f t="shared" si="383"/>
        <v xml:space="preserve"> </v>
      </c>
      <c r="FI125" s="27" t="str">
        <f t="shared" si="366"/>
        <v xml:space="preserve"> </v>
      </c>
      <c r="FJ125" s="14" t="str">
        <f t="shared" si="385"/>
        <v xml:space="preserve"> </v>
      </c>
      <c r="FK125" s="14" t="str">
        <f t="shared" si="386"/>
        <v xml:space="preserve"> </v>
      </c>
      <c r="FL125" s="14" t="str">
        <f t="shared" si="387"/>
        <v xml:space="preserve"> </v>
      </c>
      <c r="FM125" s="14" t="str">
        <f t="shared" si="388"/>
        <v xml:space="preserve"> </v>
      </c>
      <c r="FN125" s="14" t="str">
        <f t="shared" si="389"/>
        <v xml:space="preserve"> </v>
      </c>
      <c r="FO125" s="27" t="str">
        <f t="shared" si="366"/>
        <v xml:space="preserve"> </v>
      </c>
      <c r="FP125" s="14" t="str">
        <f t="shared" si="391"/>
        <v xml:space="preserve"> </v>
      </c>
      <c r="FQ125" s="14" t="str">
        <f t="shared" si="392"/>
        <v xml:space="preserve"> </v>
      </c>
      <c r="FR125" s="14" t="str">
        <f t="shared" si="393"/>
        <v xml:space="preserve"> </v>
      </c>
      <c r="FS125" s="14" t="str">
        <f t="shared" si="394"/>
        <v xml:space="preserve"> </v>
      </c>
      <c r="FT125" s="14" t="str">
        <f t="shared" si="395"/>
        <v xml:space="preserve"> </v>
      </c>
      <c r="FU125" s="27" t="str">
        <f t="shared" si="366"/>
        <v xml:space="preserve"> </v>
      </c>
      <c r="FV125" s="14" t="str">
        <f t="shared" si="397"/>
        <v xml:space="preserve"> </v>
      </c>
      <c r="FW125" s="14" t="str">
        <f t="shared" si="398"/>
        <v xml:space="preserve"> </v>
      </c>
      <c r="FX125" s="14" t="str">
        <f t="shared" si="399"/>
        <v xml:space="preserve"> </v>
      </c>
      <c r="FY125" s="14" t="str">
        <f t="shared" si="400"/>
        <v xml:space="preserve"> </v>
      </c>
      <c r="FZ125" s="14" t="str">
        <f t="shared" si="401"/>
        <v xml:space="preserve"> </v>
      </c>
      <c r="GA125" s="27" t="str">
        <f t="shared" si="366"/>
        <v xml:space="preserve"> </v>
      </c>
      <c r="GB125" s="14" t="str">
        <f t="shared" si="403"/>
        <v xml:space="preserve"> </v>
      </c>
      <c r="GC125" s="14" t="str">
        <f t="shared" si="404"/>
        <v xml:space="preserve"> </v>
      </c>
      <c r="GD125" s="14" t="str">
        <f t="shared" si="405"/>
        <v xml:space="preserve"> </v>
      </c>
      <c r="GE125" s="14" t="str">
        <f t="shared" si="406"/>
        <v xml:space="preserve"> </v>
      </c>
      <c r="GF125" s="14" t="str">
        <f t="shared" si="407"/>
        <v xml:space="preserve"> </v>
      </c>
      <c r="GG125" s="27" t="str">
        <f t="shared" si="366"/>
        <v xml:space="preserve"> </v>
      </c>
      <c r="GH125" s="14" t="str">
        <f t="shared" si="409"/>
        <v xml:space="preserve"> </v>
      </c>
      <c r="GI125" s="14" t="str">
        <f t="shared" si="410"/>
        <v xml:space="preserve"> </v>
      </c>
      <c r="GJ125" s="14" t="str">
        <f t="shared" si="411"/>
        <v xml:space="preserve"> </v>
      </c>
      <c r="GK125" s="14" t="str">
        <f t="shared" si="412"/>
        <v xml:space="preserve"> </v>
      </c>
      <c r="GL125" s="14" t="str">
        <f t="shared" si="413"/>
        <v xml:space="preserve"> </v>
      </c>
      <c r="GM125" s="27" t="str">
        <f t="shared" si="366"/>
        <v xml:space="preserve"> </v>
      </c>
      <c r="GN125" s="14" t="str">
        <f t="shared" si="415"/>
        <v xml:space="preserve"> </v>
      </c>
      <c r="GO125" s="14" t="str">
        <f t="shared" si="416"/>
        <v xml:space="preserve"> </v>
      </c>
      <c r="GP125" s="14" t="str">
        <f t="shared" si="417"/>
        <v xml:space="preserve"> </v>
      </c>
      <c r="GQ125" s="14" t="str">
        <f t="shared" si="418"/>
        <v xml:space="preserve"> </v>
      </c>
      <c r="GR125" s="14" t="str">
        <f t="shared" si="419"/>
        <v xml:space="preserve"> </v>
      </c>
      <c r="GS125" s="27" t="str">
        <f t="shared" si="366"/>
        <v xml:space="preserve"> </v>
      </c>
      <c r="GT125" s="14" t="str">
        <f t="shared" si="421"/>
        <v xml:space="preserve"> </v>
      </c>
      <c r="GU125" s="14" t="str">
        <f t="shared" si="422"/>
        <v xml:space="preserve"> </v>
      </c>
      <c r="GV125" s="14" t="str">
        <f t="shared" si="423"/>
        <v xml:space="preserve"> </v>
      </c>
      <c r="GW125" s="14" t="str">
        <f t="shared" si="424"/>
        <v xml:space="preserve"> </v>
      </c>
      <c r="GX125" s="14" t="str">
        <f t="shared" si="425"/>
        <v xml:space="preserve"> </v>
      </c>
      <c r="GY125" s="27" t="str">
        <f t="shared" si="366"/>
        <v xml:space="preserve"> </v>
      </c>
      <c r="GZ125" s="14" t="str">
        <f t="shared" si="427"/>
        <v xml:space="preserve"> </v>
      </c>
      <c r="HA125" s="14" t="str">
        <f t="shared" si="428"/>
        <v xml:space="preserve"> </v>
      </c>
      <c r="HB125" s="14" t="str">
        <f t="shared" si="429"/>
        <v xml:space="preserve"> </v>
      </c>
      <c r="HC125" s="14" t="str">
        <f t="shared" si="430"/>
        <v xml:space="preserve"> </v>
      </c>
      <c r="HD125" s="14" t="str">
        <f t="shared" si="431"/>
        <v xml:space="preserve"> </v>
      </c>
      <c r="HE125" s="27" t="str">
        <f t="shared" si="432"/>
        <v xml:space="preserve"> </v>
      </c>
      <c r="HF125" s="14" t="str">
        <f t="shared" si="433"/>
        <v xml:space="preserve"> </v>
      </c>
      <c r="HG125" s="14" t="str">
        <f t="shared" si="434"/>
        <v xml:space="preserve"> </v>
      </c>
      <c r="HH125" s="14" t="str">
        <f t="shared" si="435"/>
        <v xml:space="preserve"> </v>
      </c>
      <c r="HI125" s="14" t="str">
        <f t="shared" si="436"/>
        <v xml:space="preserve"> </v>
      </c>
      <c r="HJ125" s="14" t="str">
        <f t="shared" si="437"/>
        <v xml:space="preserve"> </v>
      </c>
      <c r="HK125" s="27" t="str">
        <f t="shared" si="432"/>
        <v xml:space="preserve"> </v>
      </c>
      <c r="HL125" s="14" t="str">
        <f t="shared" si="439"/>
        <v xml:space="preserve"> </v>
      </c>
      <c r="HM125" s="14" t="str">
        <f t="shared" si="440"/>
        <v xml:space="preserve"> </v>
      </c>
      <c r="HN125" s="14" t="str">
        <f t="shared" si="441"/>
        <v xml:space="preserve"> </v>
      </c>
      <c r="HO125" s="14" t="str">
        <f t="shared" si="442"/>
        <v xml:space="preserve"> </v>
      </c>
      <c r="HP125" s="14" t="str">
        <f t="shared" si="443"/>
        <v xml:space="preserve"> </v>
      </c>
      <c r="HQ125" s="27" t="str">
        <f t="shared" si="432"/>
        <v xml:space="preserve"> </v>
      </c>
    </row>
    <row r="126" spans="1:225" ht="15.75" customHeight="1">
      <c r="A126" s="7">
        <f t="shared" ref="A126:C126" si="474">A18</f>
        <v>0</v>
      </c>
      <c r="B126" s="7">
        <f t="shared" si="474"/>
        <v>0</v>
      </c>
      <c r="C126" s="7" t="str">
        <f t="shared" si="474"/>
        <v>enthusiasm</v>
      </c>
      <c r="D126" s="14" t="str">
        <f t="shared" si="446"/>
        <v xml:space="preserve"> </v>
      </c>
      <c r="E126" s="14" t="str">
        <f t="shared" si="447"/>
        <v xml:space="preserve"> </v>
      </c>
      <c r="F126" s="14" t="str">
        <f t="shared" si="448"/>
        <v xml:space="preserve"> </v>
      </c>
      <c r="G126" s="14" t="str">
        <f t="shared" si="449"/>
        <v xml:space="preserve">attention to details(1.1), efficiency(1), user rules and manuals(2.1), organizational rules and manuals(2.1),  </v>
      </c>
      <c r="H126" s="14" t="str">
        <f t="shared" si="450"/>
        <v xml:space="preserve">efficiency(-1,6.25%),  </v>
      </c>
      <c r="I126" s="27" t="str">
        <f t="shared" ref="I126" si="475">IF(I18="",I127,$C126&amp;"("&amp;I18&amp;"),"&amp;I127)</f>
        <v xml:space="preserve">efficiency(6.25), </v>
      </c>
      <c r="J126" s="14" t="str">
        <f t="shared" si="229"/>
        <v xml:space="preserve">scale(1)
enthusiasm(1)
 </v>
      </c>
      <c r="K126" s="14" t="str">
        <f t="shared" si="230"/>
        <v xml:space="preserve">scale(-1,12.5%), enthusiasm(-1,25%),  </v>
      </c>
      <c r="L126" s="14" t="str">
        <f t="shared" si="231"/>
        <v xml:space="preserve">scale(12.5)
enthusiasm(25)
 </v>
      </c>
      <c r="M126" s="14" t="str">
        <f t="shared" si="232"/>
        <v xml:space="preserve">scale(1.1), efficiency(0.1), organizational rules and manuals(1.1),  </v>
      </c>
      <c r="N126" s="14" t="str">
        <f t="shared" si="233"/>
        <v xml:space="preserve">agility(-1,6.75%), ambition(-1,6.75%), fun-ness(-1,6.75%), initiative(-1,6.75%),  </v>
      </c>
      <c r="O126" s="27" t="str">
        <f t="shared" si="234"/>
        <v xml:space="preserve">agility(6.75),ambition(6.75),fun-ness(6.75),initiative(6.75), </v>
      </c>
      <c r="P126" s="14" t="str">
        <f t="shared" si="235"/>
        <v xml:space="preserve">enthusiasm(1)
 </v>
      </c>
      <c r="Q126" s="14" t="str">
        <f t="shared" si="236"/>
        <v xml:space="preserve">enthusiasm(-1,50%), gifted leader(-1,25%), gifted programmer(-1,25%), gifted designer(-1,25%),  </v>
      </c>
      <c r="R126" s="14" t="str">
        <f t="shared" si="237"/>
        <v xml:space="preserve">enthusiasm(50)
gifted leader(25)
gifted programmer(25)
gifted designer(25)
 </v>
      </c>
      <c r="S126" s="14" t="str">
        <f t="shared" si="238"/>
        <v xml:space="preserve">network among members(0.1), gifted leader(1), gifted programmer(1), gifted designer(1), ambition(1), attention to details(0.1), community manager(0.1), team building(0.1),  </v>
      </c>
      <c r="T126" s="14" t="str">
        <f t="shared" si="239"/>
        <v xml:space="preserve">ambition(-1,%), business model(-1,6.25%), web(-1,6.25%), mobile apps(-1,6.25%), aesthetics(-1,6.25%),  </v>
      </c>
      <c r="U126" s="27" t="str">
        <f t="shared" si="234"/>
        <v xml:space="preserve">business model(6.25),web(6.25),mobile apps(6.25),aesthetics(6.25), </v>
      </c>
      <c r="V126" s="14" t="str">
        <f t="shared" si="241"/>
        <v xml:space="preserve">scale(1)
 </v>
      </c>
      <c r="W126" s="14" t="str">
        <f t="shared" si="242"/>
        <v xml:space="preserve">enthusiasm(-1,25%), enthusiasm(-1,25%), efficiency(-1,25%),  </v>
      </c>
      <c r="X126" s="14" t="str">
        <f t="shared" si="243"/>
        <v xml:space="preserve">enthusiasm(25)
enthusiasm(25)
efficiency(25)
 </v>
      </c>
      <c r="Y126" s="14" t="str">
        <f t="shared" si="244"/>
        <v xml:space="preserve">community manager(0.1), administrator(0.1), spaciousness(1), ease of access(3), reputation(2), user rules and manuals(0.1), project management(0.1), negotiation(0.1),  </v>
      </c>
      <c r="Z126" s="14" t="str">
        <f t="shared" si="245"/>
        <v xml:space="preserve">reputation(-1,%),  </v>
      </c>
      <c r="AA126" s="27" t="str">
        <f t="shared" si="234"/>
        <v xml:space="preserve"> </v>
      </c>
      <c r="AB126" s="14" t="str">
        <f t="shared" si="247"/>
        <v xml:space="preserve"> </v>
      </c>
      <c r="AC126" s="14" t="str">
        <f t="shared" si="248"/>
        <v xml:space="preserve"> </v>
      </c>
      <c r="AD126" s="14" t="str">
        <f t="shared" si="249"/>
        <v xml:space="preserve"> </v>
      </c>
      <c r="AE126" s="14" t="str">
        <f t="shared" si="250"/>
        <v xml:space="preserve">network among members(0.1), scale(1.1), attention to details(0.1), seriousness(0.1), initiative(0.1), spaciousness(1), user rules and manuals(1.1), organizational rules and manuals(1.1),  </v>
      </c>
      <c r="AF126" s="14" t="str">
        <f t="shared" si="251"/>
        <v xml:space="preserve">enthusiasm(-1,6.25%), enthusiasm(-1,%), local biz(-1,6.25%), investors(-1,6.25%), non-profits(-1,6.25%), efficiency(-1,6.25%),  </v>
      </c>
      <c r="AG126" s="27" t="str">
        <f t="shared" si="234"/>
        <v xml:space="preserve">enthusiasm(6.25),local biz(6.25),investors(6.25),non-profits(6.25),efficiency(6.25), </v>
      </c>
      <c r="AH126" s="14" t="str">
        <f t="shared" si="253"/>
        <v xml:space="preserve">enthusiasm(2)
fun-ness(1)
ease of access(1)
reputation(1)
 </v>
      </c>
      <c r="AI126" s="14" t="str">
        <f t="shared" si="254"/>
        <v xml:space="preserve">enthusiasm(-1,25%),  </v>
      </c>
      <c r="AJ126" s="14" t="str">
        <f t="shared" si="255"/>
        <v xml:space="preserve">enthusiasm(25)
 </v>
      </c>
      <c r="AK126" s="14" t="str">
        <f t="shared" si="256"/>
        <v xml:space="preserve">enthusiasm(2), scale(3.1), attention to details(2.1), seriousness(2.1), community manager(2.1), administrator(2.1), spaciousness(1), ease of access(1), reputation(2), user rules and manuals(2.1), organizational rules and manuals(2.1), law(1.1), negotiation(1.1),  </v>
      </c>
      <c r="AL126" s="14" t="str">
        <f t="shared" si="257"/>
        <v xml:space="preserve">enthusiasm(-1,6.25%), govt(-1,6.25%), non-profits(-1,6.25%), reputation(-1,6.25%),  </v>
      </c>
      <c r="AM126" s="27" t="str">
        <f t="shared" si="234"/>
        <v xml:space="preserve">enthusiasm(6.25),govt(6.25),non-profits(6.25),reputation(6.25), </v>
      </c>
      <c r="AN126" s="14" t="str">
        <f t="shared" si="259"/>
        <v xml:space="preserve">scale(1)
fun-ness(1)
seriousness(1)
 </v>
      </c>
      <c r="AO126" s="14" t="str">
        <f t="shared" si="260"/>
        <v xml:space="preserve">enthusiasm(-1,25%), enthusiasm(-1,25%),  </v>
      </c>
      <c r="AP126" s="14" t="str">
        <f t="shared" si="261"/>
        <v xml:space="preserve">enthusiasm(25)
enthusiasm(25)
 </v>
      </c>
      <c r="AQ126" s="14" t="str">
        <f t="shared" si="262"/>
        <v xml:space="preserve">scale(1), fun-ness(1), spaciousness(2.1), reputation(3), organizational rules and manuals(2.1), team building(2.1),  </v>
      </c>
      <c r="AR126" s="14" t="str">
        <f t="shared" si="263"/>
        <v xml:space="preserve">enthusiasm(-1,12.5%), fun-ness(-1,6.25%), reputation(-1,6.25%), efficiency(-1,6.25%),  </v>
      </c>
      <c r="AS126" s="27" t="str">
        <f t="shared" si="234"/>
        <v xml:space="preserve">enthusiasm(12.5),fun-ness(6.25),reputation(6.25),efficiency(6.25), </v>
      </c>
      <c r="AT126" s="14" t="str">
        <f t="shared" si="265"/>
        <v xml:space="preserve">enthusiasm(1)
network among members(3.1)
 </v>
      </c>
      <c r="AU126" s="14" t="str">
        <f t="shared" si="266"/>
        <v xml:space="preserve">enthusiasm(-1,25%),  </v>
      </c>
      <c r="AV126" s="14" t="str">
        <f t="shared" si="267"/>
        <v xml:space="preserve">enthusiasm(25)
 </v>
      </c>
      <c r="AW126" s="14" t="str">
        <f t="shared" si="268"/>
        <v xml:space="preserve">enthusiasm(1), attention to details(3.1), fun-ness(3.1), seriousness(3.1), initiative(2.1), leader(2.1), community manager(2.1), user rules and manuals(2.1), team building(2.1),  </v>
      </c>
      <c r="AX126" s="14" t="str">
        <f t="shared" si="269"/>
        <v xml:space="preserve">field knowledge(-1,6.25%), network among members(-1,6.25%), gifted assistant(-1,6.25%),  </v>
      </c>
      <c r="AY126" s="27" t="str">
        <f t="shared" si="234"/>
        <v xml:space="preserve">field knowledge(6.25),network among members(6.25),gifted assistant(6.25), </v>
      </c>
      <c r="AZ126" s="14" t="str">
        <f t="shared" si="271"/>
        <v xml:space="preserve"> </v>
      </c>
      <c r="BA126" s="14" t="str">
        <f t="shared" si="272"/>
        <v xml:space="preserve">enthusiasm(-1,12.5%), attention to details(1,12.5%), fun-ness(-1,12.5%), seriousness(1,12.5%), efficiency(-1,12.5%), user rules and manuals(1,25%),  </v>
      </c>
      <c r="BB126" s="14" t="str">
        <f t="shared" si="273"/>
        <v xml:space="preserve">enthusiasm(12.5)
attention to details(12.5)
fun-ness(12.5)
seriousness(12.5)
efficiency(12.5)
user rules and manuals(25)
 </v>
      </c>
      <c r="BC126" s="14" t="str">
        <f t="shared" si="274"/>
        <v xml:space="preserve">agility(1.1), attention to details(1.1), seriousness(1.1), community manager(1.1), administrator(1.1), user rules and manuals(2.1), organizational rules and manuals(2.1),  </v>
      </c>
      <c r="BD126" s="14" t="str">
        <f t="shared" si="275"/>
        <v xml:space="preserve">enthusiasm(-1,6.25%), reputation(-1,6.25%),  </v>
      </c>
      <c r="BE126" s="27" t="str">
        <f t="shared" si="234"/>
        <v xml:space="preserve">enthusiasm(6.25),reputation(6.25), </v>
      </c>
      <c r="BF126" s="14" t="str">
        <f t="shared" si="277"/>
        <v xml:space="preserve"> </v>
      </c>
      <c r="BG126" s="14" t="str">
        <f t="shared" si="278"/>
        <v xml:space="preserve">enthusiasm(-1,25%), enthusiasm(-1,25%), attention to details(1,25%), fun-ness(-1,25%), seriousness(1,25%), user rules and manuals(1,25%), organizational rules and manuals(1,25%),  </v>
      </c>
      <c r="BH126" s="14" t="str">
        <f t="shared" si="279"/>
        <v xml:space="preserve">enthusiasm(25)
enthusiasm(25)
attention to details(25)
fun-ness(25)
seriousness(25)
user rules and manuals(25)
organizational rules and manuals(25)
 </v>
      </c>
      <c r="BI126" s="14" t="str">
        <f t="shared" si="280"/>
        <v xml:space="preserve">enthusiasm(1), engineering knowledge(1.1), enthusiasm(1), fun-ness(1), seriousness(2.1), community manager(1.1), administrator(1.1),  </v>
      </c>
      <c r="BJ126" s="14" t="str">
        <f t="shared" si="281"/>
        <v xml:space="preserve">reputation(-1,6.25%), efficiency(-1,25%),  </v>
      </c>
      <c r="BK126" s="27" t="str">
        <f t="shared" si="234"/>
        <v xml:space="preserve">reputation(6.25),efficiency(25), </v>
      </c>
      <c r="BL126" s="14" t="str">
        <f t="shared" si="283"/>
        <v xml:space="preserve">local biz(1)
ease of access(1)
reputation(1)
aesthetics(1)
 </v>
      </c>
      <c r="BM126" s="14" t="str">
        <f t="shared" si="284"/>
        <v xml:space="preserve">biz enhancement(1,%),  </v>
      </c>
      <c r="BN126" s="14" t="str">
        <f t="shared" si="285"/>
        <v xml:space="preserve"> </v>
      </c>
      <c r="BO126" s="14" t="str">
        <f t="shared" si="286"/>
        <v xml:space="preserve">enthusiasm(1), 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6" s="14" t="str">
        <f t="shared" si="287"/>
        <v xml:space="preserve">local biz(1,6.25%),  </v>
      </c>
      <c r="BQ126" s="27" t="str">
        <f t="shared" si="234"/>
        <v xml:space="preserve">local biz(6.25), </v>
      </c>
      <c r="BR126" s="14" t="str">
        <f t="shared" si="289"/>
        <v xml:space="preserve">scale(1)
local biz(1)
ease of access(1)
reputation(1)
aesthetics(1)
 </v>
      </c>
      <c r="BS126" s="14" t="str">
        <f t="shared" si="290"/>
        <v xml:space="preserve">biz project(1,%),  </v>
      </c>
      <c r="BT126" s="14" t="str">
        <f t="shared" si="291"/>
        <v xml:space="preserve"> </v>
      </c>
      <c r="BU126" s="14" t="str">
        <f t="shared" si="292"/>
        <v xml:space="preserve">enthusiasm(1), 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6" s="14" t="str">
        <f t="shared" si="293"/>
        <v xml:space="preserve">local biz(1,6.25%),  </v>
      </c>
      <c r="BW126" s="27" t="str">
        <f t="shared" si="234"/>
        <v xml:space="preserve">local biz(6.25), </v>
      </c>
      <c r="BX126" s="14" t="str">
        <f t="shared" si="295"/>
        <v xml:space="preserve">enthusiasm(1)
local biz(1)
ease of access(1)
reputation(1)
aesthetics(1)
interaction(1)
 </v>
      </c>
      <c r="BY126" s="14" t="str">
        <f t="shared" si="296"/>
        <v xml:space="preserve">biz project(1,%),  </v>
      </c>
      <c r="BZ126" s="14" t="str">
        <f t="shared" si="297"/>
        <v xml:space="preserve"> </v>
      </c>
      <c r="CA126" s="14" t="str">
        <f t="shared" si="298"/>
        <v xml:space="preserve">enthusiasm(1), 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6" s="14" t="str">
        <f t="shared" si="299"/>
        <v xml:space="preserve">local biz(1,6.25%),  </v>
      </c>
      <c r="CC126" s="27" t="str">
        <f t="shared" si="300"/>
        <v xml:space="preserve">local biz(6.25), </v>
      </c>
      <c r="CD126" s="14" t="str">
        <f t="shared" si="301"/>
        <v xml:space="preserve">enthusiasm(1)
ease of access(1)
reputation(1)
aesthetics(1)
 </v>
      </c>
      <c r="CE126" s="14" t="str">
        <f t="shared" si="302"/>
        <v xml:space="preserve">biz project(1,%),  </v>
      </c>
      <c r="CF126" s="14" t="str">
        <f t="shared" si="303"/>
        <v xml:space="preserve"> </v>
      </c>
      <c r="CG126" s="14" t="str">
        <f t="shared" si="304"/>
        <v xml:space="preserve">enthusiasm(2), 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6" s="14" t="str">
        <f t="shared" si="305"/>
        <v xml:space="preserve">local biz(1,6.25%),  </v>
      </c>
      <c r="CI126" s="27" t="str">
        <f t="shared" si="300"/>
        <v xml:space="preserve">local biz(6.25), </v>
      </c>
      <c r="CJ126" s="14" t="str">
        <f t="shared" si="307"/>
        <v xml:space="preserve">ease of access(1)
reputation(1)
aesthetics(1)
 </v>
      </c>
      <c r="CK126" s="14" t="str">
        <f t="shared" si="308"/>
        <v xml:space="preserve">biz project(1,%),  </v>
      </c>
      <c r="CL126" s="14" t="str">
        <f t="shared" si="309"/>
        <v xml:space="preserve"> </v>
      </c>
      <c r="CM126" s="14" t="str">
        <f t="shared" si="310"/>
        <v xml:space="preserve">enthusiasm(1), 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6" s="14" t="str">
        <f t="shared" si="311"/>
        <v xml:space="preserve">local biz(1,6.25%),  </v>
      </c>
      <c r="CO126" s="27" t="str">
        <f t="shared" si="300"/>
        <v xml:space="preserve">local biz(6.25), </v>
      </c>
      <c r="CP126" s="14" t="str">
        <f t="shared" si="313"/>
        <v xml:space="preserve">enthusiasm(1)
learning capacities(1)
field knowledge(1)
local biz(1)
metal processing(1)
functions(1)
 </v>
      </c>
      <c r="CQ126" s="14" t="str">
        <f t="shared" si="314"/>
        <v xml:space="preserve">local biz(1,50%), biz enhancement(1,50%),  </v>
      </c>
      <c r="CR126" s="14" t="str">
        <f t="shared" si="315"/>
        <v xml:space="preserve">local biz(50)
biz enhancement(50)
 </v>
      </c>
      <c r="CS126" s="14" t="str">
        <f t="shared" si="316"/>
        <v xml:space="preserve">enthusiasm(2), 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6" s="14" t="str">
        <f t="shared" si="317"/>
        <v xml:space="preserve">reputation(1,6.25%),  </v>
      </c>
      <c r="CU126" s="27" t="str">
        <f t="shared" si="300"/>
        <v xml:space="preserve">reputation(6.25), </v>
      </c>
      <c r="CV126" s="14" t="str">
        <f t="shared" si="319"/>
        <v xml:space="preserve">enthusiasm(2)
learning capacities(1)
non-profits(1)
wood processing(1)
aesthetics(1)
interaction(1)
 </v>
      </c>
      <c r="CW126" s="14" t="str">
        <f t="shared" si="320"/>
        <v xml:space="preserve">non-profits(1,50%), social project(1,50%),  </v>
      </c>
      <c r="CX126" s="14" t="str">
        <f t="shared" si="321"/>
        <v xml:space="preserve">non-profits(50)
social project(50)
 </v>
      </c>
      <c r="CY126"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6" s="14" t="str">
        <f t="shared" si="323"/>
        <v xml:space="preserve">media(1,6.25%), reputation(1,6.25%), portfolio(1,6.25%),  </v>
      </c>
      <c r="DA126" s="27" t="str">
        <f t="shared" si="300"/>
        <v xml:space="preserve">media(6.25),reputation(6.25),portfolio(6.25), </v>
      </c>
      <c r="DB126" s="14" t="str">
        <f t="shared" si="325"/>
        <v xml:space="preserve">enthusiasm(2)
learning capacities(1)
non-profits(1)
aesthetics(1)
interaction(1)
 </v>
      </c>
      <c r="DC126" s="14" t="str">
        <f t="shared" si="326"/>
        <v xml:space="preserve">non-profits(1,50%), social project(1,50%),  </v>
      </c>
      <c r="DD126" s="14" t="str">
        <f t="shared" si="327"/>
        <v xml:space="preserve">non-profits(50)
social project(50)
 </v>
      </c>
      <c r="DE126" s="14" t="str">
        <f t="shared" si="328"/>
        <v xml:space="preserve">gifted programmer(1), gifted designer(1), scale(2), enthusiasm(4), agility(2), ambition(4), attention to details(2), fun-ness(2), administrator(2), ease of access(2), efficiency(3), VR&amp;AR(2),  </v>
      </c>
      <c r="DF126" s="14" t="str">
        <f t="shared" si="329"/>
        <v xml:space="preserve">media(1,6.25%), reputation(1,6.25%), portfolio(1,6.25%),  </v>
      </c>
      <c r="DG126" s="27" t="str">
        <f t="shared" si="300"/>
        <v xml:space="preserve">media(6.25),reputation(6.25),portfolio(6.25), </v>
      </c>
      <c r="DH126" s="14" t="str">
        <f t="shared" si="331"/>
        <v xml:space="preserve">enthusiasm(2)
scale(1)
wood processing(1)
aesthetics(1)
safety(1)
 </v>
      </c>
      <c r="DI126" s="14" t="str">
        <f t="shared" si="332"/>
        <v xml:space="preserve">social project(1,100%),  </v>
      </c>
      <c r="DJ126" s="14" t="str">
        <f t="shared" si="333"/>
        <v xml:space="preserve">social project(100)
 </v>
      </c>
      <c r="DK126" s="14" t="str">
        <f t="shared" si="334"/>
        <v xml:space="preserve">enthusiasm(2), 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6" s="14" t="str">
        <f t="shared" si="335"/>
        <v xml:space="preserve">enthusiasm(1,6.25%), network among members(1,6.25%), enthusiasm(1,6.25%), agility(1,6.25%), fun-ness(1,6.25%), reputation(1,6.25%), portfolio(1,6.25%), team building(1,6.25%),  </v>
      </c>
      <c r="DM126" s="27" t="str">
        <f t="shared" si="300"/>
        <v xml:space="preserve">enthusiasm(6.25),network among members(6.25),enthusiasm(6.25),agility(6.25),fun-ness(6.25),reputation(6.25),portfolio(6.25),team building(6.25), </v>
      </c>
      <c r="DN126"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26" s="14" t="str">
        <f t="shared" si="338"/>
        <v xml:space="preserve">reputation(1,25%), portfolio(1,50%),  </v>
      </c>
      <c r="DP126" s="14" t="str">
        <f t="shared" si="339"/>
        <v xml:space="preserve">reputation(25)
portfolio(50)
 </v>
      </c>
      <c r="DQ126"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6" s="14" t="str">
        <f t="shared" si="341"/>
        <v xml:space="preserve">suppliers(1,6.25%), reputation(1,6.25%),  </v>
      </c>
      <c r="DS126" s="27" t="str">
        <f t="shared" si="300"/>
        <v xml:space="preserve">suppliers(6.25),reputation(6.25), </v>
      </c>
      <c r="DT126" s="14" t="str">
        <f t="shared" si="343"/>
        <v xml:space="preserve">scale(2)
attention to details(2)
leader(1)
fame(1)
network(2)
reputation(3)
portfolio(2)
 </v>
      </c>
      <c r="DU126" s="14" t="str">
        <f t="shared" si="344"/>
        <v xml:space="preserve">fame(1,25%), govt(1,25%), non-profits(1,50%), reputation(1,25%),  </v>
      </c>
      <c r="DV126" s="14" t="str">
        <f t="shared" si="345"/>
        <v xml:space="preserve">fame(25)
govt(25)
non-profits(50)
reputation(25)
 </v>
      </c>
      <c r="DW126" s="14" t="str">
        <f t="shared" si="346"/>
        <v xml:space="preserve">enthusiasm(3), enthusiasm(3), ambition(2), attention to details(2), PR(1), administrator(1), social media(2),  </v>
      </c>
      <c r="DX126" s="14" t="str">
        <f t="shared" si="347"/>
        <v xml:space="preserve">ambition(1,6.25%), fame(1,6.25%), reputation(1,6.25%),  </v>
      </c>
      <c r="DY126" s="27" t="str">
        <f t="shared" si="300"/>
        <v xml:space="preserve">ambition(6.25),fame(6.25),reputation(6.25), </v>
      </c>
      <c r="DZ126" s="14" t="str">
        <f t="shared" si="349"/>
        <v xml:space="preserve"> </v>
      </c>
      <c r="EA126" s="14" t="str">
        <f t="shared" si="350"/>
        <v xml:space="preserve"> </v>
      </c>
      <c r="EB126" s="14" t="str">
        <f t="shared" si="351"/>
        <v xml:space="preserve"> </v>
      </c>
      <c r="EC126" s="14" t="str">
        <f t="shared" si="352"/>
        <v xml:space="preserve"> </v>
      </c>
      <c r="ED126" s="14" t="str">
        <f t="shared" si="353"/>
        <v xml:space="preserve"> </v>
      </c>
      <c r="EE126" s="27" t="str">
        <f t="shared" si="300"/>
        <v xml:space="preserve"> </v>
      </c>
      <c r="EF126" s="14" t="str">
        <f t="shared" si="355"/>
        <v xml:space="preserve"> </v>
      </c>
      <c r="EG126" s="14" t="str">
        <f t="shared" si="356"/>
        <v xml:space="preserve"> </v>
      </c>
      <c r="EH126" s="14" t="str">
        <f t="shared" si="357"/>
        <v xml:space="preserve"> </v>
      </c>
      <c r="EI126" s="14" t="str">
        <f t="shared" si="358"/>
        <v xml:space="preserve"> </v>
      </c>
      <c r="EJ126" s="14" t="str">
        <f t="shared" si="359"/>
        <v xml:space="preserve"> </v>
      </c>
      <c r="EK126" s="27" t="str">
        <f t="shared" si="300"/>
        <v xml:space="preserve"> </v>
      </c>
      <c r="EL126" s="14" t="str">
        <f t="shared" si="361"/>
        <v xml:space="preserve"> </v>
      </c>
      <c r="EM126" s="14" t="str">
        <f t="shared" si="362"/>
        <v xml:space="preserve"> </v>
      </c>
      <c r="EN126" s="14" t="str">
        <f t="shared" si="363"/>
        <v xml:space="preserve"> </v>
      </c>
      <c r="EO126" s="14" t="str">
        <f t="shared" si="364"/>
        <v xml:space="preserve"> </v>
      </c>
      <c r="EP126" s="14" t="str">
        <f t="shared" si="365"/>
        <v xml:space="preserve"> </v>
      </c>
      <c r="EQ126" s="27" t="str">
        <f t="shared" si="366"/>
        <v xml:space="preserve"> </v>
      </c>
      <c r="ER126" s="14" t="str">
        <f t="shared" si="367"/>
        <v xml:space="preserve"> </v>
      </c>
      <c r="ES126" s="14" t="str">
        <f t="shared" si="368"/>
        <v xml:space="preserve"> </v>
      </c>
      <c r="ET126" s="14" t="str">
        <f t="shared" si="369"/>
        <v xml:space="preserve"> </v>
      </c>
      <c r="EU126" s="14" t="str">
        <f t="shared" si="370"/>
        <v xml:space="preserve"> </v>
      </c>
      <c r="EV126" s="14" t="str">
        <f t="shared" si="371"/>
        <v xml:space="preserve"> </v>
      </c>
      <c r="EW126" s="27" t="str">
        <f t="shared" si="366"/>
        <v xml:space="preserve"> </v>
      </c>
      <c r="EX126" s="14" t="str">
        <f t="shared" si="373"/>
        <v xml:space="preserve"> </v>
      </c>
      <c r="EY126" s="14" t="str">
        <f t="shared" si="374"/>
        <v xml:space="preserve"> </v>
      </c>
      <c r="EZ126" s="14" t="str">
        <f t="shared" si="375"/>
        <v xml:space="preserve"> </v>
      </c>
      <c r="FA126" s="14" t="str">
        <f t="shared" si="376"/>
        <v xml:space="preserve"> </v>
      </c>
      <c r="FB126" s="14" t="str">
        <f t="shared" si="377"/>
        <v xml:space="preserve"> </v>
      </c>
      <c r="FC126" s="27" t="str">
        <f t="shared" si="366"/>
        <v xml:space="preserve"> </v>
      </c>
      <c r="FD126" s="14" t="str">
        <f t="shared" si="379"/>
        <v xml:space="preserve"> </v>
      </c>
      <c r="FE126" s="14" t="str">
        <f t="shared" si="380"/>
        <v xml:space="preserve"> </v>
      </c>
      <c r="FF126" s="14" t="str">
        <f t="shared" si="381"/>
        <v xml:space="preserve"> </v>
      </c>
      <c r="FG126" s="14" t="str">
        <f t="shared" si="382"/>
        <v xml:space="preserve"> </v>
      </c>
      <c r="FH126" s="14" t="str">
        <f t="shared" si="383"/>
        <v xml:space="preserve"> </v>
      </c>
      <c r="FI126" s="27" t="str">
        <f t="shared" si="366"/>
        <v xml:space="preserve"> </v>
      </c>
      <c r="FJ126" s="14" t="str">
        <f t="shared" si="385"/>
        <v xml:space="preserve"> </v>
      </c>
      <c r="FK126" s="14" t="str">
        <f t="shared" si="386"/>
        <v xml:space="preserve"> </v>
      </c>
      <c r="FL126" s="14" t="str">
        <f t="shared" si="387"/>
        <v xml:space="preserve"> </v>
      </c>
      <c r="FM126" s="14" t="str">
        <f t="shared" si="388"/>
        <v xml:space="preserve"> </v>
      </c>
      <c r="FN126" s="14" t="str">
        <f t="shared" si="389"/>
        <v xml:space="preserve"> </v>
      </c>
      <c r="FO126" s="27" t="str">
        <f t="shared" si="366"/>
        <v xml:space="preserve"> </v>
      </c>
      <c r="FP126" s="14" t="str">
        <f t="shared" si="391"/>
        <v xml:space="preserve"> </v>
      </c>
      <c r="FQ126" s="14" t="str">
        <f t="shared" si="392"/>
        <v xml:space="preserve"> </v>
      </c>
      <c r="FR126" s="14" t="str">
        <f t="shared" si="393"/>
        <v xml:space="preserve"> </v>
      </c>
      <c r="FS126" s="14" t="str">
        <f t="shared" si="394"/>
        <v xml:space="preserve"> </v>
      </c>
      <c r="FT126" s="14" t="str">
        <f t="shared" si="395"/>
        <v xml:space="preserve"> </v>
      </c>
      <c r="FU126" s="27" t="str">
        <f t="shared" si="366"/>
        <v xml:space="preserve"> </v>
      </c>
      <c r="FV126" s="14" t="str">
        <f t="shared" si="397"/>
        <v xml:space="preserve"> </v>
      </c>
      <c r="FW126" s="14" t="str">
        <f t="shared" si="398"/>
        <v xml:space="preserve"> </v>
      </c>
      <c r="FX126" s="14" t="str">
        <f t="shared" si="399"/>
        <v xml:space="preserve"> </v>
      </c>
      <c r="FY126" s="14" t="str">
        <f t="shared" si="400"/>
        <v xml:space="preserve"> </v>
      </c>
      <c r="FZ126" s="14" t="str">
        <f t="shared" si="401"/>
        <v xml:space="preserve"> </v>
      </c>
      <c r="GA126" s="27" t="str">
        <f t="shared" si="366"/>
        <v xml:space="preserve"> </v>
      </c>
      <c r="GB126" s="14" t="str">
        <f t="shared" si="403"/>
        <v xml:space="preserve"> </v>
      </c>
      <c r="GC126" s="14" t="str">
        <f t="shared" si="404"/>
        <v xml:space="preserve"> </v>
      </c>
      <c r="GD126" s="14" t="str">
        <f t="shared" si="405"/>
        <v xml:space="preserve"> </v>
      </c>
      <c r="GE126" s="14" t="str">
        <f t="shared" si="406"/>
        <v xml:space="preserve"> </v>
      </c>
      <c r="GF126" s="14" t="str">
        <f t="shared" si="407"/>
        <v xml:space="preserve"> </v>
      </c>
      <c r="GG126" s="27" t="str">
        <f t="shared" si="366"/>
        <v xml:space="preserve"> </v>
      </c>
      <c r="GH126" s="14" t="str">
        <f t="shared" si="409"/>
        <v xml:space="preserve"> </v>
      </c>
      <c r="GI126" s="14" t="str">
        <f t="shared" si="410"/>
        <v xml:space="preserve"> </v>
      </c>
      <c r="GJ126" s="14" t="str">
        <f t="shared" si="411"/>
        <v xml:space="preserve"> </v>
      </c>
      <c r="GK126" s="14" t="str">
        <f t="shared" si="412"/>
        <v xml:space="preserve"> </v>
      </c>
      <c r="GL126" s="14" t="str">
        <f t="shared" si="413"/>
        <v xml:space="preserve"> </v>
      </c>
      <c r="GM126" s="27" t="str">
        <f t="shared" si="366"/>
        <v xml:space="preserve"> </v>
      </c>
      <c r="GN126" s="14" t="str">
        <f t="shared" si="415"/>
        <v xml:space="preserve"> </v>
      </c>
      <c r="GO126" s="14" t="str">
        <f t="shared" si="416"/>
        <v xml:space="preserve"> </v>
      </c>
      <c r="GP126" s="14" t="str">
        <f t="shared" si="417"/>
        <v xml:space="preserve"> </v>
      </c>
      <c r="GQ126" s="14" t="str">
        <f t="shared" si="418"/>
        <v xml:space="preserve"> </v>
      </c>
      <c r="GR126" s="14" t="str">
        <f t="shared" si="419"/>
        <v xml:space="preserve"> </v>
      </c>
      <c r="GS126" s="27" t="str">
        <f t="shared" si="366"/>
        <v xml:space="preserve"> </v>
      </c>
      <c r="GT126" s="14" t="str">
        <f t="shared" si="421"/>
        <v xml:space="preserve"> </v>
      </c>
      <c r="GU126" s="14" t="str">
        <f t="shared" si="422"/>
        <v xml:space="preserve"> </v>
      </c>
      <c r="GV126" s="14" t="str">
        <f t="shared" si="423"/>
        <v xml:space="preserve"> </v>
      </c>
      <c r="GW126" s="14" t="str">
        <f t="shared" si="424"/>
        <v xml:space="preserve"> </v>
      </c>
      <c r="GX126" s="14" t="str">
        <f t="shared" si="425"/>
        <v xml:space="preserve"> </v>
      </c>
      <c r="GY126" s="27" t="str">
        <f t="shared" si="366"/>
        <v xml:space="preserve"> </v>
      </c>
      <c r="GZ126" s="14" t="str">
        <f t="shared" si="427"/>
        <v xml:space="preserve"> </v>
      </c>
      <c r="HA126" s="14" t="str">
        <f t="shared" si="428"/>
        <v xml:space="preserve"> </v>
      </c>
      <c r="HB126" s="14" t="str">
        <f t="shared" si="429"/>
        <v xml:space="preserve"> </v>
      </c>
      <c r="HC126" s="14" t="str">
        <f t="shared" si="430"/>
        <v xml:space="preserve"> </v>
      </c>
      <c r="HD126" s="14" t="str">
        <f t="shared" si="431"/>
        <v xml:space="preserve"> </v>
      </c>
      <c r="HE126" s="27" t="str">
        <f t="shared" si="432"/>
        <v xml:space="preserve"> </v>
      </c>
      <c r="HF126" s="14" t="str">
        <f t="shared" si="433"/>
        <v xml:space="preserve"> </v>
      </c>
      <c r="HG126" s="14" t="str">
        <f t="shared" si="434"/>
        <v xml:space="preserve"> </v>
      </c>
      <c r="HH126" s="14" t="str">
        <f t="shared" si="435"/>
        <v xml:space="preserve"> </v>
      </c>
      <c r="HI126" s="14" t="str">
        <f t="shared" si="436"/>
        <v xml:space="preserve"> </v>
      </c>
      <c r="HJ126" s="14" t="str">
        <f t="shared" si="437"/>
        <v xml:space="preserve"> </v>
      </c>
      <c r="HK126" s="27" t="str">
        <f t="shared" si="432"/>
        <v xml:space="preserve"> </v>
      </c>
      <c r="HL126" s="14" t="str">
        <f t="shared" si="439"/>
        <v xml:space="preserve"> </v>
      </c>
      <c r="HM126" s="14" t="str">
        <f t="shared" si="440"/>
        <v xml:space="preserve"> </v>
      </c>
      <c r="HN126" s="14" t="str">
        <f t="shared" si="441"/>
        <v xml:space="preserve"> </v>
      </c>
      <c r="HO126" s="14" t="str">
        <f t="shared" si="442"/>
        <v xml:space="preserve"> </v>
      </c>
      <c r="HP126" s="14" t="str">
        <f t="shared" si="443"/>
        <v xml:space="preserve"> </v>
      </c>
      <c r="HQ126" s="27" t="str">
        <f t="shared" si="432"/>
        <v xml:space="preserve"> </v>
      </c>
    </row>
    <row r="127" spans="1:225" ht="15.75" customHeight="1">
      <c r="A127" s="7">
        <f t="shared" ref="A127:C127" si="476">A19</f>
        <v>0</v>
      </c>
      <c r="B127" s="7">
        <f t="shared" si="476"/>
        <v>0</v>
      </c>
      <c r="C127" s="7" t="str">
        <f t="shared" si="476"/>
        <v>learning capacities</v>
      </c>
      <c r="D127" s="14" t="str">
        <f t="shared" si="446"/>
        <v xml:space="preserve"> </v>
      </c>
      <c r="E127" s="14" t="str">
        <f t="shared" si="447"/>
        <v xml:space="preserve"> </v>
      </c>
      <c r="F127" s="14" t="str">
        <f t="shared" si="448"/>
        <v xml:space="preserve"> </v>
      </c>
      <c r="G127" s="14" t="str">
        <f t="shared" si="449"/>
        <v xml:space="preserve">attention to details(1.1), efficiency(1), user rules and manuals(2.1), organizational rules and manuals(2.1),  </v>
      </c>
      <c r="H127" s="14" t="str">
        <f t="shared" si="450"/>
        <v xml:space="preserve">efficiency(-1,6.25%),  </v>
      </c>
      <c r="I127" s="27" t="str">
        <f t="shared" ref="I127" si="477">IF(I19="",I128,$C127&amp;"("&amp;I19&amp;"),"&amp;I128)</f>
        <v xml:space="preserve">efficiency(6.25), </v>
      </c>
      <c r="J127" s="14" t="str">
        <f t="shared" si="229"/>
        <v xml:space="preserve">scale(1)
enthusiasm(1)
 </v>
      </c>
      <c r="K127" s="14" t="str">
        <f t="shared" si="230"/>
        <v xml:space="preserve">scale(-1,12.5%), enthusiasm(-1,25%),  </v>
      </c>
      <c r="L127" s="14" t="str">
        <f t="shared" si="231"/>
        <v xml:space="preserve">scale(12.5)
enthusiasm(25)
 </v>
      </c>
      <c r="M127" s="14" t="str">
        <f t="shared" si="232"/>
        <v xml:space="preserve">scale(1.1), efficiency(0.1), organizational rules and manuals(1.1),  </v>
      </c>
      <c r="N127" s="14" t="str">
        <f t="shared" si="233"/>
        <v xml:space="preserve">agility(-1,6.75%), ambition(-1,6.75%), fun-ness(-1,6.75%), initiative(-1,6.75%),  </v>
      </c>
      <c r="O127" s="27" t="str">
        <f t="shared" si="234"/>
        <v xml:space="preserve">agility(6.75),ambition(6.75),fun-ness(6.75),initiative(6.75), </v>
      </c>
      <c r="P127" s="14" t="str">
        <f t="shared" si="235"/>
        <v xml:space="preserve"> </v>
      </c>
      <c r="Q127" s="14" t="str">
        <f t="shared" si="236"/>
        <v xml:space="preserve">gifted leader(-1,25%), gifted programmer(-1,25%), gifted designer(-1,25%),  </v>
      </c>
      <c r="R127" s="14" t="str">
        <f t="shared" si="237"/>
        <v xml:space="preserve">gifted leader(25)
gifted programmer(25)
gifted designer(25)
 </v>
      </c>
      <c r="S127" s="14" t="str">
        <f t="shared" si="238"/>
        <v xml:space="preserve">network among members(0.1), gifted leader(1), gifted programmer(1), gifted designer(1), ambition(1), attention to details(0.1), community manager(0.1), team building(0.1),  </v>
      </c>
      <c r="T127" s="14" t="str">
        <f t="shared" si="239"/>
        <v xml:space="preserve">ambition(-1,%), business model(-1,6.25%), web(-1,6.25%), mobile apps(-1,6.25%), aesthetics(-1,6.25%),  </v>
      </c>
      <c r="U127" s="27" t="str">
        <f t="shared" si="234"/>
        <v xml:space="preserve">business model(6.25),web(6.25),mobile apps(6.25),aesthetics(6.25), </v>
      </c>
      <c r="V127" s="14" t="str">
        <f t="shared" si="241"/>
        <v xml:space="preserve">scale(1)
 </v>
      </c>
      <c r="W127" s="14" t="str">
        <f t="shared" si="242"/>
        <v xml:space="preserve">enthusiasm(-1,25%), efficiency(-1,25%),  </v>
      </c>
      <c r="X127" s="14" t="str">
        <f t="shared" si="243"/>
        <v xml:space="preserve">enthusiasm(25)
efficiency(25)
 </v>
      </c>
      <c r="Y127" s="14" t="str">
        <f t="shared" si="244"/>
        <v xml:space="preserve">community manager(0.1), administrator(0.1), spaciousness(1), ease of access(3), reputation(2), user rules and manuals(0.1), project management(0.1), negotiation(0.1),  </v>
      </c>
      <c r="Z127" s="14" t="str">
        <f t="shared" si="245"/>
        <v xml:space="preserve">reputation(-1,%),  </v>
      </c>
      <c r="AA127" s="27" t="str">
        <f t="shared" si="234"/>
        <v xml:space="preserve"> </v>
      </c>
      <c r="AB127" s="14" t="str">
        <f t="shared" si="247"/>
        <v xml:space="preserve"> </v>
      </c>
      <c r="AC127" s="14" t="str">
        <f t="shared" si="248"/>
        <v xml:space="preserve"> </v>
      </c>
      <c r="AD127" s="14" t="str">
        <f t="shared" si="249"/>
        <v xml:space="preserve"> </v>
      </c>
      <c r="AE127" s="14" t="str">
        <f t="shared" si="250"/>
        <v xml:space="preserve">network among members(0.1), scale(1.1), attention to details(0.1), seriousness(0.1), initiative(0.1), spaciousness(1), user rules and manuals(1.1), organizational rules and manuals(1.1),  </v>
      </c>
      <c r="AF127" s="14" t="str">
        <f t="shared" si="251"/>
        <v xml:space="preserve">enthusiasm(-1,%), local biz(-1,6.25%), investors(-1,6.25%), non-profits(-1,6.25%), efficiency(-1,6.25%),  </v>
      </c>
      <c r="AG127" s="27" t="str">
        <f t="shared" si="234"/>
        <v xml:space="preserve">local biz(6.25),investors(6.25),non-profits(6.25),efficiency(6.25), </v>
      </c>
      <c r="AH127" s="14" t="str">
        <f t="shared" si="253"/>
        <v xml:space="preserve">fun-ness(1)
ease of access(1)
reputation(1)
 </v>
      </c>
      <c r="AI127" s="14" t="str">
        <f t="shared" si="254"/>
        <v xml:space="preserve"> </v>
      </c>
      <c r="AJ127" s="14" t="str">
        <f t="shared" si="255"/>
        <v xml:space="preserve"> </v>
      </c>
      <c r="AK127" s="14" t="str">
        <f t="shared" si="256"/>
        <v xml:space="preserve">scale(3.1), attention to details(2.1), seriousness(2.1), community manager(2.1), administrator(2.1), spaciousness(1), ease of access(1), reputation(2), user rules and manuals(2.1), organizational rules and manuals(2.1), law(1.1), negotiation(1.1),  </v>
      </c>
      <c r="AL127" s="14" t="str">
        <f t="shared" si="257"/>
        <v xml:space="preserve">govt(-1,6.25%), non-profits(-1,6.25%), reputation(-1,6.25%),  </v>
      </c>
      <c r="AM127" s="27" t="str">
        <f t="shared" si="234"/>
        <v xml:space="preserve">govt(6.25),non-profits(6.25),reputation(6.25), </v>
      </c>
      <c r="AN127" s="14" t="str">
        <f t="shared" si="259"/>
        <v xml:space="preserve">scale(1)
fun-ness(1)
seriousness(1)
 </v>
      </c>
      <c r="AO127" s="14" t="str">
        <f t="shared" si="260"/>
        <v xml:space="preserve">enthusiasm(-1,25%),  </v>
      </c>
      <c r="AP127" s="14" t="str">
        <f t="shared" si="261"/>
        <v xml:space="preserve">enthusiasm(25)
 </v>
      </c>
      <c r="AQ127" s="14" t="str">
        <f t="shared" si="262"/>
        <v xml:space="preserve">scale(1), fun-ness(1), spaciousness(2.1), reputation(3), organizational rules and manuals(2.1), team building(2.1),  </v>
      </c>
      <c r="AR127" s="14" t="str">
        <f t="shared" si="263"/>
        <v xml:space="preserve">enthusiasm(-1,12.5%), fun-ness(-1,6.25%), reputation(-1,6.25%), efficiency(-1,6.25%),  </v>
      </c>
      <c r="AS127" s="27" t="str">
        <f t="shared" si="234"/>
        <v xml:space="preserve">enthusiasm(12.5),fun-ness(6.25),reputation(6.25),efficiency(6.25), </v>
      </c>
      <c r="AT127" s="14" t="str">
        <f t="shared" si="265"/>
        <v xml:space="preserve">network among members(3.1)
 </v>
      </c>
      <c r="AU127" s="14" t="str">
        <f t="shared" si="266"/>
        <v xml:space="preserve"> </v>
      </c>
      <c r="AV127" s="14" t="str">
        <f t="shared" si="267"/>
        <v xml:space="preserve"> </v>
      </c>
      <c r="AW127" s="14" t="str">
        <f t="shared" si="268"/>
        <v xml:space="preserve">attention to details(3.1), fun-ness(3.1), seriousness(3.1), initiative(2.1), leader(2.1), community manager(2.1), user rules and manuals(2.1), team building(2.1),  </v>
      </c>
      <c r="AX127" s="14" t="str">
        <f t="shared" si="269"/>
        <v xml:space="preserve">field knowledge(-1,6.25%), network among members(-1,6.25%), gifted assistant(-1,6.25%),  </v>
      </c>
      <c r="AY127" s="27" t="str">
        <f t="shared" si="234"/>
        <v xml:space="preserve">field knowledge(6.25),network among members(6.25),gifted assistant(6.25), </v>
      </c>
      <c r="AZ127" s="14" t="str">
        <f t="shared" si="271"/>
        <v xml:space="preserve"> </v>
      </c>
      <c r="BA127" s="14" t="str">
        <f t="shared" si="272"/>
        <v xml:space="preserve">attention to details(1,12.5%), fun-ness(-1,12.5%), seriousness(1,12.5%), efficiency(-1,12.5%), user rules and manuals(1,25%),  </v>
      </c>
      <c r="BB127" s="14" t="str">
        <f t="shared" si="273"/>
        <v xml:space="preserve">attention to details(12.5)
fun-ness(12.5)
seriousness(12.5)
efficiency(12.5)
user rules and manuals(25)
 </v>
      </c>
      <c r="BC127" s="14" t="str">
        <f t="shared" si="274"/>
        <v xml:space="preserve">agility(1.1), attention to details(1.1), seriousness(1.1), community manager(1.1), administrator(1.1), user rules and manuals(2.1), organizational rules and manuals(2.1),  </v>
      </c>
      <c r="BD127" s="14" t="str">
        <f t="shared" si="275"/>
        <v xml:space="preserve">enthusiasm(-1,6.25%), reputation(-1,6.25%),  </v>
      </c>
      <c r="BE127" s="27" t="str">
        <f t="shared" si="234"/>
        <v xml:space="preserve">enthusiasm(6.25),reputation(6.25), </v>
      </c>
      <c r="BF127" s="14" t="str">
        <f t="shared" si="277"/>
        <v xml:space="preserve"> </v>
      </c>
      <c r="BG127" s="14" t="str">
        <f t="shared" si="278"/>
        <v xml:space="preserve">enthusiasm(-1,25%), attention to details(1,25%), fun-ness(-1,25%), seriousness(1,25%), user rules and manuals(1,25%), organizational rules and manuals(1,25%),  </v>
      </c>
      <c r="BH127" s="14" t="str">
        <f t="shared" si="279"/>
        <v xml:space="preserve">enthusiasm(25)
attention to details(25)
fun-ness(25)
seriousness(25)
user rules and manuals(25)
organizational rules and manuals(25)
 </v>
      </c>
      <c r="BI127" s="14" t="str">
        <f t="shared" si="280"/>
        <v xml:space="preserve">engineering knowledge(1.1), enthusiasm(1), fun-ness(1), seriousness(2.1), community manager(1.1), administrator(1.1),  </v>
      </c>
      <c r="BJ127" s="14" t="str">
        <f t="shared" si="281"/>
        <v xml:space="preserve">reputation(-1,6.25%), efficiency(-1,25%),  </v>
      </c>
      <c r="BK127" s="27" t="str">
        <f t="shared" si="234"/>
        <v xml:space="preserve">reputation(6.25),efficiency(25), </v>
      </c>
      <c r="BL127" s="14" t="str">
        <f t="shared" si="283"/>
        <v xml:space="preserve">local biz(1)
ease of access(1)
reputation(1)
aesthetics(1)
 </v>
      </c>
      <c r="BM127" s="14" t="str">
        <f t="shared" si="284"/>
        <v xml:space="preserve">biz enhancement(1,%),  </v>
      </c>
      <c r="BN127" s="14" t="str">
        <f t="shared" si="285"/>
        <v xml:space="preserve"> </v>
      </c>
      <c r="BO127" s="14" t="str">
        <f t="shared" si="286"/>
        <v xml:space="preserve">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7" s="14" t="str">
        <f t="shared" si="287"/>
        <v xml:space="preserve">local biz(1,6.25%),  </v>
      </c>
      <c r="BQ127" s="27" t="str">
        <f t="shared" si="234"/>
        <v xml:space="preserve">local biz(6.25), </v>
      </c>
      <c r="BR127" s="14" t="str">
        <f t="shared" si="289"/>
        <v xml:space="preserve">scale(1)
local biz(1)
ease of access(1)
reputation(1)
aesthetics(1)
 </v>
      </c>
      <c r="BS127" s="14" t="str">
        <f t="shared" si="290"/>
        <v xml:space="preserve">biz project(1,%),  </v>
      </c>
      <c r="BT127" s="14" t="str">
        <f t="shared" si="291"/>
        <v xml:space="preserve"> </v>
      </c>
      <c r="BU127" s="14" t="str">
        <f t="shared" si="292"/>
        <v xml:space="preserve">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7" s="14" t="str">
        <f t="shared" si="293"/>
        <v xml:space="preserve">local biz(1,6.25%),  </v>
      </c>
      <c r="BW127" s="27" t="str">
        <f t="shared" si="234"/>
        <v xml:space="preserve">local biz(6.25), </v>
      </c>
      <c r="BX127" s="14" t="str">
        <f t="shared" si="295"/>
        <v xml:space="preserve">local biz(1)
ease of access(1)
reputation(1)
aesthetics(1)
interaction(1)
 </v>
      </c>
      <c r="BY127" s="14" t="str">
        <f t="shared" si="296"/>
        <v xml:space="preserve">biz project(1,%),  </v>
      </c>
      <c r="BZ127" s="14" t="str">
        <f t="shared" si="297"/>
        <v xml:space="preserve"> </v>
      </c>
      <c r="CA127" s="14" t="str">
        <f t="shared" si="298"/>
        <v xml:space="preserve">learning capacities(1), 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7" s="14" t="str">
        <f t="shared" si="299"/>
        <v xml:space="preserve">local biz(1,6.25%),  </v>
      </c>
      <c r="CC127" s="27" t="str">
        <f t="shared" si="300"/>
        <v xml:space="preserve">local biz(6.25), </v>
      </c>
      <c r="CD127" s="14" t="str">
        <f t="shared" si="301"/>
        <v xml:space="preserve">ease of access(1)
reputation(1)
aesthetics(1)
 </v>
      </c>
      <c r="CE127" s="14" t="str">
        <f t="shared" si="302"/>
        <v xml:space="preserve">biz project(1,%),  </v>
      </c>
      <c r="CF127" s="14" t="str">
        <f t="shared" si="303"/>
        <v xml:space="preserve"> </v>
      </c>
      <c r="CG127" s="14" t="str">
        <f t="shared" si="304"/>
        <v xml:space="preserve">learning capacities(2), 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7" s="14" t="str">
        <f t="shared" si="305"/>
        <v xml:space="preserve">local biz(1,6.25%),  </v>
      </c>
      <c r="CI127" s="27" t="str">
        <f t="shared" si="300"/>
        <v xml:space="preserve">local biz(6.25), </v>
      </c>
      <c r="CJ127" s="14" t="str">
        <f t="shared" si="307"/>
        <v xml:space="preserve">ease of access(1)
reputation(1)
aesthetics(1)
 </v>
      </c>
      <c r="CK127" s="14" t="str">
        <f t="shared" si="308"/>
        <v xml:space="preserve">biz project(1,%),  </v>
      </c>
      <c r="CL127" s="14" t="str">
        <f t="shared" si="309"/>
        <v xml:space="preserve"> </v>
      </c>
      <c r="CM127" s="14" t="str">
        <f t="shared" si="310"/>
        <v xml:space="preserve">learning capacities(2), 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7" s="14" t="str">
        <f t="shared" si="311"/>
        <v xml:space="preserve">local biz(1,6.25%),  </v>
      </c>
      <c r="CO127" s="27" t="str">
        <f t="shared" si="300"/>
        <v xml:space="preserve">local biz(6.25), </v>
      </c>
      <c r="CP127" s="14" t="str">
        <f t="shared" si="313"/>
        <v xml:space="preserve">learning capacities(1)
field knowledge(1)
local biz(1)
metal processing(1)
functions(1)
 </v>
      </c>
      <c r="CQ127" s="14" t="str">
        <f t="shared" si="314"/>
        <v xml:space="preserve">local biz(1,50%), biz enhancement(1,50%),  </v>
      </c>
      <c r="CR127" s="14" t="str">
        <f t="shared" si="315"/>
        <v xml:space="preserve">local biz(50)
biz enhancement(50)
 </v>
      </c>
      <c r="CS127" s="14" t="str">
        <f t="shared" si="316"/>
        <v xml:space="preserve">learning capacities(2), field knowledge(2), network among members(1), gifted leader(1), gifted designer(1), enthusiasm(1), agility(2), attention to details(2), initiative(1), community manager(1), ease of access(2), reputation(3), efficiency(2), metal processing(2), electronics(2), aesthetics(2), functions(2), safety(2),  </v>
      </c>
      <c r="CT127" s="14" t="str">
        <f t="shared" si="317"/>
        <v xml:space="preserve">reputation(1,6.25%),  </v>
      </c>
      <c r="CU127" s="27" t="str">
        <f t="shared" si="300"/>
        <v xml:space="preserve">reputation(6.25), </v>
      </c>
      <c r="CV127" s="14" t="str">
        <f t="shared" si="319"/>
        <v xml:space="preserve">learning capacities(1)
non-profits(1)
wood processing(1)
aesthetics(1)
interaction(1)
 </v>
      </c>
      <c r="CW127" s="14" t="str">
        <f t="shared" si="320"/>
        <v xml:space="preserve">non-profits(1,50%), social project(1,50%),  </v>
      </c>
      <c r="CX127" s="14" t="str">
        <f t="shared" si="321"/>
        <v xml:space="preserve">non-profits(50)
social project(50)
 </v>
      </c>
      <c r="CY127"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7" s="14" t="str">
        <f t="shared" si="323"/>
        <v xml:space="preserve">media(1,6.25%), reputation(1,6.25%), portfolio(1,6.25%),  </v>
      </c>
      <c r="DA127" s="27" t="str">
        <f t="shared" si="300"/>
        <v xml:space="preserve">media(6.25),reputation(6.25),portfolio(6.25), </v>
      </c>
      <c r="DB127" s="14" t="str">
        <f t="shared" si="325"/>
        <v xml:space="preserve">learning capacities(1)
non-profits(1)
aesthetics(1)
interaction(1)
 </v>
      </c>
      <c r="DC127" s="14" t="str">
        <f t="shared" si="326"/>
        <v xml:space="preserve">non-profits(1,50%), social project(1,50%),  </v>
      </c>
      <c r="DD127" s="14" t="str">
        <f t="shared" si="327"/>
        <v xml:space="preserve">non-profits(50)
social project(50)
 </v>
      </c>
      <c r="DE127" s="14" t="str">
        <f t="shared" si="328"/>
        <v xml:space="preserve">gifted programmer(1), gifted designer(1), scale(2), enthusiasm(4), agility(2), ambition(4), attention to details(2), fun-ness(2), administrator(2), ease of access(2), efficiency(3), VR&amp;AR(2),  </v>
      </c>
      <c r="DF127" s="14" t="str">
        <f t="shared" si="329"/>
        <v xml:space="preserve">media(1,6.25%), reputation(1,6.25%), portfolio(1,6.25%),  </v>
      </c>
      <c r="DG127" s="27" t="str">
        <f t="shared" si="300"/>
        <v xml:space="preserve">media(6.25),reputation(6.25),portfolio(6.25), </v>
      </c>
      <c r="DH127" s="14" t="str">
        <f t="shared" si="331"/>
        <v xml:space="preserve">scale(1)
wood processing(1)
aesthetics(1)
safety(1)
 </v>
      </c>
      <c r="DI127" s="14" t="str">
        <f t="shared" si="332"/>
        <v xml:space="preserve">social project(1,100%),  </v>
      </c>
      <c r="DJ127" s="14" t="str">
        <f t="shared" si="333"/>
        <v xml:space="preserve">social project(100)
 </v>
      </c>
      <c r="DK127" s="14" t="str">
        <f t="shared" si="334"/>
        <v xml:space="preserve">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7" s="14" t="str">
        <f t="shared" si="335"/>
        <v xml:space="preserve">network among members(1,6.25%), enthusiasm(1,6.25%), agility(1,6.25%), fun-ness(1,6.25%), reputation(1,6.25%), portfolio(1,6.25%), team building(1,6.25%),  </v>
      </c>
      <c r="DM127" s="27" t="str">
        <f t="shared" si="300"/>
        <v xml:space="preserve">network among members(6.25),enthusiasm(6.25),agility(6.25),fun-ness(6.25),reputation(6.25),portfolio(6.25),team building(6.25), </v>
      </c>
      <c r="DN127"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27" s="14" t="str">
        <f t="shared" si="338"/>
        <v xml:space="preserve">reputation(1,25%), portfolio(1,50%),  </v>
      </c>
      <c r="DP127" s="14" t="str">
        <f t="shared" si="339"/>
        <v xml:space="preserve">reputation(25)
portfolio(50)
 </v>
      </c>
      <c r="DQ127"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7" s="14" t="str">
        <f t="shared" si="341"/>
        <v xml:space="preserve">suppliers(1,6.25%), reputation(1,6.25%),  </v>
      </c>
      <c r="DS127" s="27" t="str">
        <f t="shared" si="300"/>
        <v xml:space="preserve">suppliers(6.25),reputation(6.25), </v>
      </c>
      <c r="DT127" s="14" t="str">
        <f t="shared" si="343"/>
        <v xml:space="preserve">scale(2)
attention to details(2)
leader(1)
fame(1)
network(2)
reputation(3)
portfolio(2)
 </v>
      </c>
      <c r="DU127" s="14" t="str">
        <f t="shared" si="344"/>
        <v xml:space="preserve">fame(1,25%), govt(1,25%), non-profits(1,50%), reputation(1,25%),  </v>
      </c>
      <c r="DV127" s="14" t="str">
        <f t="shared" si="345"/>
        <v xml:space="preserve">fame(25)
govt(25)
non-profits(50)
reputation(25)
 </v>
      </c>
      <c r="DW127" s="14" t="str">
        <f t="shared" si="346"/>
        <v xml:space="preserve">enthusiasm(3), ambition(2), attention to details(2), PR(1), administrator(1), social media(2),  </v>
      </c>
      <c r="DX127" s="14" t="str">
        <f t="shared" si="347"/>
        <v xml:space="preserve">ambition(1,6.25%), fame(1,6.25%), reputation(1,6.25%),  </v>
      </c>
      <c r="DY127" s="27" t="str">
        <f t="shared" si="300"/>
        <v xml:space="preserve">ambition(6.25),fame(6.25),reputation(6.25), </v>
      </c>
      <c r="DZ127" s="14" t="str">
        <f t="shared" si="349"/>
        <v xml:space="preserve"> </v>
      </c>
      <c r="EA127" s="14" t="str">
        <f t="shared" si="350"/>
        <v xml:space="preserve"> </v>
      </c>
      <c r="EB127" s="14" t="str">
        <f t="shared" si="351"/>
        <v xml:space="preserve"> </v>
      </c>
      <c r="EC127" s="14" t="str">
        <f t="shared" si="352"/>
        <v xml:space="preserve"> </v>
      </c>
      <c r="ED127" s="14" t="str">
        <f t="shared" si="353"/>
        <v xml:space="preserve"> </v>
      </c>
      <c r="EE127" s="27" t="str">
        <f t="shared" si="300"/>
        <v xml:space="preserve"> </v>
      </c>
      <c r="EF127" s="14" t="str">
        <f t="shared" si="355"/>
        <v xml:space="preserve"> </v>
      </c>
      <c r="EG127" s="14" t="str">
        <f t="shared" si="356"/>
        <v xml:space="preserve"> </v>
      </c>
      <c r="EH127" s="14" t="str">
        <f t="shared" si="357"/>
        <v xml:space="preserve"> </v>
      </c>
      <c r="EI127" s="14" t="str">
        <f t="shared" si="358"/>
        <v xml:space="preserve"> </v>
      </c>
      <c r="EJ127" s="14" t="str">
        <f t="shared" si="359"/>
        <v xml:space="preserve"> </v>
      </c>
      <c r="EK127" s="27" t="str">
        <f t="shared" si="300"/>
        <v xml:space="preserve"> </v>
      </c>
      <c r="EL127" s="14" t="str">
        <f t="shared" si="361"/>
        <v xml:space="preserve"> </v>
      </c>
      <c r="EM127" s="14" t="str">
        <f t="shared" si="362"/>
        <v xml:space="preserve"> </v>
      </c>
      <c r="EN127" s="14" t="str">
        <f t="shared" si="363"/>
        <v xml:space="preserve"> </v>
      </c>
      <c r="EO127" s="14" t="str">
        <f t="shared" si="364"/>
        <v xml:space="preserve"> </v>
      </c>
      <c r="EP127" s="14" t="str">
        <f t="shared" si="365"/>
        <v xml:space="preserve"> </v>
      </c>
      <c r="EQ127" s="27" t="str">
        <f t="shared" si="366"/>
        <v xml:space="preserve"> </v>
      </c>
      <c r="ER127" s="14" t="str">
        <f t="shared" si="367"/>
        <v xml:space="preserve"> </v>
      </c>
      <c r="ES127" s="14" t="str">
        <f t="shared" si="368"/>
        <v xml:space="preserve"> </v>
      </c>
      <c r="ET127" s="14" t="str">
        <f t="shared" si="369"/>
        <v xml:space="preserve"> </v>
      </c>
      <c r="EU127" s="14" t="str">
        <f t="shared" si="370"/>
        <v xml:space="preserve"> </v>
      </c>
      <c r="EV127" s="14" t="str">
        <f t="shared" si="371"/>
        <v xml:space="preserve"> </v>
      </c>
      <c r="EW127" s="27" t="str">
        <f t="shared" si="366"/>
        <v xml:space="preserve"> </v>
      </c>
      <c r="EX127" s="14" t="str">
        <f t="shared" si="373"/>
        <v xml:space="preserve"> </v>
      </c>
      <c r="EY127" s="14" t="str">
        <f t="shared" si="374"/>
        <v xml:space="preserve"> </v>
      </c>
      <c r="EZ127" s="14" t="str">
        <f t="shared" si="375"/>
        <v xml:space="preserve"> </v>
      </c>
      <c r="FA127" s="14" t="str">
        <f t="shared" si="376"/>
        <v xml:space="preserve"> </v>
      </c>
      <c r="FB127" s="14" t="str">
        <f t="shared" si="377"/>
        <v xml:space="preserve"> </v>
      </c>
      <c r="FC127" s="27" t="str">
        <f t="shared" si="366"/>
        <v xml:space="preserve"> </v>
      </c>
      <c r="FD127" s="14" t="str">
        <f t="shared" si="379"/>
        <v xml:space="preserve"> </v>
      </c>
      <c r="FE127" s="14" t="str">
        <f t="shared" si="380"/>
        <v xml:space="preserve"> </v>
      </c>
      <c r="FF127" s="14" t="str">
        <f t="shared" si="381"/>
        <v xml:space="preserve"> </v>
      </c>
      <c r="FG127" s="14" t="str">
        <f t="shared" si="382"/>
        <v xml:space="preserve"> </v>
      </c>
      <c r="FH127" s="14" t="str">
        <f t="shared" si="383"/>
        <v xml:space="preserve"> </v>
      </c>
      <c r="FI127" s="27" t="str">
        <f t="shared" si="366"/>
        <v xml:space="preserve"> </v>
      </c>
      <c r="FJ127" s="14" t="str">
        <f t="shared" si="385"/>
        <v xml:space="preserve"> </v>
      </c>
      <c r="FK127" s="14" t="str">
        <f t="shared" si="386"/>
        <v xml:space="preserve"> </v>
      </c>
      <c r="FL127" s="14" t="str">
        <f t="shared" si="387"/>
        <v xml:space="preserve"> </v>
      </c>
      <c r="FM127" s="14" t="str">
        <f t="shared" si="388"/>
        <v xml:space="preserve"> </v>
      </c>
      <c r="FN127" s="14" t="str">
        <f t="shared" si="389"/>
        <v xml:space="preserve"> </v>
      </c>
      <c r="FO127" s="27" t="str">
        <f t="shared" si="366"/>
        <v xml:space="preserve"> </v>
      </c>
      <c r="FP127" s="14" t="str">
        <f t="shared" si="391"/>
        <v xml:space="preserve"> </v>
      </c>
      <c r="FQ127" s="14" t="str">
        <f t="shared" si="392"/>
        <v xml:space="preserve"> </v>
      </c>
      <c r="FR127" s="14" t="str">
        <f t="shared" si="393"/>
        <v xml:space="preserve"> </v>
      </c>
      <c r="FS127" s="14" t="str">
        <f t="shared" si="394"/>
        <v xml:space="preserve"> </v>
      </c>
      <c r="FT127" s="14" t="str">
        <f t="shared" si="395"/>
        <v xml:space="preserve"> </v>
      </c>
      <c r="FU127" s="27" t="str">
        <f t="shared" si="366"/>
        <v xml:space="preserve"> </v>
      </c>
      <c r="FV127" s="14" t="str">
        <f t="shared" si="397"/>
        <v xml:space="preserve"> </v>
      </c>
      <c r="FW127" s="14" t="str">
        <f t="shared" si="398"/>
        <v xml:space="preserve"> </v>
      </c>
      <c r="FX127" s="14" t="str">
        <f t="shared" si="399"/>
        <v xml:space="preserve"> </v>
      </c>
      <c r="FY127" s="14" t="str">
        <f t="shared" si="400"/>
        <v xml:space="preserve"> </v>
      </c>
      <c r="FZ127" s="14" t="str">
        <f t="shared" si="401"/>
        <v xml:space="preserve"> </v>
      </c>
      <c r="GA127" s="27" t="str">
        <f t="shared" si="366"/>
        <v xml:space="preserve"> </v>
      </c>
      <c r="GB127" s="14" t="str">
        <f t="shared" si="403"/>
        <v xml:space="preserve"> </v>
      </c>
      <c r="GC127" s="14" t="str">
        <f t="shared" si="404"/>
        <v xml:space="preserve"> </v>
      </c>
      <c r="GD127" s="14" t="str">
        <f t="shared" si="405"/>
        <v xml:space="preserve"> </v>
      </c>
      <c r="GE127" s="14" t="str">
        <f t="shared" si="406"/>
        <v xml:space="preserve"> </v>
      </c>
      <c r="GF127" s="14" t="str">
        <f t="shared" si="407"/>
        <v xml:space="preserve"> </v>
      </c>
      <c r="GG127" s="27" t="str">
        <f t="shared" si="366"/>
        <v xml:space="preserve"> </v>
      </c>
      <c r="GH127" s="14" t="str">
        <f t="shared" si="409"/>
        <v xml:space="preserve"> </v>
      </c>
      <c r="GI127" s="14" t="str">
        <f t="shared" si="410"/>
        <v xml:space="preserve"> </v>
      </c>
      <c r="GJ127" s="14" t="str">
        <f t="shared" si="411"/>
        <v xml:space="preserve"> </v>
      </c>
      <c r="GK127" s="14" t="str">
        <f t="shared" si="412"/>
        <v xml:space="preserve"> </v>
      </c>
      <c r="GL127" s="14" t="str">
        <f t="shared" si="413"/>
        <v xml:space="preserve"> </v>
      </c>
      <c r="GM127" s="27" t="str">
        <f t="shared" si="366"/>
        <v xml:space="preserve"> </v>
      </c>
      <c r="GN127" s="14" t="str">
        <f t="shared" si="415"/>
        <v xml:space="preserve"> </v>
      </c>
      <c r="GO127" s="14" t="str">
        <f t="shared" si="416"/>
        <v xml:space="preserve"> </v>
      </c>
      <c r="GP127" s="14" t="str">
        <f t="shared" si="417"/>
        <v xml:space="preserve"> </v>
      </c>
      <c r="GQ127" s="14" t="str">
        <f t="shared" si="418"/>
        <v xml:space="preserve"> </v>
      </c>
      <c r="GR127" s="14" t="str">
        <f t="shared" si="419"/>
        <v xml:space="preserve"> </v>
      </c>
      <c r="GS127" s="27" t="str">
        <f t="shared" si="366"/>
        <v xml:space="preserve"> </v>
      </c>
      <c r="GT127" s="14" t="str">
        <f t="shared" si="421"/>
        <v xml:space="preserve"> </v>
      </c>
      <c r="GU127" s="14" t="str">
        <f t="shared" si="422"/>
        <v xml:space="preserve"> </v>
      </c>
      <c r="GV127" s="14" t="str">
        <f t="shared" si="423"/>
        <v xml:space="preserve"> </v>
      </c>
      <c r="GW127" s="14" t="str">
        <f t="shared" si="424"/>
        <v xml:space="preserve"> </v>
      </c>
      <c r="GX127" s="14" t="str">
        <f t="shared" si="425"/>
        <v xml:space="preserve"> </v>
      </c>
      <c r="GY127" s="27" t="str">
        <f t="shared" si="366"/>
        <v xml:space="preserve"> </v>
      </c>
      <c r="GZ127" s="14" t="str">
        <f t="shared" si="427"/>
        <v xml:space="preserve"> </v>
      </c>
      <c r="HA127" s="14" t="str">
        <f t="shared" si="428"/>
        <v xml:space="preserve"> </v>
      </c>
      <c r="HB127" s="14" t="str">
        <f t="shared" si="429"/>
        <v xml:space="preserve"> </v>
      </c>
      <c r="HC127" s="14" t="str">
        <f t="shared" si="430"/>
        <v xml:space="preserve"> </v>
      </c>
      <c r="HD127" s="14" t="str">
        <f t="shared" si="431"/>
        <v xml:space="preserve"> </v>
      </c>
      <c r="HE127" s="27" t="str">
        <f t="shared" si="432"/>
        <v xml:space="preserve"> </v>
      </c>
      <c r="HF127" s="14" t="str">
        <f t="shared" si="433"/>
        <v xml:space="preserve"> </v>
      </c>
      <c r="HG127" s="14" t="str">
        <f t="shared" si="434"/>
        <v xml:space="preserve"> </v>
      </c>
      <c r="HH127" s="14" t="str">
        <f t="shared" si="435"/>
        <v xml:space="preserve"> </v>
      </c>
      <c r="HI127" s="14" t="str">
        <f t="shared" si="436"/>
        <v xml:space="preserve"> </v>
      </c>
      <c r="HJ127" s="14" t="str">
        <f t="shared" si="437"/>
        <v xml:space="preserve"> </v>
      </c>
      <c r="HK127" s="27" t="str">
        <f t="shared" si="432"/>
        <v xml:space="preserve"> </v>
      </c>
      <c r="HL127" s="14" t="str">
        <f t="shared" si="439"/>
        <v xml:space="preserve"> </v>
      </c>
      <c r="HM127" s="14" t="str">
        <f t="shared" si="440"/>
        <v xml:space="preserve"> </v>
      </c>
      <c r="HN127" s="14" t="str">
        <f t="shared" si="441"/>
        <v xml:space="preserve"> </v>
      </c>
      <c r="HO127" s="14" t="str">
        <f t="shared" si="442"/>
        <v xml:space="preserve"> </v>
      </c>
      <c r="HP127" s="14" t="str">
        <f t="shared" si="443"/>
        <v xml:space="preserve"> </v>
      </c>
      <c r="HQ127" s="27" t="str">
        <f t="shared" si="432"/>
        <v xml:space="preserve"> </v>
      </c>
    </row>
    <row r="128" spans="1:225" ht="15.75" customHeight="1">
      <c r="A128" s="7">
        <f t="shared" ref="A128:C128" si="478">A20</f>
        <v>0</v>
      </c>
      <c r="B128" s="7">
        <f t="shared" si="478"/>
        <v>0</v>
      </c>
      <c r="C128" s="7" t="str">
        <f t="shared" si="478"/>
        <v>field knowledge</v>
      </c>
      <c r="D128" s="14" t="str">
        <f t="shared" si="446"/>
        <v xml:space="preserve"> </v>
      </c>
      <c r="E128" s="14" t="str">
        <f t="shared" si="447"/>
        <v xml:space="preserve"> </v>
      </c>
      <c r="F128" s="14" t="str">
        <f t="shared" si="448"/>
        <v xml:space="preserve"> </v>
      </c>
      <c r="G128" s="14" t="str">
        <f t="shared" si="449"/>
        <v xml:space="preserve">attention to details(1.1), efficiency(1), user rules and manuals(2.1), organizational rules and manuals(2.1),  </v>
      </c>
      <c r="H128" s="14" t="str">
        <f t="shared" si="450"/>
        <v xml:space="preserve">efficiency(-1,6.25%),  </v>
      </c>
      <c r="I128" s="27" t="str">
        <f t="shared" ref="I128" si="479">IF(I20="",I129,$C128&amp;"("&amp;I20&amp;"),"&amp;I129)</f>
        <v xml:space="preserve">efficiency(6.25), </v>
      </c>
      <c r="J128" s="14" t="str">
        <f t="shared" si="229"/>
        <v xml:space="preserve">scale(1)
enthusiasm(1)
 </v>
      </c>
      <c r="K128" s="14" t="str">
        <f t="shared" si="230"/>
        <v xml:space="preserve">scale(-1,12.5%), enthusiasm(-1,25%),  </v>
      </c>
      <c r="L128" s="14" t="str">
        <f t="shared" si="231"/>
        <v xml:space="preserve">scale(12.5)
enthusiasm(25)
 </v>
      </c>
      <c r="M128" s="14" t="str">
        <f t="shared" si="232"/>
        <v xml:space="preserve">scale(1.1), efficiency(0.1), organizational rules and manuals(1.1),  </v>
      </c>
      <c r="N128" s="14" t="str">
        <f t="shared" si="233"/>
        <v xml:space="preserve">agility(-1,6.75%), ambition(-1,6.75%), fun-ness(-1,6.75%), initiative(-1,6.75%),  </v>
      </c>
      <c r="O128" s="27" t="str">
        <f t="shared" si="234"/>
        <v xml:space="preserve">agility(6.75),ambition(6.75),fun-ness(6.75),initiative(6.75), </v>
      </c>
      <c r="P128" s="14" t="str">
        <f t="shared" si="235"/>
        <v xml:space="preserve"> </v>
      </c>
      <c r="Q128" s="14" t="str">
        <f t="shared" si="236"/>
        <v xml:space="preserve">gifted leader(-1,25%), gifted programmer(-1,25%), gifted designer(-1,25%),  </v>
      </c>
      <c r="R128" s="14" t="str">
        <f t="shared" si="237"/>
        <v xml:space="preserve">gifted leader(25)
gifted programmer(25)
gifted designer(25)
 </v>
      </c>
      <c r="S128" s="14" t="str">
        <f t="shared" si="238"/>
        <v xml:space="preserve">network among members(0.1), gifted leader(1), gifted programmer(1), gifted designer(1), ambition(1), attention to details(0.1), community manager(0.1), team building(0.1),  </v>
      </c>
      <c r="T128" s="14" t="str">
        <f t="shared" si="239"/>
        <v xml:space="preserve">ambition(-1,%), business model(-1,6.25%), web(-1,6.25%), mobile apps(-1,6.25%), aesthetics(-1,6.25%),  </v>
      </c>
      <c r="U128" s="27" t="str">
        <f t="shared" si="234"/>
        <v xml:space="preserve">business model(6.25),web(6.25),mobile apps(6.25),aesthetics(6.25), </v>
      </c>
      <c r="V128" s="14" t="str">
        <f t="shared" si="241"/>
        <v xml:space="preserve">scale(1)
 </v>
      </c>
      <c r="W128" s="14" t="str">
        <f t="shared" si="242"/>
        <v xml:space="preserve">enthusiasm(-1,25%), efficiency(-1,25%),  </v>
      </c>
      <c r="X128" s="14" t="str">
        <f t="shared" si="243"/>
        <v xml:space="preserve">enthusiasm(25)
efficiency(25)
 </v>
      </c>
      <c r="Y128" s="14" t="str">
        <f t="shared" si="244"/>
        <v xml:space="preserve">community manager(0.1), administrator(0.1), spaciousness(1), ease of access(3), reputation(2), user rules and manuals(0.1), project management(0.1), negotiation(0.1),  </v>
      </c>
      <c r="Z128" s="14" t="str">
        <f t="shared" si="245"/>
        <v xml:space="preserve">reputation(-1,%),  </v>
      </c>
      <c r="AA128" s="27" t="str">
        <f t="shared" si="234"/>
        <v xml:space="preserve"> </v>
      </c>
      <c r="AB128" s="14" t="str">
        <f t="shared" si="247"/>
        <v xml:space="preserve"> </v>
      </c>
      <c r="AC128" s="14" t="str">
        <f t="shared" si="248"/>
        <v xml:space="preserve"> </v>
      </c>
      <c r="AD128" s="14" t="str">
        <f t="shared" si="249"/>
        <v xml:space="preserve"> </v>
      </c>
      <c r="AE128" s="14" t="str">
        <f t="shared" si="250"/>
        <v xml:space="preserve">network among members(0.1), scale(1.1), attention to details(0.1), seriousness(0.1), initiative(0.1), spaciousness(1), user rules and manuals(1.1), organizational rules and manuals(1.1),  </v>
      </c>
      <c r="AF128" s="14" t="str">
        <f t="shared" si="251"/>
        <v xml:space="preserve">enthusiasm(-1,%), local biz(-1,6.25%), investors(-1,6.25%), non-profits(-1,6.25%), efficiency(-1,6.25%),  </v>
      </c>
      <c r="AG128" s="27" t="str">
        <f t="shared" si="234"/>
        <v xml:space="preserve">local biz(6.25),investors(6.25),non-profits(6.25),efficiency(6.25), </v>
      </c>
      <c r="AH128" s="14" t="str">
        <f t="shared" si="253"/>
        <v xml:space="preserve">fun-ness(1)
ease of access(1)
reputation(1)
 </v>
      </c>
      <c r="AI128" s="14" t="str">
        <f t="shared" si="254"/>
        <v xml:space="preserve"> </v>
      </c>
      <c r="AJ128" s="14" t="str">
        <f t="shared" si="255"/>
        <v xml:space="preserve"> </v>
      </c>
      <c r="AK128" s="14" t="str">
        <f t="shared" si="256"/>
        <v xml:space="preserve">scale(3.1), attention to details(2.1), seriousness(2.1), community manager(2.1), administrator(2.1), spaciousness(1), ease of access(1), reputation(2), user rules and manuals(2.1), organizational rules and manuals(2.1), law(1.1), negotiation(1.1),  </v>
      </c>
      <c r="AL128" s="14" t="str">
        <f t="shared" si="257"/>
        <v xml:space="preserve">govt(-1,6.25%), non-profits(-1,6.25%), reputation(-1,6.25%),  </v>
      </c>
      <c r="AM128" s="27" t="str">
        <f t="shared" si="234"/>
        <v xml:space="preserve">govt(6.25),non-profits(6.25),reputation(6.25), </v>
      </c>
      <c r="AN128" s="14" t="str">
        <f t="shared" si="259"/>
        <v xml:space="preserve">scale(1)
fun-ness(1)
seriousness(1)
 </v>
      </c>
      <c r="AO128" s="14" t="str">
        <f t="shared" si="260"/>
        <v xml:space="preserve">enthusiasm(-1,25%),  </v>
      </c>
      <c r="AP128" s="14" t="str">
        <f t="shared" si="261"/>
        <v xml:space="preserve">enthusiasm(25)
 </v>
      </c>
      <c r="AQ128" s="14" t="str">
        <f t="shared" si="262"/>
        <v xml:space="preserve">scale(1), fun-ness(1), spaciousness(2.1), reputation(3), organizational rules and manuals(2.1), team building(2.1),  </v>
      </c>
      <c r="AR128" s="14" t="str">
        <f t="shared" si="263"/>
        <v xml:space="preserve">enthusiasm(-1,12.5%), fun-ness(-1,6.25%), reputation(-1,6.25%), efficiency(-1,6.25%),  </v>
      </c>
      <c r="AS128" s="27" t="str">
        <f t="shared" si="234"/>
        <v xml:space="preserve">enthusiasm(12.5),fun-ness(6.25),reputation(6.25),efficiency(6.25), </v>
      </c>
      <c r="AT128" s="14" t="str">
        <f t="shared" si="265"/>
        <v xml:space="preserve">network among members(3.1)
 </v>
      </c>
      <c r="AU128" s="14" t="str">
        <f t="shared" si="266"/>
        <v xml:space="preserve"> </v>
      </c>
      <c r="AV128" s="14" t="str">
        <f t="shared" si="267"/>
        <v xml:space="preserve"> </v>
      </c>
      <c r="AW128" s="14" t="str">
        <f t="shared" si="268"/>
        <v xml:space="preserve">attention to details(3.1), fun-ness(3.1), seriousness(3.1), initiative(2.1), leader(2.1), community manager(2.1), user rules and manuals(2.1), team building(2.1),  </v>
      </c>
      <c r="AX128" s="14" t="str">
        <f t="shared" si="269"/>
        <v xml:space="preserve">field knowledge(-1,6.25%), network among members(-1,6.25%), gifted assistant(-1,6.25%),  </v>
      </c>
      <c r="AY128" s="27" t="str">
        <f t="shared" si="234"/>
        <v xml:space="preserve">field knowledge(6.25),network among members(6.25),gifted assistant(6.25), </v>
      </c>
      <c r="AZ128" s="14" t="str">
        <f t="shared" si="271"/>
        <v xml:space="preserve"> </v>
      </c>
      <c r="BA128" s="14" t="str">
        <f t="shared" si="272"/>
        <v xml:space="preserve">attention to details(1,12.5%), fun-ness(-1,12.5%), seriousness(1,12.5%), efficiency(-1,12.5%), user rules and manuals(1,25%),  </v>
      </c>
      <c r="BB128" s="14" t="str">
        <f t="shared" si="273"/>
        <v xml:space="preserve">attention to details(12.5)
fun-ness(12.5)
seriousness(12.5)
efficiency(12.5)
user rules and manuals(25)
 </v>
      </c>
      <c r="BC128" s="14" t="str">
        <f t="shared" si="274"/>
        <v xml:space="preserve">agility(1.1), attention to details(1.1), seriousness(1.1), community manager(1.1), administrator(1.1), user rules and manuals(2.1), organizational rules and manuals(2.1),  </v>
      </c>
      <c r="BD128" s="14" t="str">
        <f t="shared" si="275"/>
        <v xml:space="preserve">enthusiasm(-1,6.25%), reputation(-1,6.25%),  </v>
      </c>
      <c r="BE128" s="27" t="str">
        <f t="shared" si="234"/>
        <v xml:space="preserve">enthusiasm(6.25),reputation(6.25), </v>
      </c>
      <c r="BF128" s="14" t="str">
        <f t="shared" si="277"/>
        <v xml:space="preserve"> </v>
      </c>
      <c r="BG128" s="14" t="str">
        <f t="shared" si="278"/>
        <v xml:space="preserve">enthusiasm(-1,25%), attention to details(1,25%), fun-ness(-1,25%), seriousness(1,25%), user rules and manuals(1,25%), organizational rules and manuals(1,25%),  </v>
      </c>
      <c r="BH128" s="14" t="str">
        <f t="shared" si="279"/>
        <v xml:space="preserve">enthusiasm(25)
attention to details(25)
fun-ness(25)
seriousness(25)
user rules and manuals(25)
organizational rules and manuals(25)
 </v>
      </c>
      <c r="BI128" s="14" t="str">
        <f t="shared" si="280"/>
        <v xml:space="preserve">engineering knowledge(1.1), enthusiasm(1), fun-ness(1), seriousness(2.1), community manager(1.1), administrator(1.1),  </v>
      </c>
      <c r="BJ128" s="14" t="str">
        <f t="shared" si="281"/>
        <v xml:space="preserve">reputation(-1,6.25%), efficiency(-1,25%),  </v>
      </c>
      <c r="BK128" s="27" t="str">
        <f t="shared" si="234"/>
        <v xml:space="preserve">reputation(6.25),efficiency(25), </v>
      </c>
      <c r="BL128" s="14" t="str">
        <f t="shared" si="283"/>
        <v xml:space="preserve">local biz(1)
ease of access(1)
reputation(1)
aesthetics(1)
 </v>
      </c>
      <c r="BM128" s="14" t="str">
        <f t="shared" si="284"/>
        <v xml:space="preserve">biz enhancement(1,%),  </v>
      </c>
      <c r="BN128" s="14" t="str">
        <f t="shared" si="285"/>
        <v xml:space="preserve"> </v>
      </c>
      <c r="BO128" s="14" t="str">
        <f t="shared" si="286"/>
        <v xml:space="preserve">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8" s="14" t="str">
        <f t="shared" si="287"/>
        <v xml:space="preserve">local biz(1,6.25%),  </v>
      </c>
      <c r="BQ128" s="27" t="str">
        <f t="shared" si="234"/>
        <v xml:space="preserve">local biz(6.25), </v>
      </c>
      <c r="BR128" s="14" t="str">
        <f t="shared" si="289"/>
        <v xml:space="preserve">scale(1)
local biz(1)
ease of access(1)
reputation(1)
aesthetics(1)
 </v>
      </c>
      <c r="BS128" s="14" t="str">
        <f t="shared" si="290"/>
        <v xml:space="preserve">biz project(1,%),  </v>
      </c>
      <c r="BT128" s="14" t="str">
        <f t="shared" si="291"/>
        <v xml:space="preserve"> </v>
      </c>
      <c r="BU128" s="14" t="str">
        <f t="shared" si="292"/>
        <v xml:space="preserve">field knowledge(1), 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8" s="14" t="str">
        <f t="shared" si="293"/>
        <v xml:space="preserve">local biz(1,6.25%),  </v>
      </c>
      <c r="BW128" s="27" t="str">
        <f t="shared" si="234"/>
        <v xml:space="preserve">local biz(6.25), </v>
      </c>
      <c r="BX128" s="14" t="str">
        <f t="shared" si="295"/>
        <v xml:space="preserve">local biz(1)
ease of access(1)
reputation(1)
aesthetics(1)
interaction(1)
 </v>
      </c>
      <c r="BY128" s="14" t="str">
        <f t="shared" si="296"/>
        <v xml:space="preserve">biz project(1,%),  </v>
      </c>
      <c r="BZ128" s="14" t="str">
        <f t="shared" si="297"/>
        <v xml:space="preserve"> </v>
      </c>
      <c r="CA128" s="14" t="str">
        <f t="shared" si="298"/>
        <v xml:space="preserve">field knowledge(1), 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8" s="14" t="str">
        <f t="shared" si="299"/>
        <v xml:space="preserve">local biz(1,6.25%),  </v>
      </c>
      <c r="CC128" s="27" t="str">
        <f t="shared" si="300"/>
        <v xml:space="preserve">local biz(6.25), </v>
      </c>
      <c r="CD128" s="14" t="str">
        <f t="shared" si="301"/>
        <v xml:space="preserve">ease of access(1)
reputation(1)
aesthetics(1)
 </v>
      </c>
      <c r="CE128" s="14" t="str">
        <f t="shared" si="302"/>
        <v xml:space="preserve">biz project(1,%),  </v>
      </c>
      <c r="CF128" s="14" t="str">
        <f t="shared" si="303"/>
        <v xml:space="preserve"> </v>
      </c>
      <c r="CG128" s="14" t="str">
        <f t="shared" si="304"/>
        <v xml:space="preserve">field knowledge(2), 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8" s="14" t="str">
        <f t="shared" si="305"/>
        <v xml:space="preserve">local biz(1,6.25%),  </v>
      </c>
      <c r="CI128" s="27" t="str">
        <f t="shared" si="300"/>
        <v xml:space="preserve">local biz(6.25), </v>
      </c>
      <c r="CJ128" s="14" t="str">
        <f t="shared" si="307"/>
        <v xml:space="preserve">ease of access(1)
reputation(1)
aesthetics(1)
 </v>
      </c>
      <c r="CK128" s="14" t="str">
        <f t="shared" si="308"/>
        <v xml:space="preserve">biz project(1,%),  </v>
      </c>
      <c r="CL128" s="14" t="str">
        <f t="shared" si="309"/>
        <v xml:space="preserve"> </v>
      </c>
      <c r="CM128" s="14" t="str">
        <f t="shared" si="310"/>
        <v xml:space="preserve">field knowledge(2), 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8" s="14" t="str">
        <f t="shared" si="311"/>
        <v xml:space="preserve">local biz(1,6.25%),  </v>
      </c>
      <c r="CO128" s="27" t="str">
        <f t="shared" si="300"/>
        <v xml:space="preserve">local biz(6.25), </v>
      </c>
      <c r="CP128" s="14" t="str">
        <f t="shared" si="313"/>
        <v xml:space="preserve">field knowledge(1)
local biz(1)
metal processing(1)
functions(1)
 </v>
      </c>
      <c r="CQ128" s="14" t="str">
        <f t="shared" si="314"/>
        <v xml:space="preserve">local biz(1,50%), biz enhancement(1,50%),  </v>
      </c>
      <c r="CR128" s="14" t="str">
        <f t="shared" si="315"/>
        <v xml:space="preserve">local biz(50)
biz enhancement(50)
 </v>
      </c>
      <c r="CS128" s="14" t="str">
        <f t="shared" si="316"/>
        <v xml:space="preserve">field knowledge(2), network among members(1), gifted leader(1), gifted designer(1), enthusiasm(1), agility(2), attention to details(2), initiative(1), community manager(1), ease of access(2), reputation(3), efficiency(2), metal processing(2), electronics(2), aesthetics(2), functions(2), safety(2),  </v>
      </c>
      <c r="CT128" s="14" t="str">
        <f t="shared" si="317"/>
        <v xml:space="preserve">reputation(1,6.25%),  </v>
      </c>
      <c r="CU128" s="27" t="str">
        <f t="shared" si="300"/>
        <v xml:space="preserve">reputation(6.25), </v>
      </c>
      <c r="CV128" s="14" t="str">
        <f t="shared" si="319"/>
        <v xml:space="preserve">non-profits(1)
wood processing(1)
aesthetics(1)
interaction(1)
 </v>
      </c>
      <c r="CW128" s="14" t="str">
        <f t="shared" si="320"/>
        <v xml:space="preserve">non-profits(1,50%), social project(1,50%),  </v>
      </c>
      <c r="CX128" s="14" t="str">
        <f t="shared" si="321"/>
        <v xml:space="preserve">non-profits(50)
social project(50)
 </v>
      </c>
      <c r="CY128"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8" s="14" t="str">
        <f t="shared" si="323"/>
        <v xml:space="preserve">media(1,6.25%), reputation(1,6.25%), portfolio(1,6.25%),  </v>
      </c>
      <c r="DA128" s="27" t="str">
        <f t="shared" si="300"/>
        <v xml:space="preserve">media(6.25),reputation(6.25),portfolio(6.25), </v>
      </c>
      <c r="DB128" s="14" t="str">
        <f t="shared" si="325"/>
        <v xml:space="preserve">non-profits(1)
aesthetics(1)
interaction(1)
 </v>
      </c>
      <c r="DC128" s="14" t="str">
        <f t="shared" si="326"/>
        <v xml:space="preserve">non-profits(1,50%), social project(1,50%),  </v>
      </c>
      <c r="DD128" s="14" t="str">
        <f t="shared" si="327"/>
        <v xml:space="preserve">non-profits(50)
social project(50)
 </v>
      </c>
      <c r="DE128" s="14" t="str">
        <f t="shared" si="328"/>
        <v xml:space="preserve">gifted programmer(1), gifted designer(1), scale(2), enthusiasm(4), agility(2), ambition(4), attention to details(2), fun-ness(2), administrator(2), ease of access(2), efficiency(3), VR&amp;AR(2),  </v>
      </c>
      <c r="DF128" s="14" t="str">
        <f t="shared" si="329"/>
        <v xml:space="preserve">media(1,6.25%), reputation(1,6.25%), portfolio(1,6.25%),  </v>
      </c>
      <c r="DG128" s="27" t="str">
        <f t="shared" si="300"/>
        <v xml:space="preserve">media(6.25),reputation(6.25),portfolio(6.25), </v>
      </c>
      <c r="DH128" s="14" t="str">
        <f t="shared" si="331"/>
        <v xml:space="preserve">scale(1)
wood processing(1)
aesthetics(1)
safety(1)
 </v>
      </c>
      <c r="DI128" s="14" t="str">
        <f t="shared" si="332"/>
        <v xml:space="preserve">social project(1,100%),  </v>
      </c>
      <c r="DJ128" s="14" t="str">
        <f t="shared" si="333"/>
        <v xml:space="preserve">social project(100)
 </v>
      </c>
      <c r="DK128" s="14" t="str">
        <f t="shared" si="334"/>
        <v xml:space="preserve">field knowledge(3), 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8" s="14" t="str">
        <f t="shared" si="335"/>
        <v xml:space="preserve">network among members(1,6.25%), enthusiasm(1,6.25%), agility(1,6.25%), fun-ness(1,6.25%), reputation(1,6.25%), portfolio(1,6.25%), team building(1,6.25%),  </v>
      </c>
      <c r="DM128" s="27" t="str">
        <f t="shared" si="300"/>
        <v xml:space="preserve">network among members(6.25),enthusiasm(6.25),agility(6.25),fun-ness(6.25),reputation(6.25),portfolio(6.25),team building(6.25), </v>
      </c>
      <c r="DN128"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28" s="14" t="str">
        <f t="shared" si="338"/>
        <v xml:space="preserve">reputation(1,25%), portfolio(1,50%),  </v>
      </c>
      <c r="DP128" s="14" t="str">
        <f t="shared" si="339"/>
        <v xml:space="preserve">reputation(25)
portfolio(50)
 </v>
      </c>
      <c r="DQ128"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8" s="14" t="str">
        <f t="shared" si="341"/>
        <v xml:space="preserve">suppliers(1,6.25%), reputation(1,6.25%),  </v>
      </c>
      <c r="DS128" s="27" t="str">
        <f t="shared" si="300"/>
        <v xml:space="preserve">suppliers(6.25),reputation(6.25), </v>
      </c>
      <c r="DT128" s="14" t="str">
        <f t="shared" si="343"/>
        <v xml:space="preserve">scale(2)
attention to details(2)
leader(1)
fame(1)
network(2)
reputation(3)
portfolio(2)
 </v>
      </c>
      <c r="DU128" s="14" t="str">
        <f t="shared" si="344"/>
        <v xml:space="preserve">fame(1,25%), govt(1,25%), non-profits(1,50%), reputation(1,25%),  </v>
      </c>
      <c r="DV128" s="14" t="str">
        <f t="shared" si="345"/>
        <v xml:space="preserve">fame(25)
govt(25)
non-profits(50)
reputation(25)
 </v>
      </c>
      <c r="DW128" s="14" t="str">
        <f t="shared" si="346"/>
        <v xml:space="preserve">enthusiasm(3), ambition(2), attention to details(2), PR(1), administrator(1), social media(2),  </v>
      </c>
      <c r="DX128" s="14" t="str">
        <f t="shared" si="347"/>
        <v xml:space="preserve">ambition(1,6.25%), fame(1,6.25%), reputation(1,6.25%),  </v>
      </c>
      <c r="DY128" s="27" t="str">
        <f t="shared" si="300"/>
        <v xml:space="preserve">ambition(6.25),fame(6.25),reputation(6.25), </v>
      </c>
      <c r="DZ128" s="14" t="str">
        <f t="shared" si="349"/>
        <v xml:space="preserve"> </v>
      </c>
      <c r="EA128" s="14" t="str">
        <f t="shared" si="350"/>
        <v xml:space="preserve"> </v>
      </c>
      <c r="EB128" s="14" t="str">
        <f t="shared" si="351"/>
        <v xml:space="preserve"> </v>
      </c>
      <c r="EC128" s="14" t="str">
        <f t="shared" si="352"/>
        <v xml:space="preserve"> </v>
      </c>
      <c r="ED128" s="14" t="str">
        <f t="shared" si="353"/>
        <v xml:space="preserve"> </v>
      </c>
      <c r="EE128" s="27" t="str">
        <f t="shared" si="300"/>
        <v xml:space="preserve"> </v>
      </c>
      <c r="EF128" s="14" t="str">
        <f t="shared" si="355"/>
        <v xml:space="preserve"> </v>
      </c>
      <c r="EG128" s="14" t="str">
        <f t="shared" si="356"/>
        <v xml:space="preserve"> </v>
      </c>
      <c r="EH128" s="14" t="str">
        <f t="shared" si="357"/>
        <v xml:space="preserve"> </v>
      </c>
      <c r="EI128" s="14" t="str">
        <f t="shared" si="358"/>
        <v xml:space="preserve"> </v>
      </c>
      <c r="EJ128" s="14" t="str">
        <f t="shared" si="359"/>
        <v xml:space="preserve"> </v>
      </c>
      <c r="EK128" s="27" t="str">
        <f t="shared" si="300"/>
        <v xml:space="preserve"> </v>
      </c>
      <c r="EL128" s="14" t="str">
        <f t="shared" si="361"/>
        <v xml:space="preserve"> </v>
      </c>
      <c r="EM128" s="14" t="str">
        <f t="shared" si="362"/>
        <v xml:space="preserve"> </v>
      </c>
      <c r="EN128" s="14" t="str">
        <f t="shared" si="363"/>
        <v xml:space="preserve"> </v>
      </c>
      <c r="EO128" s="14" t="str">
        <f t="shared" si="364"/>
        <v xml:space="preserve"> </v>
      </c>
      <c r="EP128" s="14" t="str">
        <f t="shared" si="365"/>
        <v xml:space="preserve"> </v>
      </c>
      <c r="EQ128" s="27" t="str">
        <f t="shared" si="366"/>
        <v xml:space="preserve"> </v>
      </c>
      <c r="ER128" s="14" t="str">
        <f t="shared" si="367"/>
        <v xml:space="preserve"> </v>
      </c>
      <c r="ES128" s="14" t="str">
        <f t="shared" si="368"/>
        <v xml:space="preserve"> </v>
      </c>
      <c r="ET128" s="14" t="str">
        <f t="shared" si="369"/>
        <v xml:space="preserve"> </v>
      </c>
      <c r="EU128" s="14" t="str">
        <f t="shared" si="370"/>
        <v xml:space="preserve"> </v>
      </c>
      <c r="EV128" s="14" t="str">
        <f t="shared" si="371"/>
        <v xml:space="preserve"> </v>
      </c>
      <c r="EW128" s="27" t="str">
        <f t="shared" si="366"/>
        <v xml:space="preserve"> </v>
      </c>
      <c r="EX128" s="14" t="str">
        <f t="shared" si="373"/>
        <v xml:space="preserve"> </v>
      </c>
      <c r="EY128" s="14" t="str">
        <f t="shared" si="374"/>
        <v xml:space="preserve"> </v>
      </c>
      <c r="EZ128" s="14" t="str">
        <f t="shared" si="375"/>
        <v xml:space="preserve"> </v>
      </c>
      <c r="FA128" s="14" t="str">
        <f t="shared" si="376"/>
        <v xml:space="preserve"> </v>
      </c>
      <c r="FB128" s="14" t="str">
        <f t="shared" si="377"/>
        <v xml:space="preserve"> </v>
      </c>
      <c r="FC128" s="27" t="str">
        <f t="shared" si="366"/>
        <v xml:space="preserve"> </v>
      </c>
      <c r="FD128" s="14" t="str">
        <f t="shared" si="379"/>
        <v xml:space="preserve"> </v>
      </c>
      <c r="FE128" s="14" t="str">
        <f t="shared" si="380"/>
        <v xml:space="preserve"> </v>
      </c>
      <c r="FF128" s="14" t="str">
        <f t="shared" si="381"/>
        <v xml:space="preserve"> </v>
      </c>
      <c r="FG128" s="14" t="str">
        <f t="shared" si="382"/>
        <v xml:space="preserve"> </v>
      </c>
      <c r="FH128" s="14" t="str">
        <f t="shared" si="383"/>
        <v xml:space="preserve"> </v>
      </c>
      <c r="FI128" s="27" t="str">
        <f t="shared" si="366"/>
        <v xml:space="preserve"> </v>
      </c>
      <c r="FJ128" s="14" t="str">
        <f t="shared" si="385"/>
        <v xml:space="preserve"> </v>
      </c>
      <c r="FK128" s="14" t="str">
        <f t="shared" si="386"/>
        <v xml:space="preserve"> </v>
      </c>
      <c r="FL128" s="14" t="str">
        <f t="shared" si="387"/>
        <v xml:space="preserve"> </v>
      </c>
      <c r="FM128" s="14" t="str">
        <f t="shared" si="388"/>
        <v xml:space="preserve"> </v>
      </c>
      <c r="FN128" s="14" t="str">
        <f t="shared" si="389"/>
        <v xml:space="preserve"> </v>
      </c>
      <c r="FO128" s="27" t="str">
        <f t="shared" si="366"/>
        <v xml:space="preserve"> </v>
      </c>
      <c r="FP128" s="14" t="str">
        <f t="shared" si="391"/>
        <v xml:space="preserve"> </v>
      </c>
      <c r="FQ128" s="14" t="str">
        <f t="shared" si="392"/>
        <v xml:space="preserve"> </v>
      </c>
      <c r="FR128" s="14" t="str">
        <f t="shared" si="393"/>
        <v xml:space="preserve"> </v>
      </c>
      <c r="FS128" s="14" t="str">
        <f t="shared" si="394"/>
        <v xml:space="preserve"> </v>
      </c>
      <c r="FT128" s="14" t="str">
        <f t="shared" si="395"/>
        <v xml:space="preserve"> </v>
      </c>
      <c r="FU128" s="27" t="str">
        <f t="shared" si="366"/>
        <v xml:space="preserve"> </v>
      </c>
      <c r="FV128" s="14" t="str">
        <f t="shared" si="397"/>
        <v xml:space="preserve"> </v>
      </c>
      <c r="FW128" s="14" t="str">
        <f t="shared" si="398"/>
        <v xml:space="preserve"> </v>
      </c>
      <c r="FX128" s="14" t="str">
        <f t="shared" si="399"/>
        <v xml:space="preserve"> </v>
      </c>
      <c r="FY128" s="14" t="str">
        <f t="shared" si="400"/>
        <v xml:space="preserve"> </v>
      </c>
      <c r="FZ128" s="14" t="str">
        <f t="shared" si="401"/>
        <v xml:space="preserve"> </v>
      </c>
      <c r="GA128" s="27" t="str">
        <f t="shared" si="366"/>
        <v xml:space="preserve"> </v>
      </c>
      <c r="GB128" s="14" t="str">
        <f t="shared" si="403"/>
        <v xml:space="preserve"> </v>
      </c>
      <c r="GC128" s="14" t="str">
        <f t="shared" si="404"/>
        <v xml:space="preserve"> </v>
      </c>
      <c r="GD128" s="14" t="str">
        <f t="shared" si="405"/>
        <v xml:space="preserve"> </v>
      </c>
      <c r="GE128" s="14" t="str">
        <f t="shared" si="406"/>
        <v xml:space="preserve"> </v>
      </c>
      <c r="GF128" s="14" t="str">
        <f t="shared" si="407"/>
        <v xml:space="preserve"> </v>
      </c>
      <c r="GG128" s="27" t="str">
        <f t="shared" si="366"/>
        <v xml:space="preserve"> </v>
      </c>
      <c r="GH128" s="14" t="str">
        <f t="shared" si="409"/>
        <v xml:space="preserve"> </v>
      </c>
      <c r="GI128" s="14" t="str">
        <f t="shared" si="410"/>
        <v xml:space="preserve"> </v>
      </c>
      <c r="GJ128" s="14" t="str">
        <f t="shared" si="411"/>
        <v xml:space="preserve"> </v>
      </c>
      <c r="GK128" s="14" t="str">
        <f t="shared" si="412"/>
        <v xml:space="preserve"> </v>
      </c>
      <c r="GL128" s="14" t="str">
        <f t="shared" si="413"/>
        <v xml:space="preserve"> </v>
      </c>
      <c r="GM128" s="27" t="str">
        <f t="shared" si="366"/>
        <v xml:space="preserve"> </v>
      </c>
      <c r="GN128" s="14" t="str">
        <f t="shared" si="415"/>
        <v xml:space="preserve"> </v>
      </c>
      <c r="GO128" s="14" t="str">
        <f t="shared" si="416"/>
        <v xml:space="preserve"> </v>
      </c>
      <c r="GP128" s="14" t="str">
        <f t="shared" si="417"/>
        <v xml:space="preserve"> </v>
      </c>
      <c r="GQ128" s="14" t="str">
        <f t="shared" si="418"/>
        <v xml:space="preserve"> </v>
      </c>
      <c r="GR128" s="14" t="str">
        <f t="shared" si="419"/>
        <v xml:space="preserve"> </v>
      </c>
      <c r="GS128" s="27" t="str">
        <f t="shared" si="366"/>
        <v xml:space="preserve"> </v>
      </c>
      <c r="GT128" s="14" t="str">
        <f t="shared" si="421"/>
        <v xml:space="preserve"> </v>
      </c>
      <c r="GU128" s="14" t="str">
        <f t="shared" si="422"/>
        <v xml:space="preserve"> </v>
      </c>
      <c r="GV128" s="14" t="str">
        <f t="shared" si="423"/>
        <v xml:space="preserve"> </v>
      </c>
      <c r="GW128" s="14" t="str">
        <f t="shared" si="424"/>
        <v xml:space="preserve"> </v>
      </c>
      <c r="GX128" s="14" t="str">
        <f t="shared" si="425"/>
        <v xml:space="preserve"> </v>
      </c>
      <c r="GY128" s="27" t="str">
        <f t="shared" si="366"/>
        <v xml:space="preserve"> </v>
      </c>
      <c r="GZ128" s="14" t="str">
        <f t="shared" si="427"/>
        <v xml:space="preserve"> </v>
      </c>
      <c r="HA128" s="14" t="str">
        <f t="shared" si="428"/>
        <v xml:space="preserve"> </v>
      </c>
      <c r="HB128" s="14" t="str">
        <f t="shared" si="429"/>
        <v xml:space="preserve"> </v>
      </c>
      <c r="HC128" s="14" t="str">
        <f t="shared" si="430"/>
        <v xml:space="preserve"> </v>
      </c>
      <c r="HD128" s="14" t="str">
        <f t="shared" si="431"/>
        <v xml:space="preserve"> </v>
      </c>
      <c r="HE128" s="27" t="str">
        <f t="shared" si="432"/>
        <v xml:space="preserve"> </v>
      </c>
      <c r="HF128" s="14" t="str">
        <f t="shared" si="433"/>
        <v xml:space="preserve"> </v>
      </c>
      <c r="HG128" s="14" t="str">
        <f t="shared" si="434"/>
        <v xml:space="preserve"> </v>
      </c>
      <c r="HH128" s="14" t="str">
        <f t="shared" si="435"/>
        <v xml:space="preserve"> </v>
      </c>
      <c r="HI128" s="14" t="str">
        <f t="shared" si="436"/>
        <v xml:space="preserve"> </v>
      </c>
      <c r="HJ128" s="14" t="str">
        <f t="shared" si="437"/>
        <v xml:space="preserve"> </v>
      </c>
      <c r="HK128" s="27" t="str">
        <f t="shared" si="432"/>
        <v xml:space="preserve"> </v>
      </c>
      <c r="HL128" s="14" t="str">
        <f t="shared" si="439"/>
        <v xml:space="preserve"> </v>
      </c>
      <c r="HM128" s="14" t="str">
        <f t="shared" si="440"/>
        <v xml:space="preserve"> </v>
      </c>
      <c r="HN128" s="14" t="str">
        <f t="shared" si="441"/>
        <v xml:space="preserve"> </v>
      </c>
      <c r="HO128" s="14" t="str">
        <f t="shared" si="442"/>
        <v xml:space="preserve"> </v>
      </c>
      <c r="HP128" s="14" t="str">
        <f t="shared" si="443"/>
        <v xml:space="preserve"> </v>
      </c>
      <c r="HQ128" s="27" t="str">
        <f t="shared" si="432"/>
        <v xml:space="preserve"> </v>
      </c>
    </row>
    <row r="129" spans="1:225" ht="15.75" customHeight="1">
      <c r="A129" s="7">
        <f t="shared" ref="A129:C129" si="480">A21</f>
        <v>0</v>
      </c>
      <c r="B129" s="7">
        <f t="shared" si="480"/>
        <v>0</v>
      </c>
      <c r="C129" s="7" t="str">
        <f t="shared" si="480"/>
        <v>engineering knowledge</v>
      </c>
      <c r="D129" s="14" t="str">
        <f t="shared" si="446"/>
        <v xml:space="preserve"> </v>
      </c>
      <c r="E129" s="14" t="str">
        <f t="shared" si="447"/>
        <v xml:space="preserve"> </v>
      </c>
      <c r="F129" s="14" t="str">
        <f t="shared" si="448"/>
        <v xml:space="preserve"> </v>
      </c>
      <c r="G129" s="14" t="str">
        <f t="shared" si="449"/>
        <v xml:space="preserve">attention to details(1.1), efficiency(1), user rules and manuals(2.1), organizational rules and manuals(2.1),  </v>
      </c>
      <c r="H129" s="14" t="str">
        <f t="shared" si="450"/>
        <v xml:space="preserve">efficiency(-1,6.25%),  </v>
      </c>
      <c r="I129" s="27" t="str">
        <f t="shared" ref="I129" si="481">IF(I21="",I130,$C129&amp;"("&amp;I21&amp;"),"&amp;I130)</f>
        <v xml:space="preserve">efficiency(6.25), </v>
      </c>
      <c r="J129" s="14" t="str">
        <f t="shared" si="229"/>
        <v xml:space="preserve">scale(1)
enthusiasm(1)
 </v>
      </c>
      <c r="K129" s="14" t="str">
        <f t="shared" si="230"/>
        <v xml:space="preserve">scale(-1,12.5%), enthusiasm(-1,25%),  </v>
      </c>
      <c r="L129" s="14" t="str">
        <f t="shared" si="231"/>
        <v xml:space="preserve">scale(12.5)
enthusiasm(25)
 </v>
      </c>
      <c r="M129" s="14" t="str">
        <f t="shared" si="232"/>
        <v xml:space="preserve">scale(1.1), efficiency(0.1), organizational rules and manuals(1.1),  </v>
      </c>
      <c r="N129" s="14" t="str">
        <f t="shared" si="233"/>
        <v xml:space="preserve">agility(-1,6.75%), ambition(-1,6.75%), fun-ness(-1,6.75%), initiative(-1,6.75%),  </v>
      </c>
      <c r="O129" s="27" t="str">
        <f t="shared" ref="O129:BW144" si="482">IF(O21="",O130,$C129&amp;"("&amp;O21&amp;"),"&amp;O130)</f>
        <v xml:space="preserve">agility(6.75),ambition(6.75),fun-ness(6.75),initiative(6.75), </v>
      </c>
      <c r="P129" s="14" t="str">
        <f t="shared" si="235"/>
        <v xml:space="preserve"> </v>
      </c>
      <c r="Q129" s="14" t="str">
        <f t="shared" si="236"/>
        <v xml:space="preserve">gifted leader(-1,25%), gifted programmer(-1,25%), gifted designer(-1,25%),  </v>
      </c>
      <c r="R129" s="14" t="str">
        <f t="shared" si="237"/>
        <v xml:space="preserve">gifted leader(25)
gifted programmer(25)
gifted designer(25)
 </v>
      </c>
      <c r="S129" s="14" t="str">
        <f t="shared" si="238"/>
        <v xml:space="preserve">network among members(0.1), gifted leader(1), gifted programmer(1), gifted designer(1), ambition(1), attention to details(0.1), community manager(0.1), team building(0.1),  </v>
      </c>
      <c r="T129" s="14" t="str">
        <f t="shared" si="239"/>
        <v xml:space="preserve">ambition(-1,%), business model(-1,6.25%), web(-1,6.25%), mobile apps(-1,6.25%), aesthetics(-1,6.25%),  </v>
      </c>
      <c r="U129" s="27" t="str">
        <f t="shared" si="482"/>
        <v xml:space="preserve">business model(6.25),web(6.25),mobile apps(6.25),aesthetics(6.25), </v>
      </c>
      <c r="V129" s="14" t="str">
        <f t="shared" si="241"/>
        <v xml:space="preserve">scale(1)
 </v>
      </c>
      <c r="W129" s="14" t="str">
        <f t="shared" si="242"/>
        <v xml:space="preserve">enthusiasm(-1,25%), efficiency(-1,25%),  </v>
      </c>
      <c r="X129" s="14" t="str">
        <f t="shared" si="243"/>
        <v xml:space="preserve">enthusiasm(25)
efficiency(25)
 </v>
      </c>
      <c r="Y129" s="14" t="str">
        <f t="shared" si="244"/>
        <v xml:space="preserve">community manager(0.1), administrator(0.1), spaciousness(1), ease of access(3), reputation(2), user rules and manuals(0.1), project management(0.1), negotiation(0.1),  </v>
      </c>
      <c r="Z129" s="14" t="str">
        <f t="shared" si="245"/>
        <v xml:space="preserve">reputation(-1,%),  </v>
      </c>
      <c r="AA129" s="27" t="str">
        <f t="shared" si="482"/>
        <v xml:space="preserve"> </v>
      </c>
      <c r="AB129" s="14" t="str">
        <f t="shared" si="247"/>
        <v xml:space="preserve"> </v>
      </c>
      <c r="AC129" s="14" t="str">
        <f t="shared" si="248"/>
        <v xml:space="preserve"> </v>
      </c>
      <c r="AD129" s="14" t="str">
        <f t="shared" si="249"/>
        <v xml:space="preserve"> </v>
      </c>
      <c r="AE129" s="14" t="str">
        <f t="shared" si="250"/>
        <v xml:space="preserve">network among members(0.1), scale(1.1), attention to details(0.1), seriousness(0.1), initiative(0.1), spaciousness(1), user rules and manuals(1.1), organizational rules and manuals(1.1),  </v>
      </c>
      <c r="AF129" s="14" t="str">
        <f t="shared" si="251"/>
        <v xml:space="preserve">enthusiasm(-1,%), local biz(-1,6.25%), investors(-1,6.25%), non-profits(-1,6.25%), efficiency(-1,6.25%),  </v>
      </c>
      <c r="AG129" s="27" t="str">
        <f t="shared" si="482"/>
        <v xml:space="preserve">local biz(6.25),investors(6.25),non-profits(6.25),efficiency(6.25), </v>
      </c>
      <c r="AH129" s="14" t="str">
        <f t="shared" si="253"/>
        <v xml:space="preserve">fun-ness(1)
ease of access(1)
reputation(1)
 </v>
      </c>
      <c r="AI129" s="14" t="str">
        <f t="shared" si="254"/>
        <v xml:space="preserve"> </v>
      </c>
      <c r="AJ129" s="14" t="str">
        <f t="shared" si="255"/>
        <v xml:space="preserve"> </v>
      </c>
      <c r="AK129" s="14" t="str">
        <f t="shared" si="256"/>
        <v xml:space="preserve">scale(3.1), attention to details(2.1), seriousness(2.1), community manager(2.1), administrator(2.1), spaciousness(1), ease of access(1), reputation(2), user rules and manuals(2.1), organizational rules and manuals(2.1), law(1.1), negotiation(1.1),  </v>
      </c>
      <c r="AL129" s="14" t="str">
        <f t="shared" si="257"/>
        <v xml:space="preserve">govt(-1,6.25%), non-profits(-1,6.25%), reputation(-1,6.25%),  </v>
      </c>
      <c r="AM129" s="27" t="str">
        <f t="shared" si="482"/>
        <v xml:space="preserve">govt(6.25),non-profits(6.25),reputation(6.25), </v>
      </c>
      <c r="AN129" s="14" t="str">
        <f t="shared" si="259"/>
        <v xml:space="preserve">scale(1)
fun-ness(1)
seriousness(1)
 </v>
      </c>
      <c r="AO129" s="14" t="str">
        <f t="shared" si="260"/>
        <v xml:space="preserve">enthusiasm(-1,25%),  </v>
      </c>
      <c r="AP129" s="14" t="str">
        <f t="shared" si="261"/>
        <v xml:space="preserve">enthusiasm(25)
 </v>
      </c>
      <c r="AQ129" s="14" t="str">
        <f t="shared" si="262"/>
        <v xml:space="preserve">scale(1), fun-ness(1), spaciousness(2.1), reputation(3), organizational rules and manuals(2.1), team building(2.1),  </v>
      </c>
      <c r="AR129" s="14" t="str">
        <f t="shared" si="263"/>
        <v xml:space="preserve">enthusiasm(-1,12.5%), fun-ness(-1,6.25%), reputation(-1,6.25%), efficiency(-1,6.25%),  </v>
      </c>
      <c r="AS129" s="27" t="str">
        <f t="shared" si="482"/>
        <v xml:space="preserve">enthusiasm(12.5),fun-ness(6.25),reputation(6.25),efficiency(6.25), </v>
      </c>
      <c r="AT129" s="14" t="str">
        <f t="shared" si="265"/>
        <v xml:space="preserve">network among members(3.1)
 </v>
      </c>
      <c r="AU129" s="14" t="str">
        <f t="shared" si="266"/>
        <v xml:space="preserve"> </v>
      </c>
      <c r="AV129" s="14" t="str">
        <f t="shared" si="267"/>
        <v xml:space="preserve"> </v>
      </c>
      <c r="AW129" s="14" t="str">
        <f t="shared" si="268"/>
        <v xml:space="preserve">attention to details(3.1), fun-ness(3.1), seriousness(3.1), initiative(2.1), leader(2.1), community manager(2.1), user rules and manuals(2.1), team building(2.1),  </v>
      </c>
      <c r="AX129" s="14" t="str">
        <f t="shared" si="269"/>
        <v xml:space="preserve">network among members(-1,6.25%), gifted assistant(-1,6.25%),  </v>
      </c>
      <c r="AY129" s="27" t="str">
        <f t="shared" si="482"/>
        <v xml:space="preserve">network among members(6.25),gifted assistant(6.25), </v>
      </c>
      <c r="AZ129" s="14" t="str">
        <f t="shared" si="271"/>
        <v xml:space="preserve"> </v>
      </c>
      <c r="BA129" s="14" t="str">
        <f t="shared" si="272"/>
        <v xml:space="preserve">attention to details(1,12.5%), fun-ness(-1,12.5%), seriousness(1,12.5%), efficiency(-1,12.5%), user rules and manuals(1,25%),  </v>
      </c>
      <c r="BB129" s="14" t="str">
        <f t="shared" si="273"/>
        <v xml:space="preserve">attention to details(12.5)
fun-ness(12.5)
seriousness(12.5)
efficiency(12.5)
user rules and manuals(25)
 </v>
      </c>
      <c r="BC129" s="14" t="str">
        <f t="shared" si="274"/>
        <v xml:space="preserve">agility(1.1), attention to details(1.1), seriousness(1.1), community manager(1.1), administrator(1.1), user rules and manuals(2.1), organizational rules and manuals(2.1),  </v>
      </c>
      <c r="BD129" s="14" t="str">
        <f t="shared" si="275"/>
        <v xml:space="preserve">enthusiasm(-1,6.25%), reputation(-1,6.25%),  </v>
      </c>
      <c r="BE129" s="27" t="str">
        <f t="shared" si="482"/>
        <v xml:space="preserve">enthusiasm(6.25),reputation(6.25), </v>
      </c>
      <c r="BF129" s="14" t="str">
        <f t="shared" si="277"/>
        <v xml:space="preserve"> </v>
      </c>
      <c r="BG129" s="14" t="str">
        <f t="shared" si="278"/>
        <v xml:space="preserve">enthusiasm(-1,25%), attention to details(1,25%), fun-ness(-1,25%), seriousness(1,25%), user rules and manuals(1,25%), organizational rules and manuals(1,25%),  </v>
      </c>
      <c r="BH129" s="14" t="str">
        <f t="shared" si="279"/>
        <v xml:space="preserve">enthusiasm(25)
attention to details(25)
fun-ness(25)
seriousness(25)
user rules and manuals(25)
organizational rules and manuals(25)
 </v>
      </c>
      <c r="BI129" s="14" t="str">
        <f t="shared" si="280"/>
        <v xml:space="preserve">engineering knowledge(1.1), enthusiasm(1), fun-ness(1), seriousness(2.1), community manager(1.1), administrator(1.1),  </v>
      </c>
      <c r="BJ129" s="14" t="str">
        <f t="shared" si="281"/>
        <v xml:space="preserve">reputation(-1,6.25%), efficiency(-1,25%),  </v>
      </c>
      <c r="BK129" s="27" t="str">
        <f t="shared" si="482"/>
        <v xml:space="preserve">reputation(6.25),efficiency(25), </v>
      </c>
      <c r="BL129" s="14" t="str">
        <f t="shared" si="283"/>
        <v xml:space="preserve">local biz(1)
ease of access(1)
reputation(1)
aesthetics(1)
 </v>
      </c>
      <c r="BM129" s="14" t="str">
        <f t="shared" si="284"/>
        <v xml:space="preserve">biz enhancement(1,%),  </v>
      </c>
      <c r="BN129" s="14" t="str">
        <f t="shared" si="285"/>
        <v xml:space="preserve"> </v>
      </c>
      <c r="BO129" s="14" t="str">
        <f t="shared" si="286"/>
        <v xml:space="preserve">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29" s="14" t="str">
        <f t="shared" si="287"/>
        <v xml:space="preserve">local biz(1,6.25%),  </v>
      </c>
      <c r="BQ129" s="27" t="str">
        <f t="shared" si="482"/>
        <v xml:space="preserve">local biz(6.25), </v>
      </c>
      <c r="BR129" s="14" t="str">
        <f t="shared" si="289"/>
        <v xml:space="preserve">scale(1)
local biz(1)
ease of access(1)
reputation(1)
aesthetics(1)
 </v>
      </c>
      <c r="BS129" s="14" t="str">
        <f t="shared" si="290"/>
        <v xml:space="preserve">biz project(1,%),  </v>
      </c>
      <c r="BT129" s="14" t="str">
        <f t="shared" si="291"/>
        <v xml:space="preserve"> </v>
      </c>
      <c r="BU129" s="14" t="str">
        <f t="shared" si="292"/>
        <v xml:space="preserve">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29" s="14" t="str">
        <f t="shared" si="293"/>
        <v xml:space="preserve">local biz(1,6.25%),  </v>
      </c>
      <c r="BW129" s="27" t="str">
        <f t="shared" si="482"/>
        <v xml:space="preserve">local biz(6.25), </v>
      </c>
      <c r="BX129" s="14" t="str">
        <f t="shared" si="295"/>
        <v xml:space="preserve">local biz(1)
ease of access(1)
reputation(1)
aesthetics(1)
interaction(1)
 </v>
      </c>
      <c r="BY129" s="14" t="str">
        <f t="shared" si="296"/>
        <v xml:space="preserve">biz project(1,%),  </v>
      </c>
      <c r="BZ129" s="14" t="str">
        <f t="shared" si="297"/>
        <v xml:space="preserve"> </v>
      </c>
      <c r="CA129" s="14" t="str">
        <f t="shared" si="298"/>
        <v xml:space="preserve">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29" s="14" t="str">
        <f t="shared" si="299"/>
        <v xml:space="preserve">local biz(1,6.25%),  </v>
      </c>
      <c r="CC129" s="27" t="str">
        <f t="shared" ref="CC129:EK144" si="483">IF(CC21="",CC130,$C129&amp;"("&amp;CC21&amp;"),"&amp;CC130)</f>
        <v xml:space="preserve">local biz(6.25), </v>
      </c>
      <c r="CD129" s="14" t="str">
        <f t="shared" si="301"/>
        <v xml:space="preserve">ease of access(1)
reputation(1)
aesthetics(1)
 </v>
      </c>
      <c r="CE129" s="14" t="str">
        <f t="shared" si="302"/>
        <v xml:space="preserve">biz project(1,%),  </v>
      </c>
      <c r="CF129" s="14" t="str">
        <f t="shared" si="303"/>
        <v xml:space="preserve"> </v>
      </c>
      <c r="CG129" s="14" t="str">
        <f t="shared" si="304"/>
        <v xml:space="preserve">engineering knowledge(1), 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29" s="14" t="str">
        <f t="shared" si="305"/>
        <v xml:space="preserve">local biz(1,6.25%),  </v>
      </c>
      <c r="CI129" s="27" t="str">
        <f t="shared" si="483"/>
        <v xml:space="preserve">local biz(6.25), </v>
      </c>
      <c r="CJ129" s="14" t="str">
        <f t="shared" si="307"/>
        <v xml:space="preserve">ease of access(1)
reputation(1)
aesthetics(1)
 </v>
      </c>
      <c r="CK129" s="14" t="str">
        <f t="shared" si="308"/>
        <v xml:space="preserve">biz project(1,%),  </v>
      </c>
      <c r="CL129" s="14" t="str">
        <f t="shared" si="309"/>
        <v xml:space="preserve"> </v>
      </c>
      <c r="CM129" s="14" t="str">
        <f t="shared" si="310"/>
        <v xml:space="preserve">engineering knowledge(1), 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29" s="14" t="str">
        <f t="shared" si="311"/>
        <v xml:space="preserve">local biz(1,6.25%),  </v>
      </c>
      <c r="CO129" s="27" t="str">
        <f t="shared" si="483"/>
        <v xml:space="preserve">local biz(6.25), </v>
      </c>
      <c r="CP129" s="14" t="str">
        <f t="shared" si="313"/>
        <v xml:space="preserve">local biz(1)
metal processing(1)
functions(1)
 </v>
      </c>
      <c r="CQ129" s="14" t="str">
        <f t="shared" si="314"/>
        <v xml:space="preserve">local biz(1,50%), biz enhancement(1,50%),  </v>
      </c>
      <c r="CR129" s="14" t="str">
        <f t="shared" si="315"/>
        <v xml:space="preserve">local biz(50)
biz enhancement(50)
 </v>
      </c>
      <c r="CS129" s="14" t="str">
        <f t="shared" si="316"/>
        <v xml:space="preserve">network among members(1), gifted leader(1), gifted designer(1), enthusiasm(1), agility(2), attention to details(2), initiative(1), community manager(1), ease of access(2), reputation(3), efficiency(2), metal processing(2), electronics(2), aesthetics(2), functions(2), safety(2),  </v>
      </c>
      <c r="CT129" s="14" t="str">
        <f t="shared" si="317"/>
        <v xml:space="preserve">reputation(1,6.25%),  </v>
      </c>
      <c r="CU129" s="27" t="str">
        <f t="shared" si="483"/>
        <v xml:space="preserve">reputation(6.25), </v>
      </c>
      <c r="CV129" s="14" t="str">
        <f t="shared" si="319"/>
        <v xml:space="preserve">non-profits(1)
wood processing(1)
aesthetics(1)
interaction(1)
 </v>
      </c>
      <c r="CW129" s="14" t="str">
        <f t="shared" si="320"/>
        <v xml:space="preserve">non-profits(1,50%), social project(1,50%),  </v>
      </c>
      <c r="CX129" s="14" t="str">
        <f t="shared" si="321"/>
        <v xml:space="preserve">non-profits(50)
social project(50)
 </v>
      </c>
      <c r="CY129"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29" s="14" t="str">
        <f t="shared" si="323"/>
        <v xml:space="preserve">media(1,6.25%), reputation(1,6.25%), portfolio(1,6.25%),  </v>
      </c>
      <c r="DA129" s="27" t="str">
        <f t="shared" si="483"/>
        <v xml:space="preserve">media(6.25),reputation(6.25),portfolio(6.25), </v>
      </c>
      <c r="DB129" s="14" t="str">
        <f t="shared" si="325"/>
        <v xml:space="preserve">non-profits(1)
aesthetics(1)
interaction(1)
 </v>
      </c>
      <c r="DC129" s="14" t="str">
        <f t="shared" si="326"/>
        <v xml:space="preserve">non-profits(1,50%), social project(1,50%),  </v>
      </c>
      <c r="DD129" s="14" t="str">
        <f t="shared" si="327"/>
        <v xml:space="preserve">non-profits(50)
social project(50)
 </v>
      </c>
      <c r="DE129" s="14" t="str">
        <f t="shared" si="328"/>
        <v xml:space="preserve">gifted programmer(1), gifted designer(1), scale(2), enthusiasm(4), agility(2), ambition(4), attention to details(2), fun-ness(2), administrator(2), ease of access(2), efficiency(3), VR&amp;AR(2),  </v>
      </c>
      <c r="DF129" s="14" t="str">
        <f t="shared" si="329"/>
        <v xml:space="preserve">media(1,6.25%), reputation(1,6.25%), portfolio(1,6.25%),  </v>
      </c>
      <c r="DG129" s="27" t="str">
        <f t="shared" si="483"/>
        <v xml:space="preserve">media(6.25),reputation(6.25),portfolio(6.25), </v>
      </c>
      <c r="DH129" s="14" t="str">
        <f t="shared" si="331"/>
        <v xml:space="preserve">scale(1)
wood processing(1)
aesthetics(1)
safety(1)
 </v>
      </c>
      <c r="DI129" s="14" t="str">
        <f t="shared" si="332"/>
        <v xml:space="preserve">social project(1,100%),  </v>
      </c>
      <c r="DJ129" s="14" t="str">
        <f t="shared" si="333"/>
        <v xml:space="preserve">social project(100)
 </v>
      </c>
      <c r="DK129" s="14" t="str">
        <f t="shared" si="334"/>
        <v xml:space="preserve">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29" s="14" t="str">
        <f t="shared" si="335"/>
        <v xml:space="preserve">network among members(1,6.25%), enthusiasm(1,6.25%), agility(1,6.25%), fun-ness(1,6.25%), reputation(1,6.25%), portfolio(1,6.25%), team building(1,6.25%),  </v>
      </c>
      <c r="DM129" s="27" t="str">
        <f t="shared" si="483"/>
        <v xml:space="preserve">network among members(6.25),enthusiasm(6.25),agility(6.25),fun-ness(6.25),reputation(6.25),portfolio(6.25),team building(6.25), </v>
      </c>
      <c r="DN129"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29" s="14" t="str">
        <f t="shared" si="338"/>
        <v xml:space="preserve">reputation(1,25%), portfolio(1,50%),  </v>
      </c>
      <c r="DP129" s="14" t="str">
        <f t="shared" si="339"/>
        <v xml:space="preserve">reputation(25)
portfolio(50)
 </v>
      </c>
      <c r="DQ129" s="14" t="str">
        <f t="shared" si="340"/>
        <v xml:space="preserve">engineering knowledge(2), network among members(1), gifted leader(1), gifted assistant(1), gifted designer(1), ambition(1), attention to details(3), fun-ness(3), administrator(1), media(3), suppliers(3), social media(2), wood processing(2), plastic processing(2), electronics(2), aesthetics(2),  </v>
      </c>
      <c r="DR129" s="14" t="str">
        <f t="shared" si="341"/>
        <v xml:space="preserve">suppliers(1,6.25%), reputation(1,6.25%),  </v>
      </c>
      <c r="DS129" s="27" t="str">
        <f t="shared" si="483"/>
        <v xml:space="preserve">suppliers(6.25),reputation(6.25), </v>
      </c>
      <c r="DT129" s="14" t="str">
        <f t="shared" si="343"/>
        <v xml:space="preserve">scale(2)
attention to details(2)
leader(1)
fame(1)
network(2)
reputation(3)
portfolio(2)
 </v>
      </c>
      <c r="DU129" s="14" t="str">
        <f t="shared" si="344"/>
        <v xml:space="preserve">fame(1,25%), govt(1,25%), non-profits(1,50%), reputation(1,25%),  </v>
      </c>
      <c r="DV129" s="14" t="str">
        <f t="shared" si="345"/>
        <v xml:space="preserve">fame(25)
govt(25)
non-profits(50)
reputation(25)
 </v>
      </c>
      <c r="DW129" s="14" t="str">
        <f t="shared" si="346"/>
        <v xml:space="preserve">enthusiasm(3), ambition(2), attention to details(2), PR(1), administrator(1), social media(2),  </v>
      </c>
      <c r="DX129" s="14" t="str">
        <f t="shared" si="347"/>
        <v xml:space="preserve">ambition(1,6.25%), fame(1,6.25%), reputation(1,6.25%),  </v>
      </c>
      <c r="DY129" s="27" t="str">
        <f t="shared" si="483"/>
        <v xml:space="preserve">ambition(6.25),fame(6.25),reputation(6.25), </v>
      </c>
      <c r="DZ129" s="14" t="str">
        <f t="shared" si="349"/>
        <v xml:space="preserve"> </v>
      </c>
      <c r="EA129" s="14" t="str">
        <f t="shared" si="350"/>
        <v xml:space="preserve"> </v>
      </c>
      <c r="EB129" s="14" t="str">
        <f t="shared" si="351"/>
        <v xml:space="preserve"> </v>
      </c>
      <c r="EC129" s="14" t="str">
        <f t="shared" si="352"/>
        <v xml:space="preserve"> </v>
      </c>
      <c r="ED129" s="14" t="str">
        <f t="shared" si="353"/>
        <v xml:space="preserve"> </v>
      </c>
      <c r="EE129" s="27" t="str">
        <f t="shared" si="483"/>
        <v xml:space="preserve"> </v>
      </c>
      <c r="EF129" s="14" t="str">
        <f t="shared" si="355"/>
        <v xml:space="preserve"> </v>
      </c>
      <c r="EG129" s="14" t="str">
        <f t="shared" si="356"/>
        <v xml:space="preserve"> </v>
      </c>
      <c r="EH129" s="14" t="str">
        <f t="shared" si="357"/>
        <v xml:space="preserve"> </v>
      </c>
      <c r="EI129" s="14" t="str">
        <f t="shared" si="358"/>
        <v xml:space="preserve"> </v>
      </c>
      <c r="EJ129" s="14" t="str">
        <f t="shared" si="359"/>
        <v xml:space="preserve"> </v>
      </c>
      <c r="EK129" s="27" t="str">
        <f t="shared" si="483"/>
        <v xml:space="preserve"> </v>
      </c>
      <c r="EL129" s="14" t="str">
        <f t="shared" si="361"/>
        <v xml:space="preserve"> </v>
      </c>
      <c r="EM129" s="14" t="str">
        <f t="shared" si="362"/>
        <v xml:space="preserve"> </v>
      </c>
      <c r="EN129" s="14" t="str">
        <f t="shared" si="363"/>
        <v xml:space="preserve"> </v>
      </c>
      <c r="EO129" s="14" t="str">
        <f t="shared" si="364"/>
        <v xml:space="preserve"> </v>
      </c>
      <c r="EP129" s="14" t="str">
        <f t="shared" si="365"/>
        <v xml:space="preserve"> </v>
      </c>
      <c r="EQ129" s="27" t="str">
        <f t="shared" ref="EQ129:GY144" si="484">IF(EQ21="",EQ130,$C129&amp;"("&amp;EQ21&amp;"),"&amp;EQ130)</f>
        <v xml:space="preserve"> </v>
      </c>
      <c r="ER129" s="14" t="str">
        <f t="shared" si="367"/>
        <v xml:space="preserve"> </v>
      </c>
      <c r="ES129" s="14" t="str">
        <f t="shared" si="368"/>
        <v xml:space="preserve"> </v>
      </c>
      <c r="ET129" s="14" t="str">
        <f t="shared" si="369"/>
        <v xml:space="preserve"> </v>
      </c>
      <c r="EU129" s="14" t="str">
        <f t="shared" si="370"/>
        <v xml:space="preserve"> </v>
      </c>
      <c r="EV129" s="14" t="str">
        <f t="shared" si="371"/>
        <v xml:space="preserve"> </v>
      </c>
      <c r="EW129" s="27" t="str">
        <f t="shared" si="484"/>
        <v xml:space="preserve"> </v>
      </c>
      <c r="EX129" s="14" t="str">
        <f t="shared" si="373"/>
        <v xml:space="preserve"> </v>
      </c>
      <c r="EY129" s="14" t="str">
        <f t="shared" si="374"/>
        <v xml:space="preserve"> </v>
      </c>
      <c r="EZ129" s="14" t="str">
        <f t="shared" si="375"/>
        <v xml:space="preserve"> </v>
      </c>
      <c r="FA129" s="14" t="str">
        <f t="shared" si="376"/>
        <v xml:space="preserve"> </v>
      </c>
      <c r="FB129" s="14" t="str">
        <f t="shared" si="377"/>
        <v xml:space="preserve"> </v>
      </c>
      <c r="FC129" s="27" t="str">
        <f t="shared" si="484"/>
        <v xml:space="preserve"> </v>
      </c>
      <c r="FD129" s="14" t="str">
        <f t="shared" si="379"/>
        <v xml:space="preserve"> </v>
      </c>
      <c r="FE129" s="14" t="str">
        <f t="shared" si="380"/>
        <v xml:space="preserve"> </v>
      </c>
      <c r="FF129" s="14" t="str">
        <f t="shared" si="381"/>
        <v xml:space="preserve"> </v>
      </c>
      <c r="FG129" s="14" t="str">
        <f t="shared" si="382"/>
        <v xml:space="preserve"> </v>
      </c>
      <c r="FH129" s="14" t="str">
        <f t="shared" si="383"/>
        <v xml:space="preserve"> </v>
      </c>
      <c r="FI129" s="27" t="str">
        <f t="shared" si="484"/>
        <v xml:space="preserve"> </v>
      </c>
      <c r="FJ129" s="14" t="str">
        <f t="shared" si="385"/>
        <v xml:space="preserve"> </v>
      </c>
      <c r="FK129" s="14" t="str">
        <f t="shared" si="386"/>
        <v xml:space="preserve"> </v>
      </c>
      <c r="FL129" s="14" t="str">
        <f t="shared" si="387"/>
        <v xml:space="preserve"> </v>
      </c>
      <c r="FM129" s="14" t="str">
        <f t="shared" si="388"/>
        <v xml:space="preserve"> </v>
      </c>
      <c r="FN129" s="14" t="str">
        <f t="shared" si="389"/>
        <v xml:space="preserve"> </v>
      </c>
      <c r="FO129" s="27" t="str">
        <f t="shared" si="484"/>
        <v xml:space="preserve"> </v>
      </c>
      <c r="FP129" s="14" t="str">
        <f t="shared" si="391"/>
        <v xml:space="preserve"> </v>
      </c>
      <c r="FQ129" s="14" t="str">
        <f t="shared" si="392"/>
        <v xml:space="preserve"> </v>
      </c>
      <c r="FR129" s="14" t="str">
        <f t="shared" si="393"/>
        <v xml:space="preserve"> </v>
      </c>
      <c r="FS129" s="14" t="str">
        <f t="shared" si="394"/>
        <v xml:space="preserve"> </v>
      </c>
      <c r="FT129" s="14" t="str">
        <f t="shared" si="395"/>
        <v xml:space="preserve"> </v>
      </c>
      <c r="FU129" s="27" t="str">
        <f t="shared" si="484"/>
        <v xml:space="preserve"> </v>
      </c>
      <c r="FV129" s="14" t="str">
        <f t="shared" si="397"/>
        <v xml:space="preserve"> </v>
      </c>
      <c r="FW129" s="14" t="str">
        <f t="shared" si="398"/>
        <v xml:space="preserve"> </v>
      </c>
      <c r="FX129" s="14" t="str">
        <f t="shared" si="399"/>
        <v xml:space="preserve"> </v>
      </c>
      <c r="FY129" s="14" t="str">
        <f t="shared" si="400"/>
        <v xml:space="preserve"> </v>
      </c>
      <c r="FZ129" s="14" t="str">
        <f t="shared" si="401"/>
        <v xml:space="preserve"> </v>
      </c>
      <c r="GA129" s="27" t="str">
        <f t="shared" si="484"/>
        <v xml:space="preserve"> </v>
      </c>
      <c r="GB129" s="14" t="str">
        <f t="shared" si="403"/>
        <v xml:space="preserve"> </v>
      </c>
      <c r="GC129" s="14" t="str">
        <f t="shared" si="404"/>
        <v xml:space="preserve"> </v>
      </c>
      <c r="GD129" s="14" t="str">
        <f t="shared" si="405"/>
        <v xml:space="preserve"> </v>
      </c>
      <c r="GE129" s="14" t="str">
        <f t="shared" si="406"/>
        <v xml:space="preserve"> </v>
      </c>
      <c r="GF129" s="14" t="str">
        <f t="shared" si="407"/>
        <v xml:space="preserve"> </v>
      </c>
      <c r="GG129" s="27" t="str">
        <f t="shared" si="484"/>
        <v xml:space="preserve"> </v>
      </c>
      <c r="GH129" s="14" t="str">
        <f t="shared" si="409"/>
        <v xml:space="preserve"> </v>
      </c>
      <c r="GI129" s="14" t="str">
        <f t="shared" si="410"/>
        <v xml:space="preserve"> </v>
      </c>
      <c r="GJ129" s="14" t="str">
        <f t="shared" si="411"/>
        <v xml:space="preserve"> </v>
      </c>
      <c r="GK129" s="14" t="str">
        <f t="shared" si="412"/>
        <v xml:space="preserve"> </v>
      </c>
      <c r="GL129" s="14" t="str">
        <f t="shared" si="413"/>
        <v xml:space="preserve"> </v>
      </c>
      <c r="GM129" s="27" t="str">
        <f t="shared" si="484"/>
        <v xml:space="preserve"> </v>
      </c>
      <c r="GN129" s="14" t="str">
        <f t="shared" si="415"/>
        <v xml:space="preserve"> </v>
      </c>
      <c r="GO129" s="14" t="str">
        <f t="shared" si="416"/>
        <v xml:space="preserve"> </v>
      </c>
      <c r="GP129" s="14" t="str">
        <f t="shared" si="417"/>
        <v xml:space="preserve"> </v>
      </c>
      <c r="GQ129" s="14" t="str">
        <f t="shared" si="418"/>
        <v xml:space="preserve"> </v>
      </c>
      <c r="GR129" s="14" t="str">
        <f t="shared" si="419"/>
        <v xml:space="preserve"> </v>
      </c>
      <c r="GS129" s="27" t="str">
        <f t="shared" si="484"/>
        <v xml:space="preserve"> </v>
      </c>
      <c r="GT129" s="14" t="str">
        <f t="shared" si="421"/>
        <v xml:space="preserve"> </v>
      </c>
      <c r="GU129" s="14" t="str">
        <f t="shared" si="422"/>
        <v xml:space="preserve"> </v>
      </c>
      <c r="GV129" s="14" t="str">
        <f t="shared" si="423"/>
        <v xml:space="preserve"> </v>
      </c>
      <c r="GW129" s="14" t="str">
        <f t="shared" si="424"/>
        <v xml:space="preserve"> </v>
      </c>
      <c r="GX129" s="14" t="str">
        <f t="shared" si="425"/>
        <v xml:space="preserve"> </v>
      </c>
      <c r="GY129" s="27" t="str">
        <f t="shared" si="484"/>
        <v xml:space="preserve"> </v>
      </c>
      <c r="GZ129" s="14" t="str">
        <f t="shared" si="427"/>
        <v xml:space="preserve"> </v>
      </c>
      <c r="HA129" s="14" t="str">
        <f t="shared" si="428"/>
        <v xml:space="preserve"> </v>
      </c>
      <c r="HB129" s="14" t="str">
        <f t="shared" si="429"/>
        <v xml:space="preserve"> </v>
      </c>
      <c r="HC129" s="14" t="str">
        <f t="shared" si="430"/>
        <v xml:space="preserve"> </v>
      </c>
      <c r="HD129" s="14" t="str">
        <f t="shared" si="431"/>
        <v xml:space="preserve"> </v>
      </c>
      <c r="HE129" s="27" t="str">
        <f t="shared" ref="HE129:HQ144" si="485">IF(HE21="",HE130,$C129&amp;"("&amp;HE21&amp;"),"&amp;HE130)</f>
        <v xml:space="preserve"> </v>
      </c>
      <c r="HF129" s="14" t="str">
        <f t="shared" si="433"/>
        <v xml:space="preserve"> </v>
      </c>
      <c r="HG129" s="14" t="str">
        <f t="shared" si="434"/>
        <v xml:space="preserve"> </v>
      </c>
      <c r="HH129" s="14" t="str">
        <f t="shared" si="435"/>
        <v xml:space="preserve"> </v>
      </c>
      <c r="HI129" s="14" t="str">
        <f t="shared" si="436"/>
        <v xml:space="preserve"> </v>
      </c>
      <c r="HJ129" s="14" t="str">
        <f t="shared" si="437"/>
        <v xml:space="preserve"> </v>
      </c>
      <c r="HK129" s="27" t="str">
        <f t="shared" si="485"/>
        <v xml:space="preserve"> </v>
      </c>
      <c r="HL129" s="14" t="str">
        <f t="shared" si="439"/>
        <v xml:space="preserve"> </v>
      </c>
      <c r="HM129" s="14" t="str">
        <f t="shared" si="440"/>
        <v xml:space="preserve"> </v>
      </c>
      <c r="HN129" s="14" t="str">
        <f t="shared" si="441"/>
        <v xml:space="preserve"> </v>
      </c>
      <c r="HO129" s="14" t="str">
        <f t="shared" si="442"/>
        <v xml:space="preserve"> </v>
      </c>
      <c r="HP129" s="14" t="str">
        <f t="shared" si="443"/>
        <v xml:space="preserve"> </v>
      </c>
      <c r="HQ129" s="27" t="str">
        <f t="shared" si="485"/>
        <v xml:space="preserve"> </v>
      </c>
    </row>
    <row r="130" spans="1:225" ht="15.75" customHeight="1">
      <c r="A130" s="7">
        <f t="shared" ref="A130:C130" si="486">A22</f>
        <v>0</v>
      </c>
      <c r="B130" s="7">
        <f t="shared" si="486"/>
        <v>0</v>
      </c>
      <c r="C130" s="7" t="str">
        <f t="shared" si="486"/>
        <v>network among members</v>
      </c>
      <c r="D130" s="14" t="str">
        <f t="shared" si="446"/>
        <v xml:space="preserve"> </v>
      </c>
      <c r="E130" s="14" t="str">
        <f t="shared" si="447"/>
        <v xml:space="preserve"> </v>
      </c>
      <c r="F130" s="14" t="str">
        <f t="shared" si="448"/>
        <v xml:space="preserve"> </v>
      </c>
      <c r="G130" s="14" t="str">
        <f t="shared" si="449"/>
        <v xml:space="preserve">attention to details(1.1), efficiency(1), user rules and manuals(2.1), organizational rules and manuals(2.1),  </v>
      </c>
      <c r="H130" s="14" t="str">
        <f t="shared" si="450"/>
        <v xml:space="preserve">efficiency(-1,6.25%),  </v>
      </c>
      <c r="I130" s="27" t="str">
        <f t="shared" ref="I130" si="487">IF(I22="",I131,$C130&amp;"("&amp;I22&amp;"),"&amp;I131)</f>
        <v xml:space="preserve">efficiency(6.25), </v>
      </c>
      <c r="J130" s="14" t="str">
        <f t="shared" si="229"/>
        <v xml:space="preserve">scale(1)
enthusiasm(1)
 </v>
      </c>
      <c r="K130" s="14" t="str">
        <f t="shared" si="230"/>
        <v xml:space="preserve">scale(-1,12.5%), enthusiasm(-1,25%),  </v>
      </c>
      <c r="L130" s="14" t="str">
        <f t="shared" si="231"/>
        <v xml:space="preserve">scale(12.5)
enthusiasm(25)
 </v>
      </c>
      <c r="M130" s="14" t="str">
        <f t="shared" si="232"/>
        <v xml:space="preserve">scale(1.1), efficiency(0.1), organizational rules and manuals(1.1),  </v>
      </c>
      <c r="N130" s="14" t="str">
        <f t="shared" si="233"/>
        <v xml:space="preserve">agility(-1,6.75%), ambition(-1,6.75%), fun-ness(-1,6.75%), initiative(-1,6.75%),  </v>
      </c>
      <c r="O130" s="27" t="str">
        <f t="shared" si="482"/>
        <v xml:space="preserve">agility(6.75),ambition(6.75),fun-ness(6.75),initiative(6.75), </v>
      </c>
      <c r="P130" s="14" t="str">
        <f t="shared" si="235"/>
        <v xml:space="preserve"> </v>
      </c>
      <c r="Q130" s="14" t="str">
        <f t="shared" si="236"/>
        <v xml:space="preserve">gifted leader(-1,25%), gifted programmer(-1,25%), gifted designer(-1,25%),  </v>
      </c>
      <c r="R130" s="14" t="str">
        <f t="shared" si="237"/>
        <v xml:space="preserve">gifted leader(25)
gifted programmer(25)
gifted designer(25)
 </v>
      </c>
      <c r="S130" s="14" t="str">
        <f t="shared" si="238"/>
        <v xml:space="preserve">network among members(0.1), gifted leader(1), gifted programmer(1), gifted designer(1), ambition(1), attention to details(0.1), community manager(0.1), team building(0.1),  </v>
      </c>
      <c r="T130" s="14" t="str">
        <f t="shared" si="239"/>
        <v xml:space="preserve">ambition(-1,%), business model(-1,6.25%), web(-1,6.25%), mobile apps(-1,6.25%), aesthetics(-1,6.25%),  </v>
      </c>
      <c r="U130" s="27" t="str">
        <f t="shared" si="482"/>
        <v xml:space="preserve">business model(6.25),web(6.25),mobile apps(6.25),aesthetics(6.25), </v>
      </c>
      <c r="V130" s="14" t="str">
        <f t="shared" si="241"/>
        <v xml:space="preserve">scale(1)
 </v>
      </c>
      <c r="W130" s="14" t="str">
        <f t="shared" si="242"/>
        <v xml:space="preserve">enthusiasm(-1,25%), efficiency(-1,25%),  </v>
      </c>
      <c r="X130" s="14" t="str">
        <f t="shared" si="243"/>
        <v xml:space="preserve">enthusiasm(25)
efficiency(25)
 </v>
      </c>
      <c r="Y130" s="14" t="str">
        <f t="shared" si="244"/>
        <v xml:space="preserve">community manager(0.1), administrator(0.1), spaciousness(1), ease of access(3), reputation(2), user rules and manuals(0.1), project management(0.1), negotiation(0.1),  </v>
      </c>
      <c r="Z130" s="14" t="str">
        <f t="shared" si="245"/>
        <v xml:space="preserve">reputation(-1,%),  </v>
      </c>
      <c r="AA130" s="27" t="str">
        <f t="shared" si="482"/>
        <v xml:space="preserve"> </v>
      </c>
      <c r="AB130" s="14" t="str">
        <f t="shared" si="247"/>
        <v xml:space="preserve"> </v>
      </c>
      <c r="AC130" s="14" t="str">
        <f t="shared" si="248"/>
        <v xml:space="preserve"> </v>
      </c>
      <c r="AD130" s="14" t="str">
        <f t="shared" si="249"/>
        <v xml:space="preserve"> </v>
      </c>
      <c r="AE130" s="14" t="str">
        <f t="shared" si="250"/>
        <v xml:space="preserve">network among members(0.1), scale(1.1), attention to details(0.1), seriousness(0.1), initiative(0.1), spaciousness(1), user rules and manuals(1.1), organizational rules and manuals(1.1),  </v>
      </c>
      <c r="AF130" s="14" t="str">
        <f t="shared" si="251"/>
        <v xml:space="preserve">enthusiasm(-1,%), local biz(-1,6.25%), investors(-1,6.25%), non-profits(-1,6.25%), efficiency(-1,6.25%),  </v>
      </c>
      <c r="AG130" s="27" t="str">
        <f t="shared" si="482"/>
        <v xml:space="preserve">local biz(6.25),investors(6.25),non-profits(6.25),efficiency(6.25), </v>
      </c>
      <c r="AH130" s="14" t="str">
        <f t="shared" si="253"/>
        <v xml:space="preserve">fun-ness(1)
ease of access(1)
reputation(1)
 </v>
      </c>
      <c r="AI130" s="14" t="str">
        <f t="shared" si="254"/>
        <v xml:space="preserve"> </v>
      </c>
      <c r="AJ130" s="14" t="str">
        <f t="shared" si="255"/>
        <v xml:space="preserve"> </v>
      </c>
      <c r="AK130" s="14" t="str">
        <f t="shared" si="256"/>
        <v xml:space="preserve">scale(3.1), attention to details(2.1), seriousness(2.1), community manager(2.1), administrator(2.1), spaciousness(1), ease of access(1), reputation(2), user rules and manuals(2.1), organizational rules and manuals(2.1), law(1.1), negotiation(1.1),  </v>
      </c>
      <c r="AL130" s="14" t="str">
        <f t="shared" si="257"/>
        <v xml:space="preserve">govt(-1,6.25%), non-profits(-1,6.25%), reputation(-1,6.25%),  </v>
      </c>
      <c r="AM130" s="27" t="str">
        <f t="shared" si="482"/>
        <v xml:space="preserve">govt(6.25),non-profits(6.25),reputation(6.25), </v>
      </c>
      <c r="AN130" s="14" t="str">
        <f t="shared" si="259"/>
        <v xml:space="preserve">scale(1)
fun-ness(1)
seriousness(1)
 </v>
      </c>
      <c r="AO130" s="14" t="str">
        <f t="shared" si="260"/>
        <v xml:space="preserve">enthusiasm(-1,25%),  </v>
      </c>
      <c r="AP130" s="14" t="str">
        <f t="shared" si="261"/>
        <v xml:space="preserve">enthusiasm(25)
 </v>
      </c>
      <c r="AQ130" s="14" t="str">
        <f t="shared" si="262"/>
        <v xml:space="preserve">scale(1), fun-ness(1), spaciousness(2.1), reputation(3), organizational rules and manuals(2.1), team building(2.1),  </v>
      </c>
      <c r="AR130" s="14" t="str">
        <f t="shared" si="263"/>
        <v xml:space="preserve">enthusiasm(-1,12.5%), fun-ness(-1,6.25%), reputation(-1,6.25%), efficiency(-1,6.25%),  </v>
      </c>
      <c r="AS130" s="27" t="str">
        <f t="shared" si="482"/>
        <v xml:space="preserve">enthusiasm(12.5),fun-ness(6.25),reputation(6.25),efficiency(6.25), </v>
      </c>
      <c r="AT130" s="14" t="str">
        <f t="shared" si="265"/>
        <v xml:space="preserve">network among members(3.1)
 </v>
      </c>
      <c r="AU130" s="14" t="str">
        <f t="shared" si="266"/>
        <v xml:space="preserve"> </v>
      </c>
      <c r="AV130" s="14" t="str">
        <f t="shared" si="267"/>
        <v xml:space="preserve"> </v>
      </c>
      <c r="AW130" s="14" t="str">
        <f t="shared" si="268"/>
        <v xml:space="preserve">attention to details(3.1), fun-ness(3.1), seriousness(3.1), initiative(2.1), leader(2.1), community manager(2.1), user rules and manuals(2.1), team building(2.1),  </v>
      </c>
      <c r="AX130" s="14" t="str">
        <f t="shared" si="269"/>
        <v xml:space="preserve">network among members(-1,6.25%), gifted assistant(-1,6.25%),  </v>
      </c>
      <c r="AY130" s="27" t="str">
        <f t="shared" si="482"/>
        <v xml:space="preserve">network among members(6.25),gifted assistant(6.25), </v>
      </c>
      <c r="AZ130" s="14" t="str">
        <f t="shared" si="271"/>
        <v xml:space="preserve"> </v>
      </c>
      <c r="BA130" s="14" t="str">
        <f t="shared" si="272"/>
        <v xml:space="preserve">attention to details(1,12.5%), fun-ness(-1,12.5%), seriousness(1,12.5%), efficiency(-1,12.5%), user rules and manuals(1,25%),  </v>
      </c>
      <c r="BB130" s="14" t="str">
        <f t="shared" si="273"/>
        <v xml:space="preserve">attention to details(12.5)
fun-ness(12.5)
seriousness(12.5)
efficiency(12.5)
user rules and manuals(25)
 </v>
      </c>
      <c r="BC130" s="14" t="str">
        <f t="shared" si="274"/>
        <v xml:space="preserve">agility(1.1), attention to details(1.1), seriousness(1.1), community manager(1.1), administrator(1.1), user rules and manuals(2.1), organizational rules and manuals(2.1),  </v>
      </c>
      <c r="BD130" s="14" t="str">
        <f t="shared" si="275"/>
        <v xml:space="preserve">enthusiasm(-1,6.25%), reputation(-1,6.25%),  </v>
      </c>
      <c r="BE130" s="27" t="str">
        <f t="shared" si="482"/>
        <v xml:space="preserve">enthusiasm(6.25),reputation(6.25), </v>
      </c>
      <c r="BF130" s="14" t="str">
        <f t="shared" si="277"/>
        <v xml:space="preserve"> </v>
      </c>
      <c r="BG130" s="14" t="str">
        <f t="shared" si="278"/>
        <v xml:space="preserve">enthusiasm(-1,25%), attention to details(1,25%), fun-ness(-1,25%), seriousness(1,25%), user rules and manuals(1,25%), organizational rules and manuals(1,25%),  </v>
      </c>
      <c r="BH130" s="14" t="str">
        <f t="shared" si="279"/>
        <v xml:space="preserve">enthusiasm(25)
attention to details(25)
fun-ness(25)
seriousness(25)
user rules and manuals(25)
organizational rules and manuals(25)
 </v>
      </c>
      <c r="BI130" s="14" t="str">
        <f t="shared" si="280"/>
        <v xml:space="preserve">enthusiasm(1), fun-ness(1), seriousness(2.1), community manager(1.1), administrator(1.1),  </v>
      </c>
      <c r="BJ130" s="14" t="str">
        <f t="shared" si="281"/>
        <v xml:space="preserve">reputation(-1,6.25%), efficiency(-1,25%),  </v>
      </c>
      <c r="BK130" s="27" t="str">
        <f t="shared" si="482"/>
        <v xml:space="preserve">reputation(6.25),efficiency(25), </v>
      </c>
      <c r="BL130" s="14" t="str">
        <f t="shared" si="283"/>
        <v xml:space="preserve">local biz(1)
ease of access(1)
reputation(1)
aesthetics(1)
 </v>
      </c>
      <c r="BM130" s="14" t="str">
        <f t="shared" si="284"/>
        <v xml:space="preserve">biz enhancement(1,%),  </v>
      </c>
      <c r="BN130" s="14" t="str">
        <f t="shared" si="285"/>
        <v xml:space="preserve"> </v>
      </c>
      <c r="BO130" s="14" t="str">
        <f t="shared" si="286"/>
        <v xml:space="preserve">network among members(1), gifted assistant(1), gifted designer(1), enthusiasm(1), agility(2), attention to details(2), initiative(1), community manager(1), PR(1), administrator(2), ease of access(2), reputation(3), efficiency(2), user rules and manuals(1), marketing(1), negotiation(1), aesthetics(2), functions(1), safety(1),  </v>
      </c>
      <c r="BP130" s="14" t="str">
        <f t="shared" si="287"/>
        <v xml:space="preserve">local biz(1,6.25%),  </v>
      </c>
      <c r="BQ130" s="27" t="str">
        <f t="shared" si="482"/>
        <v xml:space="preserve">local biz(6.25), </v>
      </c>
      <c r="BR130" s="14" t="str">
        <f t="shared" si="289"/>
        <v xml:space="preserve">scale(1)
local biz(1)
ease of access(1)
reputation(1)
aesthetics(1)
 </v>
      </c>
      <c r="BS130" s="14" t="str">
        <f t="shared" si="290"/>
        <v xml:space="preserve">biz project(1,%),  </v>
      </c>
      <c r="BT130" s="14" t="str">
        <f t="shared" si="291"/>
        <v xml:space="preserve"> </v>
      </c>
      <c r="BU130" s="14" t="str">
        <f t="shared" si="292"/>
        <v xml:space="preserve">network among members(1), gifted assistant(1), gifted designer(1), scale(1), enthusiasm(1), agility(2), attention to details(2), initiative(1), community manager(1), PR(1), administrator(2), ease of access(2), reputation(3), efficiency(2), user rules and manuals(1), marketing(1), negotiation(1), wood processing(1), aesthetics(2),  </v>
      </c>
      <c r="BV130" s="14" t="str">
        <f t="shared" si="293"/>
        <v xml:space="preserve">local biz(1,6.25%),  </v>
      </c>
      <c r="BW130" s="27" t="str">
        <f t="shared" si="482"/>
        <v xml:space="preserve">local biz(6.25), </v>
      </c>
      <c r="BX130" s="14" t="str">
        <f t="shared" si="295"/>
        <v xml:space="preserve">local biz(1)
ease of access(1)
reputation(1)
aesthetics(1)
interaction(1)
 </v>
      </c>
      <c r="BY130" s="14" t="str">
        <f t="shared" si="296"/>
        <v xml:space="preserve">biz project(1,%),  </v>
      </c>
      <c r="BZ130" s="14" t="str">
        <f t="shared" si="297"/>
        <v xml:space="preserve"> </v>
      </c>
      <c r="CA130" s="14" t="str">
        <f t="shared" si="298"/>
        <v xml:space="preserve">network among members(1), 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0" s="14" t="str">
        <f t="shared" si="299"/>
        <v xml:space="preserve">local biz(1,6.25%),  </v>
      </c>
      <c r="CC130" s="27" t="str">
        <f t="shared" si="483"/>
        <v xml:space="preserve">local biz(6.25), </v>
      </c>
      <c r="CD130" s="14" t="str">
        <f t="shared" si="301"/>
        <v xml:space="preserve">ease of access(1)
reputation(1)
aesthetics(1)
 </v>
      </c>
      <c r="CE130" s="14" t="str">
        <f t="shared" si="302"/>
        <v xml:space="preserve">biz project(1,%),  </v>
      </c>
      <c r="CF130" s="14" t="str">
        <f t="shared" si="303"/>
        <v xml:space="preserve"> </v>
      </c>
      <c r="CG130" s="14" t="str">
        <f t="shared" si="304"/>
        <v xml:space="preserve">network among members(1), 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30" s="14" t="str">
        <f t="shared" si="305"/>
        <v xml:space="preserve">local biz(1,6.25%),  </v>
      </c>
      <c r="CI130" s="27" t="str">
        <f t="shared" si="483"/>
        <v xml:space="preserve">local biz(6.25), </v>
      </c>
      <c r="CJ130" s="14" t="str">
        <f t="shared" si="307"/>
        <v xml:space="preserve">ease of access(1)
reputation(1)
aesthetics(1)
 </v>
      </c>
      <c r="CK130" s="14" t="str">
        <f t="shared" si="308"/>
        <v xml:space="preserve">biz project(1,%),  </v>
      </c>
      <c r="CL130" s="14" t="str">
        <f t="shared" si="309"/>
        <v xml:space="preserve"> </v>
      </c>
      <c r="CM130" s="14" t="str">
        <f t="shared" si="310"/>
        <v xml:space="preserve">network among members(1), 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0" s="14" t="str">
        <f t="shared" si="311"/>
        <v xml:space="preserve">local biz(1,6.25%),  </v>
      </c>
      <c r="CO130" s="27" t="str">
        <f t="shared" si="483"/>
        <v xml:space="preserve">local biz(6.25), </v>
      </c>
      <c r="CP130" s="14" t="str">
        <f t="shared" si="313"/>
        <v xml:space="preserve">local biz(1)
metal processing(1)
functions(1)
 </v>
      </c>
      <c r="CQ130" s="14" t="str">
        <f t="shared" si="314"/>
        <v xml:space="preserve">local biz(1,50%), biz enhancement(1,50%),  </v>
      </c>
      <c r="CR130" s="14" t="str">
        <f t="shared" si="315"/>
        <v xml:space="preserve">local biz(50)
biz enhancement(50)
 </v>
      </c>
      <c r="CS130" s="14" t="str">
        <f t="shared" si="316"/>
        <v xml:space="preserve">network among members(1), gifted leader(1), gifted designer(1), enthusiasm(1), agility(2), attention to details(2), initiative(1), community manager(1), ease of access(2), reputation(3), efficiency(2), metal processing(2), electronics(2), aesthetics(2), functions(2), safety(2),  </v>
      </c>
      <c r="CT130" s="14" t="str">
        <f t="shared" si="317"/>
        <v xml:space="preserve">reputation(1,6.25%),  </v>
      </c>
      <c r="CU130" s="27" t="str">
        <f t="shared" si="483"/>
        <v xml:space="preserve">reputation(6.25), </v>
      </c>
      <c r="CV130" s="14" t="str">
        <f t="shared" si="319"/>
        <v xml:space="preserve">non-profits(1)
wood processing(1)
aesthetics(1)
interaction(1)
 </v>
      </c>
      <c r="CW130" s="14" t="str">
        <f t="shared" si="320"/>
        <v xml:space="preserve">non-profits(1,50%), social project(1,50%),  </v>
      </c>
      <c r="CX130" s="14" t="str">
        <f t="shared" si="321"/>
        <v xml:space="preserve">non-profits(50)
social project(50)
 </v>
      </c>
      <c r="CY130"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30" s="14" t="str">
        <f t="shared" si="323"/>
        <v xml:space="preserve">media(1,6.25%), reputation(1,6.25%), portfolio(1,6.25%),  </v>
      </c>
      <c r="DA130" s="27" t="str">
        <f t="shared" si="483"/>
        <v xml:space="preserve">media(6.25),reputation(6.25),portfolio(6.25), </v>
      </c>
      <c r="DB130" s="14" t="str">
        <f t="shared" si="325"/>
        <v xml:space="preserve">non-profits(1)
aesthetics(1)
interaction(1)
 </v>
      </c>
      <c r="DC130" s="14" t="str">
        <f t="shared" si="326"/>
        <v xml:space="preserve">non-profits(1,50%), social project(1,50%),  </v>
      </c>
      <c r="DD130" s="14" t="str">
        <f t="shared" si="327"/>
        <v xml:space="preserve">non-profits(50)
social project(50)
 </v>
      </c>
      <c r="DE130" s="14" t="str">
        <f t="shared" si="328"/>
        <v xml:space="preserve">gifted programmer(1), gifted designer(1), scale(2), enthusiasm(4), agility(2), ambition(4), attention to details(2), fun-ness(2), administrator(2), ease of access(2), efficiency(3), VR&amp;AR(2),  </v>
      </c>
      <c r="DF130" s="14" t="str">
        <f t="shared" si="329"/>
        <v xml:space="preserve">media(1,6.25%), reputation(1,6.25%), portfolio(1,6.25%),  </v>
      </c>
      <c r="DG130" s="27" t="str">
        <f t="shared" si="483"/>
        <v xml:space="preserve">media(6.25),reputation(6.25),portfolio(6.25), </v>
      </c>
      <c r="DH130" s="14" t="str">
        <f t="shared" si="331"/>
        <v xml:space="preserve">scale(1)
wood processing(1)
aesthetics(1)
safety(1)
 </v>
      </c>
      <c r="DI130" s="14" t="str">
        <f t="shared" si="332"/>
        <v xml:space="preserve">social project(1,100%),  </v>
      </c>
      <c r="DJ130" s="14" t="str">
        <f t="shared" si="333"/>
        <v xml:space="preserve">social project(100)
 </v>
      </c>
      <c r="DK130" s="14" t="str">
        <f t="shared" si="334"/>
        <v xml:space="preserve">network among members(2), 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0" s="14" t="str">
        <f t="shared" si="335"/>
        <v xml:space="preserve">network among members(1,6.25%), enthusiasm(1,6.25%), agility(1,6.25%), fun-ness(1,6.25%), reputation(1,6.25%), portfolio(1,6.25%), team building(1,6.25%),  </v>
      </c>
      <c r="DM130" s="27" t="str">
        <f t="shared" si="483"/>
        <v xml:space="preserve">network among members(6.25),enthusiasm(6.25),agility(6.25),fun-ness(6.25),reputation(6.25),portfolio(6.25),team building(6.25), </v>
      </c>
      <c r="DN130"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0" s="14" t="str">
        <f t="shared" si="338"/>
        <v xml:space="preserve">reputation(1,25%), portfolio(1,50%),  </v>
      </c>
      <c r="DP130" s="14" t="str">
        <f t="shared" si="339"/>
        <v xml:space="preserve">reputation(25)
portfolio(50)
 </v>
      </c>
      <c r="DQ130" s="14" t="str">
        <f t="shared" si="340"/>
        <v xml:space="preserve">network among members(1), gifted leader(1), gifted assistant(1), gifted designer(1), ambition(1), attention to details(3), fun-ness(3), administrator(1), media(3), suppliers(3), social media(2), wood processing(2), plastic processing(2), electronics(2), aesthetics(2),  </v>
      </c>
      <c r="DR130" s="14" t="str">
        <f t="shared" si="341"/>
        <v xml:space="preserve">suppliers(1,6.25%), reputation(1,6.25%),  </v>
      </c>
      <c r="DS130" s="27" t="str">
        <f t="shared" si="483"/>
        <v xml:space="preserve">suppliers(6.25),reputation(6.25), </v>
      </c>
      <c r="DT130" s="14" t="str">
        <f t="shared" si="343"/>
        <v xml:space="preserve">scale(2)
attention to details(2)
leader(1)
fame(1)
network(2)
reputation(3)
portfolio(2)
 </v>
      </c>
      <c r="DU130" s="14" t="str">
        <f t="shared" si="344"/>
        <v xml:space="preserve">fame(1,25%), govt(1,25%), non-profits(1,50%), reputation(1,25%),  </v>
      </c>
      <c r="DV130" s="14" t="str">
        <f t="shared" si="345"/>
        <v xml:space="preserve">fame(25)
govt(25)
non-profits(50)
reputation(25)
 </v>
      </c>
      <c r="DW130" s="14" t="str">
        <f t="shared" si="346"/>
        <v xml:space="preserve">enthusiasm(3), ambition(2), attention to details(2), PR(1), administrator(1), social media(2),  </v>
      </c>
      <c r="DX130" s="14" t="str">
        <f t="shared" si="347"/>
        <v xml:space="preserve">ambition(1,6.25%), fame(1,6.25%), reputation(1,6.25%),  </v>
      </c>
      <c r="DY130" s="27" t="str">
        <f t="shared" si="483"/>
        <v xml:space="preserve">ambition(6.25),fame(6.25),reputation(6.25), </v>
      </c>
      <c r="DZ130" s="14" t="str">
        <f t="shared" si="349"/>
        <v xml:space="preserve"> </v>
      </c>
      <c r="EA130" s="14" t="str">
        <f t="shared" si="350"/>
        <v xml:space="preserve"> </v>
      </c>
      <c r="EB130" s="14" t="str">
        <f t="shared" si="351"/>
        <v xml:space="preserve"> </v>
      </c>
      <c r="EC130" s="14" t="str">
        <f t="shared" si="352"/>
        <v xml:space="preserve"> </v>
      </c>
      <c r="ED130" s="14" t="str">
        <f t="shared" si="353"/>
        <v xml:space="preserve"> </v>
      </c>
      <c r="EE130" s="27" t="str">
        <f t="shared" si="483"/>
        <v xml:space="preserve"> </v>
      </c>
      <c r="EF130" s="14" t="str">
        <f t="shared" si="355"/>
        <v xml:space="preserve"> </v>
      </c>
      <c r="EG130" s="14" t="str">
        <f t="shared" si="356"/>
        <v xml:space="preserve"> </v>
      </c>
      <c r="EH130" s="14" t="str">
        <f t="shared" si="357"/>
        <v xml:space="preserve"> </v>
      </c>
      <c r="EI130" s="14" t="str">
        <f t="shared" si="358"/>
        <v xml:space="preserve"> </v>
      </c>
      <c r="EJ130" s="14" t="str">
        <f t="shared" si="359"/>
        <v xml:space="preserve"> </v>
      </c>
      <c r="EK130" s="27" t="str">
        <f t="shared" si="483"/>
        <v xml:space="preserve"> </v>
      </c>
      <c r="EL130" s="14" t="str">
        <f t="shared" si="361"/>
        <v xml:space="preserve"> </v>
      </c>
      <c r="EM130" s="14" t="str">
        <f t="shared" si="362"/>
        <v xml:space="preserve"> </v>
      </c>
      <c r="EN130" s="14" t="str">
        <f t="shared" si="363"/>
        <v xml:space="preserve"> </v>
      </c>
      <c r="EO130" s="14" t="str">
        <f t="shared" si="364"/>
        <v xml:space="preserve"> </v>
      </c>
      <c r="EP130" s="14" t="str">
        <f t="shared" si="365"/>
        <v xml:space="preserve"> </v>
      </c>
      <c r="EQ130" s="27" t="str">
        <f t="shared" si="484"/>
        <v xml:space="preserve"> </v>
      </c>
      <c r="ER130" s="14" t="str">
        <f t="shared" si="367"/>
        <v xml:space="preserve"> </v>
      </c>
      <c r="ES130" s="14" t="str">
        <f t="shared" si="368"/>
        <v xml:space="preserve"> </v>
      </c>
      <c r="ET130" s="14" t="str">
        <f t="shared" si="369"/>
        <v xml:space="preserve"> </v>
      </c>
      <c r="EU130" s="14" t="str">
        <f t="shared" si="370"/>
        <v xml:space="preserve"> </v>
      </c>
      <c r="EV130" s="14" t="str">
        <f t="shared" si="371"/>
        <v xml:space="preserve"> </v>
      </c>
      <c r="EW130" s="27" t="str">
        <f t="shared" si="484"/>
        <v xml:space="preserve"> </v>
      </c>
      <c r="EX130" s="14" t="str">
        <f t="shared" si="373"/>
        <v xml:space="preserve"> </v>
      </c>
      <c r="EY130" s="14" t="str">
        <f t="shared" si="374"/>
        <v xml:space="preserve"> </v>
      </c>
      <c r="EZ130" s="14" t="str">
        <f t="shared" si="375"/>
        <v xml:space="preserve"> </v>
      </c>
      <c r="FA130" s="14" t="str">
        <f t="shared" si="376"/>
        <v xml:space="preserve"> </v>
      </c>
      <c r="FB130" s="14" t="str">
        <f t="shared" si="377"/>
        <v xml:space="preserve"> </v>
      </c>
      <c r="FC130" s="27" t="str">
        <f t="shared" si="484"/>
        <v xml:space="preserve"> </v>
      </c>
      <c r="FD130" s="14" t="str">
        <f t="shared" si="379"/>
        <v xml:space="preserve"> </v>
      </c>
      <c r="FE130" s="14" t="str">
        <f t="shared" si="380"/>
        <v xml:space="preserve"> </v>
      </c>
      <c r="FF130" s="14" t="str">
        <f t="shared" si="381"/>
        <v xml:space="preserve"> </v>
      </c>
      <c r="FG130" s="14" t="str">
        <f t="shared" si="382"/>
        <v xml:space="preserve"> </v>
      </c>
      <c r="FH130" s="14" t="str">
        <f t="shared" si="383"/>
        <v xml:space="preserve"> </v>
      </c>
      <c r="FI130" s="27" t="str">
        <f t="shared" si="484"/>
        <v xml:space="preserve"> </v>
      </c>
      <c r="FJ130" s="14" t="str">
        <f t="shared" si="385"/>
        <v xml:space="preserve"> </v>
      </c>
      <c r="FK130" s="14" t="str">
        <f t="shared" si="386"/>
        <v xml:space="preserve"> </v>
      </c>
      <c r="FL130" s="14" t="str">
        <f t="shared" si="387"/>
        <v xml:space="preserve"> </v>
      </c>
      <c r="FM130" s="14" t="str">
        <f t="shared" si="388"/>
        <v xml:space="preserve"> </v>
      </c>
      <c r="FN130" s="14" t="str">
        <f t="shared" si="389"/>
        <v xml:space="preserve"> </v>
      </c>
      <c r="FO130" s="27" t="str">
        <f t="shared" si="484"/>
        <v xml:space="preserve"> </v>
      </c>
      <c r="FP130" s="14" t="str">
        <f t="shared" si="391"/>
        <v xml:space="preserve"> </v>
      </c>
      <c r="FQ130" s="14" t="str">
        <f t="shared" si="392"/>
        <v xml:space="preserve"> </v>
      </c>
      <c r="FR130" s="14" t="str">
        <f t="shared" si="393"/>
        <v xml:space="preserve"> </v>
      </c>
      <c r="FS130" s="14" t="str">
        <f t="shared" si="394"/>
        <v xml:space="preserve"> </v>
      </c>
      <c r="FT130" s="14" t="str">
        <f t="shared" si="395"/>
        <v xml:space="preserve"> </v>
      </c>
      <c r="FU130" s="27" t="str">
        <f t="shared" si="484"/>
        <v xml:space="preserve"> </v>
      </c>
      <c r="FV130" s="14" t="str">
        <f t="shared" si="397"/>
        <v xml:space="preserve"> </v>
      </c>
      <c r="FW130" s="14" t="str">
        <f t="shared" si="398"/>
        <v xml:space="preserve"> </v>
      </c>
      <c r="FX130" s="14" t="str">
        <f t="shared" si="399"/>
        <v xml:space="preserve"> </v>
      </c>
      <c r="FY130" s="14" t="str">
        <f t="shared" si="400"/>
        <v xml:space="preserve"> </v>
      </c>
      <c r="FZ130" s="14" t="str">
        <f t="shared" si="401"/>
        <v xml:space="preserve"> </v>
      </c>
      <c r="GA130" s="27" t="str">
        <f t="shared" si="484"/>
        <v xml:space="preserve"> </v>
      </c>
      <c r="GB130" s="14" t="str">
        <f t="shared" si="403"/>
        <v xml:space="preserve"> </v>
      </c>
      <c r="GC130" s="14" t="str">
        <f t="shared" si="404"/>
        <v xml:space="preserve"> </v>
      </c>
      <c r="GD130" s="14" t="str">
        <f t="shared" si="405"/>
        <v xml:space="preserve"> </v>
      </c>
      <c r="GE130" s="14" t="str">
        <f t="shared" si="406"/>
        <v xml:space="preserve"> </v>
      </c>
      <c r="GF130" s="14" t="str">
        <f t="shared" si="407"/>
        <v xml:space="preserve"> </v>
      </c>
      <c r="GG130" s="27" t="str">
        <f t="shared" si="484"/>
        <v xml:space="preserve"> </v>
      </c>
      <c r="GH130" s="14" t="str">
        <f t="shared" si="409"/>
        <v xml:space="preserve"> </v>
      </c>
      <c r="GI130" s="14" t="str">
        <f t="shared" si="410"/>
        <v xml:space="preserve"> </v>
      </c>
      <c r="GJ130" s="14" t="str">
        <f t="shared" si="411"/>
        <v xml:space="preserve"> </v>
      </c>
      <c r="GK130" s="14" t="str">
        <f t="shared" si="412"/>
        <v xml:space="preserve"> </v>
      </c>
      <c r="GL130" s="14" t="str">
        <f t="shared" si="413"/>
        <v xml:space="preserve"> </v>
      </c>
      <c r="GM130" s="27" t="str">
        <f t="shared" si="484"/>
        <v xml:space="preserve"> </v>
      </c>
      <c r="GN130" s="14" t="str">
        <f t="shared" si="415"/>
        <v xml:space="preserve"> </v>
      </c>
      <c r="GO130" s="14" t="str">
        <f t="shared" si="416"/>
        <v xml:space="preserve"> </v>
      </c>
      <c r="GP130" s="14" t="str">
        <f t="shared" si="417"/>
        <v xml:space="preserve"> </v>
      </c>
      <c r="GQ130" s="14" t="str">
        <f t="shared" si="418"/>
        <v xml:space="preserve"> </v>
      </c>
      <c r="GR130" s="14" t="str">
        <f t="shared" si="419"/>
        <v xml:space="preserve"> </v>
      </c>
      <c r="GS130" s="27" t="str">
        <f t="shared" si="484"/>
        <v xml:space="preserve"> </v>
      </c>
      <c r="GT130" s="14" t="str">
        <f t="shared" si="421"/>
        <v xml:space="preserve"> </v>
      </c>
      <c r="GU130" s="14" t="str">
        <f t="shared" si="422"/>
        <v xml:space="preserve"> </v>
      </c>
      <c r="GV130" s="14" t="str">
        <f t="shared" si="423"/>
        <v xml:space="preserve"> </v>
      </c>
      <c r="GW130" s="14" t="str">
        <f t="shared" si="424"/>
        <v xml:space="preserve"> </v>
      </c>
      <c r="GX130" s="14" t="str">
        <f t="shared" si="425"/>
        <v xml:space="preserve"> </v>
      </c>
      <c r="GY130" s="27" t="str">
        <f t="shared" si="484"/>
        <v xml:space="preserve"> </v>
      </c>
      <c r="GZ130" s="14" t="str">
        <f t="shared" si="427"/>
        <v xml:space="preserve"> </v>
      </c>
      <c r="HA130" s="14" t="str">
        <f t="shared" si="428"/>
        <v xml:space="preserve"> </v>
      </c>
      <c r="HB130" s="14" t="str">
        <f t="shared" si="429"/>
        <v xml:space="preserve"> </v>
      </c>
      <c r="HC130" s="14" t="str">
        <f t="shared" si="430"/>
        <v xml:space="preserve"> </v>
      </c>
      <c r="HD130" s="14" t="str">
        <f t="shared" si="431"/>
        <v xml:space="preserve"> </v>
      </c>
      <c r="HE130" s="27" t="str">
        <f t="shared" si="485"/>
        <v xml:space="preserve"> </v>
      </c>
      <c r="HF130" s="14" t="str">
        <f t="shared" si="433"/>
        <v xml:space="preserve"> </v>
      </c>
      <c r="HG130" s="14" t="str">
        <f t="shared" si="434"/>
        <v xml:space="preserve"> </v>
      </c>
      <c r="HH130" s="14" t="str">
        <f t="shared" si="435"/>
        <v xml:space="preserve"> </v>
      </c>
      <c r="HI130" s="14" t="str">
        <f t="shared" si="436"/>
        <v xml:space="preserve"> </v>
      </c>
      <c r="HJ130" s="14" t="str">
        <f t="shared" si="437"/>
        <v xml:space="preserve"> </v>
      </c>
      <c r="HK130" s="27" t="str">
        <f t="shared" si="485"/>
        <v xml:space="preserve"> </v>
      </c>
      <c r="HL130" s="14" t="str">
        <f t="shared" si="439"/>
        <v xml:space="preserve"> </v>
      </c>
      <c r="HM130" s="14" t="str">
        <f t="shared" si="440"/>
        <v xml:space="preserve"> </v>
      </c>
      <c r="HN130" s="14" t="str">
        <f t="shared" si="441"/>
        <v xml:space="preserve"> </v>
      </c>
      <c r="HO130" s="14" t="str">
        <f t="shared" si="442"/>
        <v xml:space="preserve"> </v>
      </c>
      <c r="HP130" s="14" t="str">
        <f t="shared" si="443"/>
        <v xml:space="preserve"> </v>
      </c>
      <c r="HQ130" s="27" t="str">
        <f t="shared" si="485"/>
        <v xml:space="preserve"> </v>
      </c>
    </row>
    <row r="131" spans="1:225" ht="15.75" customHeight="1">
      <c r="A131" s="7">
        <f t="shared" ref="A131:C131" si="488">A23</f>
        <v>0</v>
      </c>
      <c r="B131" s="7">
        <f t="shared" si="488"/>
        <v>0</v>
      </c>
      <c r="C131" s="7" t="str">
        <f t="shared" si="488"/>
        <v>gifted leader</v>
      </c>
      <c r="D131" s="14" t="str">
        <f t="shared" si="446"/>
        <v xml:space="preserve"> </v>
      </c>
      <c r="E131" s="14" t="str">
        <f t="shared" si="447"/>
        <v xml:space="preserve"> </v>
      </c>
      <c r="F131" s="14" t="str">
        <f t="shared" si="448"/>
        <v xml:space="preserve"> </v>
      </c>
      <c r="G131" s="14" t="str">
        <f t="shared" si="449"/>
        <v xml:space="preserve">attention to details(1.1), efficiency(1), user rules and manuals(2.1), organizational rules and manuals(2.1),  </v>
      </c>
      <c r="H131" s="14" t="str">
        <f t="shared" si="450"/>
        <v xml:space="preserve">efficiency(-1,6.25%),  </v>
      </c>
      <c r="I131" s="27" t="str">
        <f t="shared" ref="I131" si="489">IF(I23="",I132,$C131&amp;"("&amp;I23&amp;"),"&amp;I132)</f>
        <v xml:space="preserve">efficiency(6.25), </v>
      </c>
      <c r="J131" s="14" t="str">
        <f t="shared" si="229"/>
        <v xml:space="preserve">scale(1)
enthusiasm(1)
 </v>
      </c>
      <c r="K131" s="14" t="str">
        <f t="shared" si="230"/>
        <v xml:space="preserve">scale(-1,12.5%), enthusiasm(-1,25%),  </v>
      </c>
      <c r="L131" s="14" t="str">
        <f t="shared" si="231"/>
        <v xml:space="preserve">scale(12.5)
enthusiasm(25)
 </v>
      </c>
      <c r="M131" s="14" t="str">
        <f t="shared" si="232"/>
        <v xml:space="preserve">scale(1.1), efficiency(0.1), organizational rules and manuals(1.1),  </v>
      </c>
      <c r="N131" s="14" t="str">
        <f t="shared" si="233"/>
        <v xml:space="preserve">agility(-1,6.75%), ambition(-1,6.75%), fun-ness(-1,6.75%), initiative(-1,6.75%),  </v>
      </c>
      <c r="O131" s="27" t="str">
        <f t="shared" si="482"/>
        <v xml:space="preserve">agility(6.75),ambition(6.75),fun-ness(6.75),initiative(6.75), </v>
      </c>
      <c r="P131" s="14" t="str">
        <f t="shared" si="235"/>
        <v xml:space="preserve"> </v>
      </c>
      <c r="Q131" s="14" t="str">
        <f t="shared" si="236"/>
        <v xml:space="preserve">gifted leader(-1,25%), gifted programmer(-1,25%), gifted designer(-1,25%),  </v>
      </c>
      <c r="R131" s="14" t="str">
        <f t="shared" si="237"/>
        <v xml:space="preserve">gifted leader(25)
gifted programmer(25)
gifted designer(25)
 </v>
      </c>
      <c r="S131" s="14" t="str">
        <f t="shared" si="238"/>
        <v xml:space="preserve">gifted leader(1), gifted programmer(1), gifted designer(1), ambition(1), attention to details(0.1), community manager(0.1), team building(0.1),  </v>
      </c>
      <c r="T131" s="14" t="str">
        <f t="shared" si="239"/>
        <v xml:space="preserve">ambition(-1,%), business model(-1,6.25%), web(-1,6.25%), mobile apps(-1,6.25%), aesthetics(-1,6.25%),  </v>
      </c>
      <c r="U131" s="27" t="str">
        <f t="shared" si="482"/>
        <v xml:space="preserve">business model(6.25),web(6.25),mobile apps(6.25),aesthetics(6.25), </v>
      </c>
      <c r="V131" s="14" t="str">
        <f t="shared" si="241"/>
        <v xml:space="preserve">scale(1)
 </v>
      </c>
      <c r="W131" s="14" t="str">
        <f t="shared" si="242"/>
        <v xml:space="preserve">enthusiasm(-1,25%), efficiency(-1,25%),  </v>
      </c>
      <c r="X131" s="14" t="str">
        <f t="shared" si="243"/>
        <v xml:space="preserve">enthusiasm(25)
efficiency(25)
 </v>
      </c>
      <c r="Y131" s="14" t="str">
        <f t="shared" si="244"/>
        <v xml:space="preserve">community manager(0.1), administrator(0.1), spaciousness(1), ease of access(3), reputation(2), user rules and manuals(0.1), project management(0.1), negotiation(0.1),  </v>
      </c>
      <c r="Z131" s="14" t="str">
        <f t="shared" si="245"/>
        <v xml:space="preserve">reputation(-1,%),  </v>
      </c>
      <c r="AA131" s="27" t="str">
        <f t="shared" si="482"/>
        <v xml:space="preserve"> </v>
      </c>
      <c r="AB131" s="14" t="str">
        <f t="shared" si="247"/>
        <v xml:space="preserve"> </v>
      </c>
      <c r="AC131" s="14" t="str">
        <f t="shared" si="248"/>
        <v xml:space="preserve"> </v>
      </c>
      <c r="AD131" s="14" t="str">
        <f t="shared" si="249"/>
        <v xml:space="preserve"> </v>
      </c>
      <c r="AE131" s="14" t="str">
        <f t="shared" si="250"/>
        <v xml:space="preserve">scale(1.1), attention to details(0.1), seriousness(0.1), initiative(0.1), spaciousness(1), user rules and manuals(1.1), organizational rules and manuals(1.1),  </v>
      </c>
      <c r="AF131" s="14" t="str">
        <f t="shared" si="251"/>
        <v xml:space="preserve">enthusiasm(-1,%), local biz(-1,6.25%), investors(-1,6.25%), non-profits(-1,6.25%), efficiency(-1,6.25%),  </v>
      </c>
      <c r="AG131" s="27" t="str">
        <f t="shared" si="482"/>
        <v xml:space="preserve">local biz(6.25),investors(6.25),non-profits(6.25),efficiency(6.25), </v>
      </c>
      <c r="AH131" s="14" t="str">
        <f t="shared" si="253"/>
        <v xml:space="preserve">fun-ness(1)
ease of access(1)
reputation(1)
 </v>
      </c>
      <c r="AI131" s="14" t="str">
        <f t="shared" si="254"/>
        <v xml:space="preserve"> </v>
      </c>
      <c r="AJ131" s="14" t="str">
        <f t="shared" si="255"/>
        <v xml:space="preserve"> </v>
      </c>
      <c r="AK131" s="14" t="str">
        <f t="shared" si="256"/>
        <v xml:space="preserve">scale(3.1), attention to details(2.1), seriousness(2.1), community manager(2.1), administrator(2.1), spaciousness(1), ease of access(1), reputation(2), user rules and manuals(2.1), organizational rules and manuals(2.1), law(1.1), negotiation(1.1),  </v>
      </c>
      <c r="AL131" s="14" t="str">
        <f t="shared" si="257"/>
        <v xml:space="preserve">govt(-1,6.25%), non-profits(-1,6.25%), reputation(-1,6.25%),  </v>
      </c>
      <c r="AM131" s="27" t="str">
        <f t="shared" si="482"/>
        <v xml:space="preserve">govt(6.25),non-profits(6.25),reputation(6.25), </v>
      </c>
      <c r="AN131" s="14" t="str">
        <f t="shared" si="259"/>
        <v xml:space="preserve">scale(1)
fun-ness(1)
seriousness(1)
 </v>
      </c>
      <c r="AO131" s="14" t="str">
        <f t="shared" si="260"/>
        <v xml:space="preserve">enthusiasm(-1,25%),  </v>
      </c>
      <c r="AP131" s="14" t="str">
        <f t="shared" si="261"/>
        <v xml:space="preserve">enthusiasm(25)
 </v>
      </c>
      <c r="AQ131" s="14" t="str">
        <f t="shared" si="262"/>
        <v xml:space="preserve">scale(1), fun-ness(1), spaciousness(2.1), reputation(3), organizational rules and manuals(2.1), team building(2.1),  </v>
      </c>
      <c r="AR131" s="14" t="str">
        <f t="shared" si="263"/>
        <v xml:space="preserve">enthusiasm(-1,12.5%), fun-ness(-1,6.25%), reputation(-1,6.25%), efficiency(-1,6.25%),  </v>
      </c>
      <c r="AS131" s="27" t="str">
        <f t="shared" si="482"/>
        <v xml:space="preserve">enthusiasm(12.5),fun-ness(6.25),reputation(6.25),efficiency(6.25), </v>
      </c>
      <c r="AT131" s="14" t="str">
        <f t="shared" si="265"/>
        <v xml:space="preserve"> </v>
      </c>
      <c r="AU131" s="14" t="str">
        <f t="shared" si="266"/>
        <v xml:space="preserve"> </v>
      </c>
      <c r="AV131" s="14" t="str">
        <f t="shared" si="267"/>
        <v xml:space="preserve"> </v>
      </c>
      <c r="AW131" s="14" t="str">
        <f t="shared" si="268"/>
        <v xml:space="preserve">attention to details(3.1), fun-ness(3.1), seriousness(3.1), initiative(2.1), leader(2.1), community manager(2.1), user rules and manuals(2.1), team building(2.1),  </v>
      </c>
      <c r="AX131" s="14" t="str">
        <f t="shared" si="269"/>
        <v xml:space="preserve">gifted assistant(-1,6.25%),  </v>
      </c>
      <c r="AY131" s="27" t="str">
        <f t="shared" si="482"/>
        <v xml:space="preserve">gifted assistant(6.25), </v>
      </c>
      <c r="AZ131" s="14" t="str">
        <f t="shared" si="271"/>
        <v xml:space="preserve"> </v>
      </c>
      <c r="BA131" s="14" t="str">
        <f t="shared" si="272"/>
        <v xml:space="preserve">attention to details(1,12.5%), fun-ness(-1,12.5%), seriousness(1,12.5%), efficiency(-1,12.5%), user rules and manuals(1,25%),  </v>
      </c>
      <c r="BB131" s="14" t="str">
        <f t="shared" si="273"/>
        <v xml:space="preserve">attention to details(12.5)
fun-ness(12.5)
seriousness(12.5)
efficiency(12.5)
user rules and manuals(25)
 </v>
      </c>
      <c r="BC131" s="14" t="str">
        <f t="shared" si="274"/>
        <v xml:space="preserve">agility(1.1), attention to details(1.1), seriousness(1.1), community manager(1.1), administrator(1.1), user rules and manuals(2.1), organizational rules and manuals(2.1),  </v>
      </c>
      <c r="BD131" s="14" t="str">
        <f t="shared" si="275"/>
        <v xml:space="preserve">enthusiasm(-1,6.25%), reputation(-1,6.25%),  </v>
      </c>
      <c r="BE131" s="27" t="str">
        <f t="shared" si="482"/>
        <v xml:space="preserve">enthusiasm(6.25),reputation(6.25), </v>
      </c>
      <c r="BF131" s="14" t="str">
        <f t="shared" si="277"/>
        <v xml:space="preserve"> </v>
      </c>
      <c r="BG131" s="14" t="str">
        <f t="shared" si="278"/>
        <v xml:space="preserve">enthusiasm(-1,25%), attention to details(1,25%), fun-ness(-1,25%), seriousness(1,25%), user rules and manuals(1,25%), organizational rules and manuals(1,25%),  </v>
      </c>
      <c r="BH131" s="14" t="str">
        <f t="shared" si="279"/>
        <v xml:space="preserve">enthusiasm(25)
attention to details(25)
fun-ness(25)
seriousness(25)
user rules and manuals(25)
organizational rules and manuals(25)
 </v>
      </c>
      <c r="BI131" s="14" t="str">
        <f t="shared" si="280"/>
        <v xml:space="preserve">enthusiasm(1), fun-ness(1), seriousness(2.1), community manager(1.1), administrator(1.1),  </v>
      </c>
      <c r="BJ131" s="14" t="str">
        <f t="shared" si="281"/>
        <v xml:space="preserve">reputation(-1,6.25%), efficiency(-1,25%),  </v>
      </c>
      <c r="BK131" s="27" t="str">
        <f t="shared" si="482"/>
        <v xml:space="preserve">reputation(6.25),efficiency(25), </v>
      </c>
      <c r="BL131" s="14" t="str">
        <f t="shared" si="283"/>
        <v xml:space="preserve">local biz(1)
ease of access(1)
reputation(1)
aesthetics(1)
 </v>
      </c>
      <c r="BM131" s="14" t="str">
        <f t="shared" si="284"/>
        <v xml:space="preserve">biz enhancement(1,%),  </v>
      </c>
      <c r="BN131" s="14" t="str">
        <f t="shared" si="285"/>
        <v xml:space="preserve"> </v>
      </c>
      <c r="BO131" s="14" t="str">
        <f t="shared" si="286"/>
        <v xml:space="preserve">gifted assistant(1), gifted designer(1), enthusiasm(1), agility(2), attention to details(2), initiative(1), community manager(1), PR(1), administrator(2), ease of access(2), reputation(3), efficiency(2), user rules and manuals(1), marketing(1), negotiation(1), aesthetics(2), functions(1), safety(1),  </v>
      </c>
      <c r="BP131" s="14" t="str">
        <f t="shared" si="287"/>
        <v xml:space="preserve">local biz(1,6.25%),  </v>
      </c>
      <c r="BQ131" s="27" t="str">
        <f t="shared" si="482"/>
        <v xml:space="preserve">local biz(6.25), </v>
      </c>
      <c r="BR131" s="14" t="str">
        <f t="shared" si="289"/>
        <v xml:space="preserve">scale(1)
local biz(1)
ease of access(1)
reputation(1)
aesthetics(1)
 </v>
      </c>
      <c r="BS131" s="14" t="str">
        <f t="shared" si="290"/>
        <v xml:space="preserve">biz project(1,%),  </v>
      </c>
      <c r="BT131" s="14" t="str">
        <f t="shared" si="291"/>
        <v xml:space="preserve"> </v>
      </c>
      <c r="BU131" s="14" t="str">
        <f t="shared" si="292"/>
        <v xml:space="preserve">gifted assistant(1), gifted designer(1), scale(1), enthusiasm(1), agility(2), attention to details(2), initiative(1), community manager(1), PR(1), administrator(2), ease of access(2), reputation(3), efficiency(2), user rules and manuals(1), marketing(1), negotiation(1), wood processing(1), aesthetics(2),  </v>
      </c>
      <c r="BV131" s="14" t="str">
        <f t="shared" si="293"/>
        <v xml:space="preserve">local biz(1,6.25%),  </v>
      </c>
      <c r="BW131" s="27" t="str">
        <f t="shared" si="482"/>
        <v xml:space="preserve">local biz(6.25), </v>
      </c>
      <c r="BX131" s="14" t="str">
        <f t="shared" si="295"/>
        <v xml:space="preserve">local biz(1)
ease of access(1)
reputation(1)
aesthetics(1)
interaction(1)
 </v>
      </c>
      <c r="BY131" s="14" t="str">
        <f t="shared" si="296"/>
        <v xml:space="preserve">biz project(1,%),  </v>
      </c>
      <c r="BZ131" s="14" t="str">
        <f t="shared" si="297"/>
        <v xml:space="preserve"> </v>
      </c>
      <c r="CA131" s="14" t="str">
        <f t="shared" si="298"/>
        <v xml:space="preserve">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1" s="14" t="str">
        <f t="shared" si="299"/>
        <v xml:space="preserve">local biz(1,6.25%),  </v>
      </c>
      <c r="CC131" s="27" t="str">
        <f t="shared" si="483"/>
        <v xml:space="preserve">local biz(6.25), </v>
      </c>
      <c r="CD131" s="14" t="str">
        <f t="shared" si="301"/>
        <v xml:space="preserve">ease of access(1)
reputation(1)
aesthetics(1)
 </v>
      </c>
      <c r="CE131" s="14" t="str">
        <f t="shared" si="302"/>
        <v xml:space="preserve">biz project(1,%),  </v>
      </c>
      <c r="CF131" s="14" t="str">
        <f t="shared" si="303"/>
        <v xml:space="preserve"> </v>
      </c>
      <c r="CG131" s="14" t="str">
        <f t="shared" si="304"/>
        <v xml:space="preserve">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31" s="14" t="str">
        <f t="shared" si="305"/>
        <v xml:space="preserve">local biz(1,6.25%),  </v>
      </c>
      <c r="CI131" s="27" t="str">
        <f t="shared" si="483"/>
        <v xml:space="preserve">local biz(6.25), </v>
      </c>
      <c r="CJ131" s="14" t="str">
        <f t="shared" si="307"/>
        <v xml:space="preserve">ease of access(1)
reputation(1)
aesthetics(1)
 </v>
      </c>
      <c r="CK131" s="14" t="str">
        <f t="shared" si="308"/>
        <v xml:space="preserve">biz project(1,%),  </v>
      </c>
      <c r="CL131" s="14" t="str">
        <f t="shared" si="309"/>
        <v xml:space="preserve"> </v>
      </c>
      <c r="CM131" s="14" t="str">
        <f t="shared" si="310"/>
        <v xml:space="preserve">gifted leader(1), 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1" s="14" t="str">
        <f t="shared" si="311"/>
        <v xml:space="preserve">local biz(1,6.25%),  </v>
      </c>
      <c r="CO131" s="27" t="str">
        <f t="shared" si="483"/>
        <v xml:space="preserve">local biz(6.25), </v>
      </c>
      <c r="CP131" s="14" t="str">
        <f t="shared" si="313"/>
        <v xml:space="preserve">local biz(1)
metal processing(1)
functions(1)
 </v>
      </c>
      <c r="CQ131" s="14" t="str">
        <f t="shared" si="314"/>
        <v xml:space="preserve">local biz(1,50%), biz enhancement(1,50%),  </v>
      </c>
      <c r="CR131" s="14" t="str">
        <f t="shared" si="315"/>
        <v xml:space="preserve">local biz(50)
biz enhancement(50)
 </v>
      </c>
      <c r="CS131" s="14" t="str">
        <f t="shared" si="316"/>
        <v xml:space="preserve">gifted leader(1), gifted designer(1), enthusiasm(1), agility(2), attention to details(2), initiative(1), community manager(1), ease of access(2), reputation(3), efficiency(2), metal processing(2), electronics(2), aesthetics(2), functions(2), safety(2),  </v>
      </c>
      <c r="CT131" s="14" t="str">
        <f t="shared" si="317"/>
        <v xml:space="preserve">reputation(1,6.25%),  </v>
      </c>
      <c r="CU131" s="27" t="str">
        <f t="shared" si="483"/>
        <v xml:space="preserve">reputation(6.25), </v>
      </c>
      <c r="CV131" s="14" t="str">
        <f t="shared" si="319"/>
        <v xml:space="preserve">non-profits(1)
wood processing(1)
aesthetics(1)
interaction(1)
 </v>
      </c>
      <c r="CW131" s="14" t="str">
        <f t="shared" si="320"/>
        <v xml:space="preserve">non-profits(1,50%), social project(1,50%),  </v>
      </c>
      <c r="CX131" s="14" t="str">
        <f t="shared" si="321"/>
        <v xml:space="preserve">non-profits(50)
social project(50)
 </v>
      </c>
      <c r="CY131"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31" s="14" t="str">
        <f t="shared" si="323"/>
        <v xml:space="preserve">media(1,6.25%), reputation(1,6.25%), portfolio(1,6.25%),  </v>
      </c>
      <c r="DA131" s="27" t="str">
        <f t="shared" si="483"/>
        <v xml:space="preserve">media(6.25),reputation(6.25),portfolio(6.25), </v>
      </c>
      <c r="DB131" s="14" t="str">
        <f t="shared" si="325"/>
        <v xml:space="preserve">non-profits(1)
aesthetics(1)
interaction(1)
 </v>
      </c>
      <c r="DC131" s="14" t="str">
        <f t="shared" si="326"/>
        <v xml:space="preserve">non-profits(1,50%), social project(1,50%),  </v>
      </c>
      <c r="DD131" s="14" t="str">
        <f t="shared" si="327"/>
        <v xml:space="preserve">non-profits(50)
social project(50)
 </v>
      </c>
      <c r="DE131" s="14" t="str">
        <f t="shared" si="328"/>
        <v xml:space="preserve">gifted programmer(1), gifted designer(1), scale(2), enthusiasm(4), agility(2), ambition(4), attention to details(2), fun-ness(2), administrator(2), ease of access(2), efficiency(3), VR&amp;AR(2),  </v>
      </c>
      <c r="DF131" s="14" t="str">
        <f t="shared" si="329"/>
        <v xml:space="preserve">media(1,6.25%), reputation(1,6.25%), portfolio(1,6.25%),  </v>
      </c>
      <c r="DG131" s="27" t="str">
        <f t="shared" si="483"/>
        <v xml:space="preserve">media(6.25),reputation(6.25),portfolio(6.25), </v>
      </c>
      <c r="DH131" s="14" t="str">
        <f t="shared" si="331"/>
        <v xml:space="preserve">scale(1)
wood processing(1)
aesthetics(1)
safety(1)
 </v>
      </c>
      <c r="DI131" s="14" t="str">
        <f t="shared" si="332"/>
        <v xml:space="preserve">social project(1,100%),  </v>
      </c>
      <c r="DJ131" s="14" t="str">
        <f t="shared" si="333"/>
        <v xml:space="preserve">social project(100)
 </v>
      </c>
      <c r="DK131" s="14" t="str">
        <f t="shared" si="334"/>
        <v xml:space="preserve">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1" s="14" t="str">
        <f t="shared" si="335"/>
        <v xml:space="preserve">enthusiasm(1,6.25%), agility(1,6.25%), fun-ness(1,6.25%), reputation(1,6.25%), portfolio(1,6.25%), team building(1,6.25%),  </v>
      </c>
      <c r="DM131" s="27" t="str">
        <f t="shared" si="483"/>
        <v xml:space="preserve">enthusiasm(6.25),agility(6.25),fun-ness(6.25),reputation(6.25),portfolio(6.25),team building(6.25), </v>
      </c>
      <c r="DN131"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1" s="14" t="str">
        <f t="shared" si="338"/>
        <v xml:space="preserve">reputation(1,25%), portfolio(1,50%),  </v>
      </c>
      <c r="DP131" s="14" t="str">
        <f t="shared" si="339"/>
        <v xml:space="preserve">reputation(25)
portfolio(50)
 </v>
      </c>
      <c r="DQ131" s="14" t="str">
        <f t="shared" si="340"/>
        <v xml:space="preserve">gifted leader(1), gifted assistant(1), gifted designer(1), ambition(1), attention to details(3), fun-ness(3), administrator(1), media(3), suppliers(3), social media(2), wood processing(2), plastic processing(2), electronics(2), aesthetics(2),  </v>
      </c>
      <c r="DR131" s="14" t="str">
        <f t="shared" si="341"/>
        <v xml:space="preserve">suppliers(1,6.25%), reputation(1,6.25%),  </v>
      </c>
      <c r="DS131" s="27" t="str">
        <f t="shared" si="483"/>
        <v xml:space="preserve">suppliers(6.25),reputation(6.25), </v>
      </c>
      <c r="DT131" s="14" t="str">
        <f t="shared" si="343"/>
        <v xml:space="preserve">scale(2)
attention to details(2)
leader(1)
fame(1)
network(2)
reputation(3)
portfolio(2)
 </v>
      </c>
      <c r="DU131" s="14" t="str">
        <f t="shared" si="344"/>
        <v xml:space="preserve">fame(1,25%), govt(1,25%), non-profits(1,50%), reputation(1,25%),  </v>
      </c>
      <c r="DV131" s="14" t="str">
        <f t="shared" si="345"/>
        <v xml:space="preserve">fame(25)
govt(25)
non-profits(50)
reputation(25)
 </v>
      </c>
      <c r="DW131" s="14" t="str">
        <f t="shared" si="346"/>
        <v xml:space="preserve">enthusiasm(3), ambition(2), attention to details(2), PR(1), administrator(1), social media(2),  </v>
      </c>
      <c r="DX131" s="14" t="str">
        <f t="shared" si="347"/>
        <v xml:space="preserve">ambition(1,6.25%), fame(1,6.25%), reputation(1,6.25%),  </v>
      </c>
      <c r="DY131" s="27" t="str">
        <f t="shared" si="483"/>
        <v xml:space="preserve">ambition(6.25),fame(6.25),reputation(6.25), </v>
      </c>
      <c r="DZ131" s="14" t="str">
        <f t="shared" si="349"/>
        <v xml:space="preserve"> </v>
      </c>
      <c r="EA131" s="14" t="str">
        <f t="shared" si="350"/>
        <v xml:space="preserve"> </v>
      </c>
      <c r="EB131" s="14" t="str">
        <f t="shared" si="351"/>
        <v xml:space="preserve"> </v>
      </c>
      <c r="EC131" s="14" t="str">
        <f t="shared" si="352"/>
        <v xml:space="preserve"> </v>
      </c>
      <c r="ED131" s="14" t="str">
        <f t="shared" si="353"/>
        <v xml:space="preserve"> </v>
      </c>
      <c r="EE131" s="27" t="str">
        <f t="shared" si="483"/>
        <v xml:space="preserve"> </v>
      </c>
      <c r="EF131" s="14" t="str">
        <f t="shared" si="355"/>
        <v xml:space="preserve"> </v>
      </c>
      <c r="EG131" s="14" t="str">
        <f t="shared" si="356"/>
        <v xml:space="preserve"> </v>
      </c>
      <c r="EH131" s="14" t="str">
        <f t="shared" si="357"/>
        <v xml:space="preserve"> </v>
      </c>
      <c r="EI131" s="14" t="str">
        <f t="shared" si="358"/>
        <v xml:space="preserve"> </v>
      </c>
      <c r="EJ131" s="14" t="str">
        <f t="shared" si="359"/>
        <v xml:space="preserve"> </v>
      </c>
      <c r="EK131" s="27" t="str">
        <f t="shared" si="483"/>
        <v xml:space="preserve"> </v>
      </c>
      <c r="EL131" s="14" t="str">
        <f t="shared" si="361"/>
        <v xml:space="preserve"> </v>
      </c>
      <c r="EM131" s="14" t="str">
        <f t="shared" si="362"/>
        <v xml:space="preserve"> </v>
      </c>
      <c r="EN131" s="14" t="str">
        <f t="shared" si="363"/>
        <v xml:space="preserve"> </v>
      </c>
      <c r="EO131" s="14" t="str">
        <f t="shared" si="364"/>
        <v xml:space="preserve"> </v>
      </c>
      <c r="EP131" s="14" t="str">
        <f t="shared" si="365"/>
        <v xml:space="preserve"> </v>
      </c>
      <c r="EQ131" s="27" t="str">
        <f t="shared" si="484"/>
        <v xml:space="preserve"> </v>
      </c>
      <c r="ER131" s="14" t="str">
        <f t="shared" si="367"/>
        <v xml:space="preserve"> </v>
      </c>
      <c r="ES131" s="14" t="str">
        <f t="shared" si="368"/>
        <v xml:space="preserve"> </v>
      </c>
      <c r="ET131" s="14" t="str">
        <f t="shared" si="369"/>
        <v xml:space="preserve"> </v>
      </c>
      <c r="EU131" s="14" t="str">
        <f t="shared" si="370"/>
        <v xml:space="preserve"> </v>
      </c>
      <c r="EV131" s="14" t="str">
        <f t="shared" si="371"/>
        <v xml:space="preserve"> </v>
      </c>
      <c r="EW131" s="27" t="str">
        <f t="shared" si="484"/>
        <v xml:space="preserve"> </v>
      </c>
      <c r="EX131" s="14" t="str">
        <f t="shared" si="373"/>
        <v xml:space="preserve"> </v>
      </c>
      <c r="EY131" s="14" t="str">
        <f t="shared" si="374"/>
        <v xml:space="preserve"> </v>
      </c>
      <c r="EZ131" s="14" t="str">
        <f t="shared" si="375"/>
        <v xml:space="preserve"> </v>
      </c>
      <c r="FA131" s="14" t="str">
        <f t="shared" si="376"/>
        <v xml:space="preserve"> </v>
      </c>
      <c r="FB131" s="14" t="str">
        <f t="shared" si="377"/>
        <v xml:space="preserve"> </v>
      </c>
      <c r="FC131" s="27" t="str">
        <f t="shared" si="484"/>
        <v xml:space="preserve"> </v>
      </c>
      <c r="FD131" s="14" t="str">
        <f t="shared" si="379"/>
        <v xml:space="preserve"> </v>
      </c>
      <c r="FE131" s="14" t="str">
        <f t="shared" si="380"/>
        <v xml:space="preserve"> </v>
      </c>
      <c r="FF131" s="14" t="str">
        <f t="shared" si="381"/>
        <v xml:space="preserve"> </v>
      </c>
      <c r="FG131" s="14" t="str">
        <f t="shared" si="382"/>
        <v xml:space="preserve"> </v>
      </c>
      <c r="FH131" s="14" t="str">
        <f t="shared" si="383"/>
        <v xml:space="preserve"> </v>
      </c>
      <c r="FI131" s="27" t="str">
        <f t="shared" si="484"/>
        <v xml:space="preserve"> </v>
      </c>
      <c r="FJ131" s="14" t="str">
        <f t="shared" si="385"/>
        <v xml:space="preserve"> </v>
      </c>
      <c r="FK131" s="14" t="str">
        <f t="shared" si="386"/>
        <v xml:space="preserve"> </v>
      </c>
      <c r="FL131" s="14" t="str">
        <f t="shared" si="387"/>
        <v xml:space="preserve"> </v>
      </c>
      <c r="FM131" s="14" t="str">
        <f t="shared" si="388"/>
        <v xml:space="preserve"> </v>
      </c>
      <c r="FN131" s="14" t="str">
        <f t="shared" si="389"/>
        <v xml:space="preserve"> </v>
      </c>
      <c r="FO131" s="27" t="str">
        <f t="shared" si="484"/>
        <v xml:space="preserve"> </v>
      </c>
      <c r="FP131" s="14" t="str">
        <f t="shared" si="391"/>
        <v xml:space="preserve"> </v>
      </c>
      <c r="FQ131" s="14" t="str">
        <f t="shared" si="392"/>
        <v xml:space="preserve"> </v>
      </c>
      <c r="FR131" s="14" t="str">
        <f t="shared" si="393"/>
        <v xml:space="preserve"> </v>
      </c>
      <c r="FS131" s="14" t="str">
        <f t="shared" si="394"/>
        <v xml:space="preserve"> </v>
      </c>
      <c r="FT131" s="14" t="str">
        <f t="shared" si="395"/>
        <v xml:space="preserve"> </v>
      </c>
      <c r="FU131" s="27" t="str">
        <f t="shared" si="484"/>
        <v xml:space="preserve"> </v>
      </c>
      <c r="FV131" s="14" t="str">
        <f t="shared" si="397"/>
        <v xml:space="preserve"> </v>
      </c>
      <c r="FW131" s="14" t="str">
        <f t="shared" si="398"/>
        <v xml:space="preserve"> </v>
      </c>
      <c r="FX131" s="14" t="str">
        <f t="shared" si="399"/>
        <v xml:space="preserve"> </v>
      </c>
      <c r="FY131" s="14" t="str">
        <f t="shared" si="400"/>
        <v xml:space="preserve"> </v>
      </c>
      <c r="FZ131" s="14" t="str">
        <f t="shared" si="401"/>
        <v xml:space="preserve"> </v>
      </c>
      <c r="GA131" s="27" t="str">
        <f t="shared" si="484"/>
        <v xml:space="preserve"> </v>
      </c>
      <c r="GB131" s="14" t="str">
        <f t="shared" si="403"/>
        <v xml:space="preserve"> </v>
      </c>
      <c r="GC131" s="14" t="str">
        <f t="shared" si="404"/>
        <v xml:space="preserve"> </v>
      </c>
      <c r="GD131" s="14" t="str">
        <f t="shared" si="405"/>
        <v xml:space="preserve"> </v>
      </c>
      <c r="GE131" s="14" t="str">
        <f t="shared" si="406"/>
        <v xml:space="preserve"> </v>
      </c>
      <c r="GF131" s="14" t="str">
        <f t="shared" si="407"/>
        <v xml:space="preserve"> </v>
      </c>
      <c r="GG131" s="27" t="str">
        <f t="shared" si="484"/>
        <v xml:space="preserve"> </v>
      </c>
      <c r="GH131" s="14" t="str">
        <f t="shared" si="409"/>
        <v xml:space="preserve"> </v>
      </c>
      <c r="GI131" s="14" t="str">
        <f t="shared" si="410"/>
        <v xml:space="preserve"> </v>
      </c>
      <c r="GJ131" s="14" t="str">
        <f t="shared" si="411"/>
        <v xml:space="preserve"> </v>
      </c>
      <c r="GK131" s="14" t="str">
        <f t="shared" si="412"/>
        <v xml:space="preserve"> </v>
      </c>
      <c r="GL131" s="14" t="str">
        <f t="shared" si="413"/>
        <v xml:space="preserve"> </v>
      </c>
      <c r="GM131" s="27" t="str">
        <f t="shared" si="484"/>
        <v xml:space="preserve"> </v>
      </c>
      <c r="GN131" s="14" t="str">
        <f t="shared" si="415"/>
        <v xml:space="preserve"> </v>
      </c>
      <c r="GO131" s="14" t="str">
        <f t="shared" si="416"/>
        <v xml:space="preserve"> </v>
      </c>
      <c r="GP131" s="14" t="str">
        <f t="shared" si="417"/>
        <v xml:space="preserve"> </v>
      </c>
      <c r="GQ131" s="14" t="str">
        <f t="shared" si="418"/>
        <v xml:space="preserve"> </v>
      </c>
      <c r="GR131" s="14" t="str">
        <f t="shared" si="419"/>
        <v xml:space="preserve"> </v>
      </c>
      <c r="GS131" s="27" t="str">
        <f t="shared" si="484"/>
        <v xml:space="preserve"> </v>
      </c>
      <c r="GT131" s="14" t="str">
        <f t="shared" si="421"/>
        <v xml:space="preserve"> </v>
      </c>
      <c r="GU131" s="14" t="str">
        <f t="shared" si="422"/>
        <v xml:space="preserve"> </v>
      </c>
      <c r="GV131" s="14" t="str">
        <f t="shared" si="423"/>
        <v xml:space="preserve"> </v>
      </c>
      <c r="GW131" s="14" t="str">
        <f t="shared" si="424"/>
        <v xml:space="preserve"> </v>
      </c>
      <c r="GX131" s="14" t="str">
        <f t="shared" si="425"/>
        <v xml:space="preserve"> </v>
      </c>
      <c r="GY131" s="27" t="str">
        <f t="shared" si="484"/>
        <v xml:space="preserve"> </v>
      </c>
      <c r="GZ131" s="14" t="str">
        <f t="shared" si="427"/>
        <v xml:space="preserve"> </v>
      </c>
      <c r="HA131" s="14" t="str">
        <f t="shared" si="428"/>
        <v xml:space="preserve"> </v>
      </c>
      <c r="HB131" s="14" t="str">
        <f t="shared" si="429"/>
        <v xml:space="preserve"> </v>
      </c>
      <c r="HC131" s="14" t="str">
        <f t="shared" si="430"/>
        <v xml:space="preserve"> </v>
      </c>
      <c r="HD131" s="14" t="str">
        <f t="shared" si="431"/>
        <v xml:space="preserve"> </v>
      </c>
      <c r="HE131" s="27" t="str">
        <f t="shared" si="485"/>
        <v xml:space="preserve"> </v>
      </c>
      <c r="HF131" s="14" t="str">
        <f t="shared" si="433"/>
        <v xml:space="preserve"> </v>
      </c>
      <c r="HG131" s="14" t="str">
        <f t="shared" si="434"/>
        <v xml:space="preserve"> </v>
      </c>
      <c r="HH131" s="14" t="str">
        <f t="shared" si="435"/>
        <v xml:space="preserve"> </v>
      </c>
      <c r="HI131" s="14" t="str">
        <f t="shared" si="436"/>
        <v xml:space="preserve"> </v>
      </c>
      <c r="HJ131" s="14" t="str">
        <f t="shared" si="437"/>
        <v xml:space="preserve"> </v>
      </c>
      <c r="HK131" s="27" t="str">
        <f t="shared" si="485"/>
        <v xml:space="preserve"> </v>
      </c>
      <c r="HL131" s="14" t="str">
        <f t="shared" si="439"/>
        <v xml:space="preserve"> </v>
      </c>
      <c r="HM131" s="14" t="str">
        <f t="shared" si="440"/>
        <v xml:space="preserve"> </v>
      </c>
      <c r="HN131" s="14" t="str">
        <f t="shared" si="441"/>
        <v xml:space="preserve"> </v>
      </c>
      <c r="HO131" s="14" t="str">
        <f t="shared" si="442"/>
        <v xml:space="preserve"> </v>
      </c>
      <c r="HP131" s="14" t="str">
        <f t="shared" si="443"/>
        <v xml:space="preserve"> </v>
      </c>
      <c r="HQ131" s="27" t="str">
        <f t="shared" si="485"/>
        <v xml:space="preserve"> </v>
      </c>
    </row>
    <row r="132" spans="1:225" ht="15.75" customHeight="1">
      <c r="A132" s="7">
        <f t="shared" ref="A132:C132" si="490">A24</f>
        <v>0</v>
      </c>
      <c r="B132" s="7">
        <f t="shared" si="490"/>
        <v>0</v>
      </c>
      <c r="C132" s="7" t="str">
        <f t="shared" si="490"/>
        <v>gifted assistant</v>
      </c>
      <c r="D132" s="14" t="str">
        <f t="shared" si="446"/>
        <v xml:space="preserve"> </v>
      </c>
      <c r="E132" s="14" t="str">
        <f t="shared" si="447"/>
        <v xml:space="preserve"> </v>
      </c>
      <c r="F132" s="14" t="str">
        <f t="shared" si="448"/>
        <v xml:space="preserve"> </v>
      </c>
      <c r="G132" s="14" t="str">
        <f t="shared" si="449"/>
        <v xml:space="preserve">attention to details(1.1), efficiency(1), user rules and manuals(2.1), organizational rules and manuals(2.1),  </v>
      </c>
      <c r="H132" s="14" t="str">
        <f t="shared" si="450"/>
        <v xml:space="preserve">efficiency(-1,6.25%),  </v>
      </c>
      <c r="I132" s="27" t="str">
        <f t="shared" ref="I132" si="491">IF(I24="",I133,$C132&amp;"("&amp;I24&amp;"),"&amp;I133)</f>
        <v xml:space="preserve">efficiency(6.25), </v>
      </c>
      <c r="J132" s="14" t="str">
        <f t="shared" si="229"/>
        <v xml:space="preserve">scale(1)
enthusiasm(1)
 </v>
      </c>
      <c r="K132" s="14" t="str">
        <f t="shared" si="230"/>
        <v xml:space="preserve">scale(-1,12.5%), enthusiasm(-1,25%),  </v>
      </c>
      <c r="L132" s="14" t="str">
        <f t="shared" si="231"/>
        <v xml:space="preserve">scale(12.5)
enthusiasm(25)
 </v>
      </c>
      <c r="M132" s="14" t="str">
        <f t="shared" si="232"/>
        <v xml:space="preserve">scale(1.1), efficiency(0.1), organizational rules and manuals(1.1),  </v>
      </c>
      <c r="N132" s="14" t="str">
        <f t="shared" si="233"/>
        <v xml:space="preserve">agility(-1,6.75%), ambition(-1,6.75%), fun-ness(-1,6.75%), initiative(-1,6.75%),  </v>
      </c>
      <c r="O132" s="27" t="str">
        <f t="shared" si="482"/>
        <v xml:space="preserve">agility(6.75),ambition(6.75),fun-ness(6.75),initiative(6.75), </v>
      </c>
      <c r="P132" s="14" t="str">
        <f t="shared" si="235"/>
        <v xml:space="preserve"> </v>
      </c>
      <c r="Q132" s="14" t="str">
        <f t="shared" si="236"/>
        <v xml:space="preserve">gifted programmer(-1,25%), gifted designer(-1,25%),  </v>
      </c>
      <c r="R132" s="14" t="str">
        <f t="shared" si="237"/>
        <v xml:space="preserve">gifted programmer(25)
gifted designer(25)
 </v>
      </c>
      <c r="S132" s="14" t="str">
        <f t="shared" si="238"/>
        <v xml:space="preserve">gifted programmer(1), gifted designer(1), ambition(1), attention to details(0.1), community manager(0.1), team building(0.1),  </v>
      </c>
      <c r="T132" s="14" t="str">
        <f t="shared" si="239"/>
        <v xml:space="preserve">ambition(-1,%), business model(-1,6.25%), web(-1,6.25%), mobile apps(-1,6.25%), aesthetics(-1,6.25%),  </v>
      </c>
      <c r="U132" s="27" t="str">
        <f t="shared" si="482"/>
        <v xml:space="preserve">business model(6.25),web(6.25),mobile apps(6.25),aesthetics(6.25), </v>
      </c>
      <c r="V132" s="14" t="str">
        <f t="shared" si="241"/>
        <v xml:space="preserve">scale(1)
 </v>
      </c>
      <c r="W132" s="14" t="str">
        <f t="shared" si="242"/>
        <v xml:space="preserve">enthusiasm(-1,25%), efficiency(-1,25%),  </v>
      </c>
      <c r="X132" s="14" t="str">
        <f t="shared" si="243"/>
        <v xml:space="preserve">enthusiasm(25)
efficiency(25)
 </v>
      </c>
      <c r="Y132" s="14" t="str">
        <f t="shared" si="244"/>
        <v xml:space="preserve">community manager(0.1), administrator(0.1), spaciousness(1), ease of access(3), reputation(2), user rules and manuals(0.1), project management(0.1), negotiation(0.1),  </v>
      </c>
      <c r="Z132" s="14" t="str">
        <f t="shared" si="245"/>
        <v xml:space="preserve">reputation(-1,%),  </v>
      </c>
      <c r="AA132" s="27" t="str">
        <f t="shared" si="482"/>
        <v xml:space="preserve"> </v>
      </c>
      <c r="AB132" s="14" t="str">
        <f t="shared" si="247"/>
        <v xml:space="preserve"> </v>
      </c>
      <c r="AC132" s="14" t="str">
        <f t="shared" si="248"/>
        <v xml:space="preserve"> </v>
      </c>
      <c r="AD132" s="14" t="str">
        <f t="shared" si="249"/>
        <v xml:space="preserve"> </v>
      </c>
      <c r="AE132" s="14" t="str">
        <f t="shared" si="250"/>
        <v xml:space="preserve">scale(1.1), attention to details(0.1), seriousness(0.1), initiative(0.1), spaciousness(1), user rules and manuals(1.1), organizational rules and manuals(1.1),  </v>
      </c>
      <c r="AF132" s="14" t="str">
        <f t="shared" si="251"/>
        <v xml:space="preserve">enthusiasm(-1,%), local biz(-1,6.25%), investors(-1,6.25%), non-profits(-1,6.25%), efficiency(-1,6.25%),  </v>
      </c>
      <c r="AG132" s="27" t="str">
        <f t="shared" si="482"/>
        <v xml:space="preserve">local biz(6.25),investors(6.25),non-profits(6.25),efficiency(6.25), </v>
      </c>
      <c r="AH132" s="14" t="str">
        <f t="shared" si="253"/>
        <v xml:space="preserve">fun-ness(1)
ease of access(1)
reputation(1)
 </v>
      </c>
      <c r="AI132" s="14" t="str">
        <f t="shared" si="254"/>
        <v xml:space="preserve"> </v>
      </c>
      <c r="AJ132" s="14" t="str">
        <f t="shared" si="255"/>
        <v xml:space="preserve"> </v>
      </c>
      <c r="AK132" s="14" t="str">
        <f t="shared" si="256"/>
        <v xml:space="preserve">scale(3.1), attention to details(2.1), seriousness(2.1), community manager(2.1), administrator(2.1), spaciousness(1), ease of access(1), reputation(2), user rules and manuals(2.1), organizational rules and manuals(2.1), law(1.1), negotiation(1.1),  </v>
      </c>
      <c r="AL132" s="14" t="str">
        <f t="shared" si="257"/>
        <v xml:space="preserve">govt(-1,6.25%), non-profits(-1,6.25%), reputation(-1,6.25%),  </v>
      </c>
      <c r="AM132" s="27" t="str">
        <f t="shared" si="482"/>
        <v xml:space="preserve">govt(6.25),non-profits(6.25),reputation(6.25), </v>
      </c>
      <c r="AN132" s="14" t="str">
        <f t="shared" si="259"/>
        <v xml:space="preserve">scale(1)
fun-ness(1)
seriousness(1)
 </v>
      </c>
      <c r="AO132" s="14" t="str">
        <f t="shared" si="260"/>
        <v xml:space="preserve">enthusiasm(-1,25%),  </v>
      </c>
      <c r="AP132" s="14" t="str">
        <f t="shared" si="261"/>
        <v xml:space="preserve">enthusiasm(25)
 </v>
      </c>
      <c r="AQ132" s="14" t="str">
        <f t="shared" si="262"/>
        <v xml:space="preserve">scale(1), fun-ness(1), spaciousness(2.1), reputation(3), organizational rules and manuals(2.1), team building(2.1),  </v>
      </c>
      <c r="AR132" s="14" t="str">
        <f t="shared" si="263"/>
        <v xml:space="preserve">enthusiasm(-1,12.5%), fun-ness(-1,6.25%), reputation(-1,6.25%), efficiency(-1,6.25%),  </v>
      </c>
      <c r="AS132" s="27" t="str">
        <f t="shared" si="482"/>
        <v xml:space="preserve">enthusiasm(12.5),fun-ness(6.25),reputation(6.25),efficiency(6.25), </v>
      </c>
      <c r="AT132" s="14" t="str">
        <f t="shared" si="265"/>
        <v xml:space="preserve"> </v>
      </c>
      <c r="AU132" s="14" t="str">
        <f t="shared" si="266"/>
        <v xml:space="preserve"> </v>
      </c>
      <c r="AV132" s="14" t="str">
        <f t="shared" si="267"/>
        <v xml:space="preserve"> </v>
      </c>
      <c r="AW132" s="14" t="str">
        <f t="shared" si="268"/>
        <v xml:space="preserve">attention to details(3.1), fun-ness(3.1), seriousness(3.1), initiative(2.1), leader(2.1), community manager(2.1), user rules and manuals(2.1), team building(2.1),  </v>
      </c>
      <c r="AX132" s="14" t="str">
        <f t="shared" si="269"/>
        <v xml:space="preserve">gifted assistant(-1,6.25%),  </v>
      </c>
      <c r="AY132" s="27" t="str">
        <f t="shared" si="482"/>
        <v xml:space="preserve">gifted assistant(6.25), </v>
      </c>
      <c r="AZ132" s="14" t="str">
        <f t="shared" si="271"/>
        <v xml:space="preserve"> </v>
      </c>
      <c r="BA132" s="14" t="str">
        <f t="shared" si="272"/>
        <v xml:space="preserve">attention to details(1,12.5%), fun-ness(-1,12.5%), seriousness(1,12.5%), efficiency(-1,12.5%), user rules and manuals(1,25%),  </v>
      </c>
      <c r="BB132" s="14" t="str">
        <f t="shared" si="273"/>
        <v xml:space="preserve">attention to details(12.5)
fun-ness(12.5)
seriousness(12.5)
efficiency(12.5)
user rules and manuals(25)
 </v>
      </c>
      <c r="BC132" s="14" t="str">
        <f t="shared" si="274"/>
        <v xml:space="preserve">agility(1.1), attention to details(1.1), seriousness(1.1), community manager(1.1), administrator(1.1), user rules and manuals(2.1), organizational rules and manuals(2.1),  </v>
      </c>
      <c r="BD132" s="14" t="str">
        <f t="shared" si="275"/>
        <v xml:space="preserve">enthusiasm(-1,6.25%), reputation(-1,6.25%),  </v>
      </c>
      <c r="BE132" s="27" t="str">
        <f t="shared" si="482"/>
        <v xml:space="preserve">enthusiasm(6.25),reputation(6.25), </v>
      </c>
      <c r="BF132" s="14" t="str">
        <f t="shared" si="277"/>
        <v xml:space="preserve"> </v>
      </c>
      <c r="BG132" s="14" t="str">
        <f t="shared" si="278"/>
        <v xml:space="preserve">enthusiasm(-1,25%), attention to details(1,25%), fun-ness(-1,25%), seriousness(1,25%), user rules and manuals(1,25%), organizational rules and manuals(1,25%),  </v>
      </c>
      <c r="BH132" s="14" t="str">
        <f t="shared" si="279"/>
        <v xml:space="preserve">enthusiasm(25)
attention to details(25)
fun-ness(25)
seriousness(25)
user rules and manuals(25)
organizational rules and manuals(25)
 </v>
      </c>
      <c r="BI132" s="14" t="str">
        <f t="shared" si="280"/>
        <v xml:space="preserve">enthusiasm(1), fun-ness(1), seriousness(2.1), community manager(1.1), administrator(1.1),  </v>
      </c>
      <c r="BJ132" s="14" t="str">
        <f t="shared" si="281"/>
        <v xml:space="preserve">reputation(-1,6.25%), efficiency(-1,25%),  </v>
      </c>
      <c r="BK132" s="27" t="str">
        <f t="shared" si="482"/>
        <v xml:space="preserve">reputation(6.25),efficiency(25), </v>
      </c>
      <c r="BL132" s="14" t="str">
        <f t="shared" si="283"/>
        <v xml:space="preserve">local biz(1)
ease of access(1)
reputation(1)
aesthetics(1)
 </v>
      </c>
      <c r="BM132" s="14" t="str">
        <f t="shared" si="284"/>
        <v xml:space="preserve">biz enhancement(1,%),  </v>
      </c>
      <c r="BN132" s="14" t="str">
        <f t="shared" si="285"/>
        <v xml:space="preserve"> </v>
      </c>
      <c r="BO132" s="14" t="str">
        <f t="shared" si="286"/>
        <v xml:space="preserve">gifted assistant(1), gifted designer(1), enthusiasm(1), agility(2), attention to details(2), initiative(1), community manager(1), PR(1), administrator(2), ease of access(2), reputation(3), efficiency(2), user rules and manuals(1), marketing(1), negotiation(1), aesthetics(2), functions(1), safety(1),  </v>
      </c>
      <c r="BP132" s="14" t="str">
        <f t="shared" si="287"/>
        <v xml:space="preserve">local biz(1,6.25%),  </v>
      </c>
      <c r="BQ132" s="27" t="str">
        <f t="shared" si="482"/>
        <v xml:space="preserve">local biz(6.25), </v>
      </c>
      <c r="BR132" s="14" t="str">
        <f t="shared" si="289"/>
        <v xml:space="preserve">scale(1)
local biz(1)
ease of access(1)
reputation(1)
aesthetics(1)
 </v>
      </c>
      <c r="BS132" s="14" t="str">
        <f t="shared" si="290"/>
        <v xml:space="preserve">biz project(1,%),  </v>
      </c>
      <c r="BT132" s="14" t="str">
        <f t="shared" si="291"/>
        <v xml:space="preserve"> </v>
      </c>
      <c r="BU132" s="14" t="str">
        <f t="shared" si="292"/>
        <v xml:space="preserve">gifted assistant(1), gifted designer(1), scale(1), enthusiasm(1), agility(2), attention to details(2), initiative(1), community manager(1), PR(1), administrator(2), ease of access(2), reputation(3), efficiency(2), user rules and manuals(1), marketing(1), negotiation(1), wood processing(1), aesthetics(2),  </v>
      </c>
      <c r="BV132" s="14" t="str">
        <f t="shared" si="293"/>
        <v xml:space="preserve">local biz(1,6.25%),  </v>
      </c>
      <c r="BW132" s="27" t="str">
        <f t="shared" si="482"/>
        <v xml:space="preserve">local biz(6.25), </v>
      </c>
      <c r="BX132" s="14" t="str">
        <f t="shared" si="295"/>
        <v xml:space="preserve">local biz(1)
ease of access(1)
reputation(1)
aesthetics(1)
interaction(1)
 </v>
      </c>
      <c r="BY132" s="14" t="str">
        <f t="shared" si="296"/>
        <v xml:space="preserve">biz project(1,%),  </v>
      </c>
      <c r="BZ132" s="14" t="str">
        <f t="shared" si="297"/>
        <v xml:space="preserve"> </v>
      </c>
      <c r="CA132" s="14" t="str">
        <f t="shared" si="298"/>
        <v xml:space="preserve">gifted assistant(1), 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2" s="14" t="str">
        <f t="shared" si="299"/>
        <v xml:space="preserve">local biz(1,6.25%),  </v>
      </c>
      <c r="CC132" s="27" t="str">
        <f t="shared" si="483"/>
        <v xml:space="preserve">local biz(6.25), </v>
      </c>
      <c r="CD132" s="14" t="str">
        <f t="shared" si="301"/>
        <v xml:space="preserve">ease of access(1)
reputation(1)
aesthetics(1)
 </v>
      </c>
      <c r="CE132" s="14" t="str">
        <f t="shared" si="302"/>
        <v xml:space="preserve">biz project(1,%),  </v>
      </c>
      <c r="CF132" s="14" t="str">
        <f t="shared" si="303"/>
        <v xml:space="preserve"> </v>
      </c>
      <c r="CG132" s="14" t="str">
        <f t="shared" si="304"/>
        <v xml:space="preserve">gifted assistant(1), 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32" s="14" t="str">
        <f t="shared" si="305"/>
        <v xml:space="preserve">local biz(1,6.25%),  </v>
      </c>
      <c r="CI132" s="27" t="str">
        <f t="shared" si="483"/>
        <v xml:space="preserve">local biz(6.25), </v>
      </c>
      <c r="CJ132" s="14" t="str">
        <f t="shared" si="307"/>
        <v xml:space="preserve">ease of access(1)
reputation(1)
aesthetics(1)
 </v>
      </c>
      <c r="CK132" s="14" t="str">
        <f t="shared" si="308"/>
        <v xml:space="preserve">biz project(1,%),  </v>
      </c>
      <c r="CL132" s="14" t="str">
        <f t="shared" si="309"/>
        <v xml:space="preserve"> </v>
      </c>
      <c r="CM132" s="14" t="str">
        <f t="shared" si="310"/>
        <v xml:space="preserve">gifted assistant(1), 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2" s="14" t="str">
        <f t="shared" si="311"/>
        <v xml:space="preserve">local biz(1,6.25%),  </v>
      </c>
      <c r="CO132" s="27" t="str">
        <f t="shared" si="483"/>
        <v xml:space="preserve">local biz(6.25), </v>
      </c>
      <c r="CP132" s="14" t="str">
        <f t="shared" si="313"/>
        <v xml:space="preserve">local biz(1)
metal processing(1)
functions(1)
 </v>
      </c>
      <c r="CQ132" s="14" t="str">
        <f t="shared" si="314"/>
        <v xml:space="preserve">local biz(1,50%), biz enhancement(1,50%),  </v>
      </c>
      <c r="CR132" s="14" t="str">
        <f t="shared" si="315"/>
        <v xml:space="preserve">local biz(50)
biz enhancement(50)
 </v>
      </c>
      <c r="CS132" s="14" t="str">
        <f t="shared" si="316"/>
        <v xml:space="preserve">gifted designer(1), enthusiasm(1), agility(2), attention to details(2), initiative(1), community manager(1), ease of access(2), reputation(3), efficiency(2), metal processing(2), electronics(2), aesthetics(2), functions(2), safety(2),  </v>
      </c>
      <c r="CT132" s="14" t="str">
        <f t="shared" si="317"/>
        <v xml:space="preserve">reputation(1,6.25%),  </v>
      </c>
      <c r="CU132" s="27" t="str">
        <f t="shared" si="483"/>
        <v xml:space="preserve">reputation(6.25), </v>
      </c>
      <c r="CV132" s="14" t="str">
        <f t="shared" si="319"/>
        <v xml:space="preserve">non-profits(1)
wood processing(1)
aesthetics(1)
interaction(1)
 </v>
      </c>
      <c r="CW132" s="14" t="str">
        <f t="shared" si="320"/>
        <v xml:space="preserve">non-profits(1,50%), social project(1,50%),  </v>
      </c>
      <c r="CX132" s="14" t="str">
        <f t="shared" si="321"/>
        <v xml:space="preserve">non-profits(50)
social project(50)
 </v>
      </c>
      <c r="CY132"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32" s="14" t="str">
        <f t="shared" si="323"/>
        <v xml:space="preserve">media(1,6.25%), reputation(1,6.25%), portfolio(1,6.25%),  </v>
      </c>
      <c r="DA132" s="27" t="str">
        <f t="shared" si="483"/>
        <v xml:space="preserve">media(6.25),reputation(6.25),portfolio(6.25), </v>
      </c>
      <c r="DB132" s="14" t="str">
        <f t="shared" si="325"/>
        <v xml:space="preserve">non-profits(1)
aesthetics(1)
interaction(1)
 </v>
      </c>
      <c r="DC132" s="14" t="str">
        <f t="shared" si="326"/>
        <v xml:space="preserve">non-profits(1,50%), social project(1,50%),  </v>
      </c>
      <c r="DD132" s="14" t="str">
        <f t="shared" si="327"/>
        <v xml:space="preserve">non-profits(50)
social project(50)
 </v>
      </c>
      <c r="DE132" s="14" t="str">
        <f t="shared" si="328"/>
        <v xml:space="preserve">gifted programmer(1), gifted designer(1), scale(2), enthusiasm(4), agility(2), ambition(4), attention to details(2), fun-ness(2), administrator(2), ease of access(2), efficiency(3), VR&amp;AR(2),  </v>
      </c>
      <c r="DF132" s="14" t="str">
        <f t="shared" si="329"/>
        <v xml:space="preserve">media(1,6.25%), reputation(1,6.25%), portfolio(1,6.25%),  </v>
      </c>
      <c r="DG132" s="27" t="str">
        <f t="shared" si="483"/>
        <v xml:space="preserve">media(6.25),reputation(6.25),portfolio(6.25), </v>
      </c>
      <c r="DH132" s="14" t="str">
        <f t="shared" si="331"/>
        <v xml:space="preserve">scale(1)
wood processing(1)
aesthetics(1)
safety(1)
 </v>
      </c>
      <c r="DI132" s="14" t="str">
        <f t="shared" si="332"/>
        <v xml:space="preserve">social project(1,100%),  </v>
      </c>
      <c r="DJ132" s="14" t="str">
        <f t="shared" si="333"/>
        <v xml:space="preserve">social project(100)
 </v>
      </c>
      <c r="DK132" s="14" t="str">
        <f t="shared" si="334"/>
        <v xml:space="preserve">gifted assistant(1), 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2" s="14" t="str">
        <f t="shared" si="335"/>
        <v xml:space="preserve">enthusiasm(1,6.25%), agility(1,6.25%), fun-ness(1,6.25%), reputation(1,6.25%), portfolio(1,6.25%), team building(1,6.25%),  </v>
      </c>
      <c r="DM132" s="27" t="str">
        <f t="shared" si="483"/>
        <v xml:space="preserve">enthusiasm(6.25),agility(6.25),fun-ness(6.25),reputation(6.25),portfolio(6.25),team building(6.25), </v>
      </c>
      <c r="DN132"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2" s="14" t="str">
        <f t="shared" si="338"/>
        <v xml:space="preserve">reputation(1,25%), portfolio(1,50%),  </v>
      </c>
      <c r="DP132" s="14" t="str">
        <f t="shared" si="339"/>
        <v xml:space="preserve">reputation(25)
portfolio(50)
 </v>
      </c>
      <c r="DQ132" s="14" t="str">
        <f t="shared" si="340"/>
        <v xml:space="preserve">gifted assistant(1), gifted designer(1), ambition(1), attention to details(3), fun-ness(3), administrator(1), media(3), suppliers(3), social media(2), wood processing(2), plastic processing(2), electronics(2), aesthetics(2),  </v>
      </c>
      <c r="DR132" s="14" t="str">
        <f t="shared" si="341"/>
        <v xml:space="preserve">suppliers(1,6.25%), reputation(1,6.25%),  </v>
      </c>
      <c r="DS132" s="27" t="str">
        <f t="shared" si="483"/>
        <v xml:space="preserve">suppliers(6.25),reputation(6.25), </v>
      </c>
      <c r="DT132" s="14" t="str">
        <f t="shared" si="343"/>
        <v xml:space="preserve">scale(2)
attention to details(2)
leader(1)
fame(1)
network(2)
reputation(3)
portfolio(2)
 </v>
      </c>
      <c r="DU132" s="14" t="str">
        <f t="shared" si="344"/>
        <v xml:space="preserve">fame(1,25%), govt(1,25%), non-profits(1,50%), reputation(1,25%),  </v>
      </c>
      <c r="DV132" s="14" t="str">
        <f t="shared" si="345"/>
        <v xml:space="preserve">fame(25)
govt(25)
non-profits(50)
reputation(25)
 </v>
      </c>
      <c r="DW132" s="14" t="str">
        <f t="shared" si="346"/>
        <v xml:space="preserve">enthusiasm(3), ambition(2), attention to details(2), PR(1), administrator(1), social media(2),  </v>
      </c>
      <c r="DX132" s="14" t="str">
        <f t="shared" si="347"/>
        <v xml:space="preserve">ambition(1,6.25%), fame(1,6.25%), reputation(1,6.25%),  </v>
      </c>
      <c r="DY132" s="27" t="str">
        <f t="shared" si="483"/>
        <v xml:space="preserve">ambition(6.25),fame(6.25),reputation(6.25), </v>
      </c>
      <c r="DZ132" s="14" t="str">
        <f t="shared" si="349"/>
        <v xml:space="preserve"> </v>
      </c>
      <c r="EA132" s="14" t="str">
        <f t="shared" si="350"/>
        <v xml:space="preserve"> </v>
      </c>
      <c r="EB132" s="14" t="str">
        <f t="shared" si="351"/>
        <v xml:space="preserve"> </v>
      </c>
      <c r="EC132" s="14" t="str">
        <f t="shared" si="352"/>
        <v xml:space="preserve"> </v>
      </c>
      <c r="ED132" s="14" t="str">
        <f t="shared" si="353"/>
        <v xml:space="preserve"> </v>
      </c>
      <c r="EE132" s="27" t="str">
        <f t="shared" si="483"/>
        <v xml:space="preserve"> </v>
      </c>
      <c r="EF132" s="14" t="str">
        <f t="shared" si="355"/>
        <v xml:space="preserve"> </v>
      </c>
      <c r="EG132" s="14" t="str">
        <f t="shared" si="356"/>
        <v xml:space="preserve"> </v>
      </c>
      <c r="EH132" s="14" t="str">
        <f t="shared" si="357"/>
        <v xml:space="preserve"> </v>
      </c>
      <c r="EI132" s="14" t="str">
        <f t="shared" si="358"/>
        <v xml:space="preserve"> </v>
      </c>
      <c r="EJ132" s="14" t="str">
        <f t="shared" si="359"/>
        <v xml:space="preserve"> </v>
      </c>
      <c r="EK132" s="27" t="str">
        <f t="shared" si="483"/>
        <v xml:space="preserve"> </v>
      </c>
      <c r="EL132" s="14" t="str">
        <f t="shared" si="361"/>
        <v xml:space="preserve"> </v>
      </c>
      <c r="EM132" s="14" t="str">
        <f t="shared" si="362"/>
        <v xml:space="preserve"> </v>
      </c>
      <c r="EN132" s="14" t="str">
        <f t="shared" si="363"/>
        <v xml:space="preserve"> </v>
      </c>
      <c r="EO132" s="14" t="str">
        <f t="shared" si="364"/>
        <v xml:space="preserve"> </v>
      </c>
      <c r="EP132" s="14" t="str">
        <f t="shared" si="365"/>
        <v xml:space="preserve"> </v>
      </c>
      <c r="EQ132" s="27" t="str">
        <f t="shared" si="484"/>
        <v xml:space="preserve"> </v>
      </c>
      <c r="ER132" s="14" t="str">
        <f t="shared" si="367"/>
        <v xml:space="preserve"> </v>
      </c>
      <c r="ES132" s="14" t="str">
        <f t="shared" si="368"/>
        <v xml:space="preserve"> </v>
      </c>
      <c r="ET132" s="14" t="str">
        <f t="shared" si="369"/>
        <v xml:space="preserve"> </v>
      </c>
      <c r="EU132" s="14" t="str">
        <f t="shared" si="370"/>
        <v xml:space="preserve"> </v>
      </c>
      <c r="EV132" s="14" t="str">
        <f t="shared" si="371"/>
        <v xml:space="preserve"> </v>
      </c>
      <c r="EW132" s="27" t="str">
        <f t="shared" si="484"/>
        <v xml:space="preserve"> </v>
      </c>
      <c r="EX132" s="14" t="str">
        <f t="shared" si="373"/>
        <v xml:space="preserve"> </v>
      </c>
      <c r="EY132" s="14" t="str">
        <f t="shared" si="374"/>
        <v xml:space="preserve"> </v>
      </c>
      <c r="EZ132" s="14" t="str">
        <f t="shared" si="375"/>
        <v xml:space="preserve"> </v>
      </c>
      <c r="FA132" s="14" t="str">
        <f t="shared" si="376"/>
        <v xml:space="preserve"> </v>
      </c>
      <c r="FB132" s="14" t="str">
        <f t="shared" si="377"/>
        <v xml:space="preserve"> </v>
      </c>
      <c r="FC132" s="27" t="str">
        <f t="shared" si="484"/>
        <v xml:space="preserve"> </v>
      </c>
      <c r="FD132" s="14" t="str">
        <f t="shared" si="379"/>
        <v xml:space="preserve"> </v>
      </c>
      <c r="FE132" s="14" t="str">
        <f t="shared" si="380"/>
        <v xml:space="preserve"> </v>
      </c>
      <c r="FF132" s="14" t="str">
        <f t="shared" si="381"/>
        <v xml:space="preserve"> </v>
      </c>
      <c r="FG132" s="14" t="str">
        <f t="shared" si="382"/>
        <v xml:space="preserve"> </v>
      </c>
      <c r="FH132" s="14" t="str">
        <f t="shared" si="383"/>
        <v xml:space="preserve"> </v>
      </c>
      <c r="FI132" s="27" t="str">
        <f t="shared" si="484"/>
        <v xml:space="preserve"> </v>
      </c>
      <c r="FJ132" s="14" t="str">
        <f t="shared" si="385"/>
        <v xml:space="preserve"> </v>
      </c>
      <c r="FK132" s="14" t="str">
        <f t="shared" si="386"/>
        <v xml:space="preserve"> </v>
      </c>
      <c r="FL132" s="14" t="str">
        <f t="shared" si="387"/>
        <v xml:space="preserve"> </v>
      </c>
      <c r="FM132" s="14" t="str">
        <f t="shared" si="388"/>
        <v xml:space="preserve"> </v>
      </c>
      <c r="FN132" s="14" t="str">
        <f t="shared" si="389"/>
        <v xml:space="preserve"> </v>
      </c>
      <c r="FO132" s="27" t="str">
        <f t="shared" si="484"/>
        <v xml:space="preserve"> </v>
      </c>
      <c r="FP132" s="14" t="str">
        <f t="shared" si="391"/>
        <v xml:space="preserve"> </v>
      </c>
      <c r="FQ132" s="14" t="str">
        <f t="shared" si="392"/>
        <v xml:space="preserve"> </v>
      </c>
      <c r="FR132" s="14" t="str">
        <f t="shared" si="393"/>
        <v xml:space="preserve"> </v>
      </c>
      <c r="FS132" s="14" t="str">
        <f t="shared" si="394"/>
        <v xml:space="preserve"> </v>
      </c>
      <c r="FT132" s="14" t="str">
        <f t="shared" si="395"/>
        <v xml:space="preserve"> </v>
      </c>
      <c r="FU132" s="27" t="str">
        <f t="shared" si="484"/>
        <v xml:space="preserve"> </v>
      </c>
      <c r="FV132" s="14" t="str">
        <f t="shared" si="397"/>
        <v xml:space="preserve"> </v>
      </c>
      <c r="FW132" s="14" t="str">
        <f t="shared" si="398"/>
        <v xml:space="preserve"> </v>
      </c>
      <c r="FX132" s="14" t="str">
        <f t="shared" si="399"/>
        <v xml:space="preserve"> </v>
      </c>
      <c r="FY132" s="14" t="str">
        <f t="shared" si="400"/>
        <v xml:space="preserve"> </v>
      </c>
      <c r="FZ132" s="14" t="str">
        <f t="shared" si="401"/>
        <v xml:space="preserve"> </v>
      </c>
      <c r="GA132" s="27" t="str">
        <f t="shared" si="484"/>
        <v xml:space="preserve"> </v>
      </c>
      <c r="GB132" s="14" t="str">
        <f t="shared" si="403"/>
        <v xml:space="preserve"> </v>
      </c>
      <c r="GC132" s="14" t="str">
        <f t="shared" si="404"/>
        <v xml:space="preserve"> </v>
      </c>
      <c r="GD132" s="14" t="str">
        <f t="shared" si="405"/>
        <v xml:space="preserve"> </v>
      </c>
      <c r="GE132" s="14" t="str">
        <f t="shared" si="406"/>
        <v xml:space="preserve"> </v>
      </c>
      <c r="GF132" s="14" t="str">
        <f t="shared" si="407"/>
        <v xml:space="preserve"> </v>
      </c>
      <c r="GG132" s="27" t="str">
        <f t="shared" si="484"/>
        <v xml:space="preserve"> </v>
      </c>
      <c r="GH132" s="14" t="str">
        <f t="shared" si="409"/>
        <v xml:space="preserve"> </v>
      </c>
      <c r="GI132" s="14" t="str">
        <f t="shared" si="410"/>
        <v xml:space="preserve"> </v>
      </c>
      <c r="GJ132" s="14" t="str">
        <f t="shared" si="411"/>
        <v xml:space="preserve"> </v>
      </c>
      <c r="GK132" s="14" t="str">
        <f t="shared" si="412"/>
        <v xml:space="preserve"> </v>
      </c>
      <c r="GL132" s="14" t="str">
        <f t="shared" si="413"/>
        <v xml:space="preserve"> </v>
      </c>
      <c r="GM132" s="27" t="str">
        <f t="shared" si="484"/>
        <v xml:space="preserve"> </v>
      </c>
      <c r="GN132" s="14" t="str">
        <f t="shared" si="415"/>
        <v xml:space="preserve"> </v>
      </c>
      <c r="GO132" s="14" t="str">
        <f t="shared" si="416"/>
        <v xml:space="preserve"> </v>
      </c>
      <c r="GP132" s="14" t="str">
        <f t="shared" si="417"/>
        <v xml:space="preserve"> </v>
      </c>
      <c r="GQ132" s="14" t="str">
        <f t="shared" si="418"/>
        <v xml:space="preserve"> </v>
      </c>
      <c r="GR132" s="14" t="str">
        <f t="shared" si="419"/>
        <v xml:space="preserve"> </v>
      </c>
      <c r="GS132" s="27" t="str">
        <f t="shared" si="484"/>
        <v xml:space="preserve"> </v>
      </c>
      <c r="GT132" s="14" t="str">
        <f t="shared" si="421"/>
        <v xml:space="preserve"> </v>
      </c>
      <c r="GU132" s="14" t="str">
        <f t="shared" si="422"/>
        <v xml:space="preserve"> </v>
      </c>
      <c r="GV132" s="14" t="str">
        <f t="shared" si="423"/>
        <v xml:space="preserve"> </v>
      </c>
      <c r="GW132" s="14" t="str">
        <f t="shared" si="424"/>
        <v xml:space="preserve"> </v>
      </c>
      <c r="GX132" s="14" t="str">
        <f t="shared" si="425"/>
        <v xml:space="preserve"> </v>
      </c>
      <c r="GY132" s="27" t="str">
        <f t="shared" si="484"/>
        <v xml:space="preserve"> </v>
      </c>
      <c r="GZ132" s="14" t="str">
        <f t="shared" si="427"/>
        <v xml:space="preserve"> </v>
      </c>
      <c r="HA132" s="14" t="str">
        <f t="shared" si="428"/>
        <v xml:space="preserve"> </v>
      </c>
      <c r="HB132" s="14" t="str">
        <f t="shared" si="429"/>
        <v xml:space="preserve"> </v>
      </c>
      <c r="HC132" s="14" t="str">
        <f t="shared" si="430"/>
        <v xml:space="preserve"> </v>
      </c>
      <c r="HD132" s="14" t="str">
        <f t="shared" si="431"/>
        <v xml:space="preserve"> </v>
      </c>
      <c r="HE132" s="27" t="str">
        <f t="shared" si="485"/>
        <v xml:space="preserve"> </v>
      </c>
      <c r="HF132" s="14" t="str">
        <f t="shared" si="433"/>
        <v xml:space="preserve"> </v>
      </c>
      <c r="HG132" s="14" t="str">
        <f t="shared" si="434"/>
        <v xml:space="preserve"> </v>
      </c>
      <c r="HH132" s="14" t="str">
        <f t="shared" si="435"/>
        <v xml:space="preserve"> </v>
      </c>
      <c r="HI132" s="14" t="str">
        <f t="shared" si="436"/>
        <v xml:space="preserve"> </v>
      </c>
      <c r="HJ132" s="14" t="str">
        <f t="shared" si="437"/>
        <v xml:space="preserve"> </v>
      </c>
      <c r="HK132" s="27" t="str">
        <f t="shared" si="485"/>
        <v xml:space="preserve"> </v>
      </c>
      <c r="HL132" s="14" t="str">
        <f t="shared" si="439"/>
        <v xml:space="preserve"> </v>
      </c>
      <c r="HM132" s="14" t="str">
        <f t="shared" si="440"/>
        <v xml:space="preserve"> </v>
      </c>
      <c r="HN132" s="14" t="str">
        <f t="shared" si="441"/>
        <v xml:space="preserve"> </v>
      </c>
      <c r="HO132" s="14" t="str">
        <f t="shared" si="442"/>
        <v xml:space="preserve"> </v>
      </c>
      <c r="HP132" s="14" t="str">
        <f t="shared" si="443"/>
        <v xml:space="preserve"> </v>
      </c>
      <c r="HQ132" s="27" t="str">
        <f t="shared" si="485"/>
        <v xml:space="preserve"> </v>
      </c>
    </row>
    <row r="133" spans="1:225" ht="15.75" customHeight="1">
      <c r="A133" s="7">
        <f t="shared" ref="A133:C133" si="492">A25</f>
        <v>0</v>
      </c>
      <c r="B133" s="7">
        <f t="shared" si="492"/>
        <v>0</v>
      </c>
      <c r="C133" s="7" t="str">
        <f t="shared" si="492"/>
        <v>gifted programmer</v>
      </c>
      <c r="D133" s="14" t="str">
        <f t="shared" si="446"/>
        <v xml:space="preserve"> </v>
      </c>
      <c r="E133" s="14" t="str">
        <f t="shared" si="447"/>
        <v xml:space="preserve"> </v>
      </c>
      <c r="F133" s="14" t="str">
        <f t="shared" si="448"/>
        <v xml:space="preserve"> </v>
      </c>
      <c r="G133" s="14" t="str">
        <f t="shared" si="449"/>
        <v xml:space="preserve">attention to details(1.1), efficiency(1), user rules and manuals(2.1), organizational rules and manuals(2.1),  </v>
      </c>
      <c r="H133" s="14" t="str">
        <f t="shared" si="450"/>
        <v xml:space="preserve">efficiency(-1,6.25%),  </v>
      </c>
      <c r="I133" s="27" t="str">
        <f t="shared" ref="I133" si="493">IF(I25="",I134,$C133&amp;"("&amp;I25&amp;"),"&amp;I134)</f>
        <v xml:space="preserve">efficiency(6.25), </v>
      </c>
      <c r="J133" s="14" t="str">
        <f t="shared" si="229"/>
        <v xml:space="preserve">scale(1)
enthusiasm(1)
 </v>
      </c>
      <c r="K133" s="14" t="str">
        <f t="shared" si="230"/>
        <v xml:space="preserve">scale(-1,12.5%), enthusiasm(-1,25%),  </v>
      </c>
      <c r="L133" s="14" t="str">
        <f t="shared" si="231"/>
        <v xml:space="preserve">scale(12.5)
enthusiasm(25)
 </v>
      </c>
      <c r="M133" s="14" t="str">
        <f t="shared" si="232"/>
        <v xml:space="preserve">scale(1.1), efficiency(0.1), organizational rules and manuals(1.1),  </v>
      </c>
      <c r="N133" s="14" t="str">
        <f t="shared" si="233"/>
        <v xml:space="preserve">agility(-1,6.75%), ambition(-1,6.75%), fun-ness(-1,6.75%), initiative(-1,6.75%),  </v>
      </c>
      <c r="O133" s="27" t="str">
        <f t="shared" si="482"/>
        <v xml:space="preserve">agility(6.75),ambition(6.75),fun-ness(6.75),initiative(6.75), </v>
      </c>
      <c r="P133" s="14" t="str">
        <f t="shared" si="235"/>
        <v xml:space="preserve"> </v>
      </c>
      <c r="Q133" s="14" t="str">
        <f t="shared" si="236"/>
        <v xml:space="preserve">gifted programmer(-1,25%), gifted designer(-1,25%),  </v>
      </c>
      <c r="R133" s="14" t="str">
        <f t="shared" si="237"/>
        <v xml:space="preserve">gifted programmer(25)
gifted designer(25)
 </v>
      </c>
      <c r="S133" s="14" t="str">
        <f t="shared" si="238"/>
        <v xml:space="preserve">gifted programmer(1), gifted designer(1), ambition(1), attention to details(0.1), community manager(0.1), team building(0.1),  </v>
      </c>
      <c r="T133" s="14" t="str">
        <f t="shared" si="239"/>
        <v xml:space="preserve">ambition(-1,%), business model(-1,6.25%), web(-1,6.25%), mobile apps(-1,6.25%), aesthetics(-1,6.25%),  </v>
      </c>
      <c r="U133" s="27" t="str">
        <f t="shared" si="482"/>
        <v xml:space="preserve">business model(6.25),web(6.25),mobile apps(6.25),aesthetics(6.25), </v>
      </c>
      <c r="V133" s="14" t="str">
        <f t="shared" si="241"/>
        <v xml:space="preserve">scale(1)
 </v>
      </c>
      <c r="W133" s="14" t="str">
        <f t="shared" si="242"/>
        <v xml:space="preserve">enthusiasm(-1,25%), efficiency(-1,25%),  </v>
      </c>
      <c r="X133" s="14" t="str">
        <f t="shared" si="243"/>
        <v xml:space="preserve">enthusiasm(25)
efficiency(25)
 </v>
      </c>
      <c r="Y133" s="14" t="str">
        <f t="shared" si="244"/>
        <v xml:space="preserve">community manager(0.1), administrator(0.1), spaciousness(1), ease of access(3), reputation(2), user rules and manuals(0.1), project management(0.1), negotiation(0.1),  </v>
      </c>
      <c r="Z133" s="14" t="str">
        <f t="shared" si="245"/>
        <v xml:space="preserve">reputation(-1,%),  </v>
      </c>
      <c r="AA133" s="27" t="str">
        <f t="shared" si="482"/>
        <v xml:space="preserve"> </v>
      </c>
      <c r="AB133" s="14" t="str">
        <f t="shared" si="247"/>
        <v xml:space="preserve"> </v>
      </c>
      <c r="AC133" s="14" t="str">
        <f t="shared" si="248"/>
        <v xml:space="preserve"> </v>
      </c>
      <c r="AD133" s="14" t="str">
        <f t="shared" si="249"/>
        <v xml:space="preserve"> </v>
      </c>
      <c r="AE133" s="14" t="str">
        <f t="shared" si="250"/>
        <v xml:space="preserve">scale(1.1), attention to details(0.1), seriousness(0.1), initiative(0.1), spaciousness(1), user rules and manuals(1.1), organizational rules and manuals(1.1),  </v>
      </c>
      <c r="AF133" s="14" t="str">
        <f t="shared" si="251"/>
        <v xml:space="preserve">enthusiasm(-1,%), local biz(-1,6.25%), investors(-1,6.25%), non-profits(-1,6.25%), efficiency(-1,6.25%),  </v>
      </c>
      <c r="AG133" s="27" t="str">
        <f t="shared" si="482"/>
        <v xml:space="preserve">local biz(6.25),investors(6.25),non-profits(6.25),efficiency(6.25), </v>
      </c>
      <c r="AH133" s="14" t="str">
        <f t="shared" si="253"/>
        <v xml:space="preserve">fun-ness(1)
ease of access(1)
reputation(1)
 </v>
      </c>
      <c r="AI133" s="14" t="str">
        <f t="shared" si="254"/>
        <v xml:space="preserve"> </v>
      </c>
      <c r="AJ133" s="14" t="str">
        <f t="shared" si="255"/>
        <v xml:space="preserve"> </v>
      </c>
      <c r="AK133" s="14" t="str">
        <f t="shared" si="256"/>
        <v xml:space="preserve">scale(3.1), attention to details(2.1), seriousness(2.1), community manager(2.1), administrator(2.1), spaciousness(1), ease of access(1), reputation(2), user rules and manuals(2.1), organizational rules and manuals(2.1), law(1.1), negotiation(1.1),  </v>
      </c>
      <c r="AL133" s="14" t="str">
        <f t="shared" si="257"/>
        <v xml:space="preserve">govt(-1,6.25%), non-profits(-1,6.25%), reputation(-1,6.25%),  </v>
      </c>
      <c r="AM133" s="27" t="str">
        <f t="shared" si="482"/>
        <v xml:space="preserve">govt(6.25),non-profits(6.25),reputation(6.25), </v>
      </c>
      <c r="AN133" s="14" t="str">
        <f t="shared" si="259"/>
        <v xml:space="preserve">scale(1)
fun-ness(1)
seriousness(1)
 </v>
      </c>
      <c r="AO133" s="14" t="str">
        <f t="shared" si="260"/>
        <v xml:space="preserve">enthusiasm(-1,25%),  </v>
      </c>
      <c r="AP133" s="14" t="str">
        <f t="shared" si="261"/>
        <v xml:space="preserve">enthusiasm(25)
 </v>
      </c>
      <c r="AQ133" s="14" t="str">
        <f t="shared" si="262"/>
        <v xml:space="preserve">scale(1), fun-ness(1), spaciousness(2.1), reputation(3), organizational rules and manuals(2.1), team building(2.1),  </v>
      </c>
      <c r="AR133" s="14" t="str">
        <f t="shared" si="263"/>
        <v xml:space="preserve">enthusiasm(-1,12.5%), fun-ness(-1,6.25%), reputation(-1,6.25%), efficiency(-1,6.25%),  </v>
      </c>
      <c r="AS133" s="27" t="str">
        <f t="shared" si="482"/>
        <v xml:space="preserve">enthusiasm(12.5),fun-ness(6.25),reputation(6.25),efficiency(6.25), </v>
      </c>
      <c r="AT133" s="14" t="str">
        <f t="shared" si="265"/>
        <v xml:space="preserve"> </v>
      </c>
      <c r="AU133" s="14" t="str">
        <f t="shared" si="266"/>
        <v xml:space="preserve"> </v>
      </c>
      <c r="AV133" s="14" t="str">
        <f t="shared" si="267"/>
        <v xml:space="preserve"> </v>
      </c>
      <c r="AW133" s="14" t="str">
        <f t="shared" si="268"/>
        <v xml:space="preserve">attention to details(3.1), fun-ness(3.1), seriousness(3.1), initiative(2.1), leader(2.1), community manager(2.1), user rules and manuals(2.1), team building(2.1),  </v>
      </c>
      <c r="AX133" s="14" t="str">
        <f t="shared" si="269"/>
        <v xml:space="preserve"> </v>
      </c>
      <c r="AY133" s="27" t="str">
        <f t="shared" si="482"/>
        <v xml:space="preserve"> </v>
      </c>
      <c r="AZ133" s="14" t="str">
        <f t="shared" si="271"/>
        <v xml:space="preserve"> </v>
      </c>
      <c r="BA133" s="14" t="str">
        <f t="shared" si="272"/>
        <v xml:space="preserve">attention to details(1,12.5%), fun-ness(-1,12.5%), seriousness(1,12.5%), efficiency(-1,12.5%), user rules and manuals(1,25%),  </v>
      </c>
      <c r="BB133" s="14" t="str">
        <f t="shared" si="273"/>
        <v xml:space="preserve">attention to details(12.5)
fun-ness(12.5)
seriousness(12.5)
efficiency(12.5)
user rules and manuals(25)
 </v>
      </c>
      <c r="BC133" s="14" t="str">
        <f t="shared" si="274"/>
        <v xml:space="preserve">agility(1.1), attention to details(1.1), seriousness(1.1), community manager(1.1), administrator(1.1), user rules and manuals(2.1), organizational rules and manuals(2.1),  </v>
      </c>
      <c r="BD133" s="14" t="str">
        <f t="shared" si="275"/>
        <v xml:space="preserve">enthusiasm(-1,6.25%), reputation(-1,6.25%),  </v>
      </c>
      <c r="BE133" s="27" t="str">
        <f t="shared" si="482"/>
        <v xml:space="preserve">enthusiasm(6.25),reputation(6.25), </v>
      </c>
      <c r="BF133" s="14" t="str">
        <f t="shared" si="277"/>
        <v xml:space="preserve"> </v>
      </c>
      <c r="BG133" s="14" t="str">
        <f t="shared" si="278"/>
        <v xml:space="preserve">enthusiasm(-1,25%), attention to details(1,25%), fun-ness(-1,25%), seriousness(1,25%), user rules and manuals(1,25%), organizational rules and manuals(1,25%),  </v>
      </c>
      <c r="BH133" s="14" t="str">
        <f t="shared" si="279"/>
        <v xml:space="preserve">enthusiasm(25)
attention to details(25)
fun-ness(25)
seriousness(25)
user rules and manuals(25)
organizational rules and manuals(25)
 </v>
      </c>
      <c r="BI133" s="14" t="str">
        <f t="shared" si="280"/>
        <v xml:space="preserve">enthusiasm(1), fun-ness(1), seriousness(2.1), community manager(1.1), administrator(1.1),  </v>
      </c>
      <c r="BJ133" s="14" t="str">
        <f t="shared" si="281"/>
        <v xml:space="preserve">reputation(-1,6.25%), efficiency(-1,25%),  </v>
      </c>
      <c r="BK133" s="27" t="str">
        <f t="shared" si="482"/>
        <v xml:space="preserve">reputation(6.25),efficiency(25), </v>
      </c>
      <c r="BL133" s="14" t="str">
        <f t="shared" si="283"/>
        <v xml:space="preserve">local biz(1)
ease of access(1)
reputation(1)
aesthetics(1)
 </v>
      </c>
      <c r="BM133" s="14" t="str">
        <f t="shared" si="284"/>
        <v xml:space="preserve">biz enhancement(1,%),  </v>
      </c>
      <c r="BN133" s="14" t="str">
        <f t="shared" si="285"/>
        <v xml:space="preserve"> </v>
      </c>
      <c r="BO133" s="14" t="str">
        <f t="shared" si="286"/>
        <v xml:space="preserve">gifted designer(1), enthusiasm(1), agility(2), attention to details(2), initiative(1), community manager(1), PR(1), administrator(2), ease of access(2), reputation(3), efficiency(2), user rules and manuals(1), marketing(1), negotiation(1), aesthetics(2), functions(1), safety(1),  </v>
      </c>
      <c r="BP133" s="14" t="str">
        <f t="shared" si="287"/>
        <v xml:space="preserve">local biz(1,6.25%),  </v>
      </c>
      <c r="BQ133" s="27" t="str">
        <f t="shared" si="482"/>
        <v xml:space="preserve">local biz(6.25), </v>
      </c>
      <c r="BR133" s="14" t="str">
        <f t="shared" si="289"/>
        <v xml:space="preserve">scale(1)
local biz(1)
ease of access(1)
reputation(1)
aesthetics(1)
 </v>
      </c>
      <c r="BS133" s="14" t="str">
        <f t="shared" si="290"/>
        <v xml:space="preserve">biz project(1,%),  </v>
      </c>
      <c r="BT133" s="14" t="str">
        <f t="shared" si="291"/>
        <v xml:space="preserve"> </v>
      </c>
      <c r="BU133" s="14" t="str">
        <f t="shared" si="292"/>
        <v xml:space="preserve">gifted designer(1), scale(1), enthusiasm(1), agility(2), attention to details(2), initiative(1), community manager(1), PR(1), administrator(2), ease of access(2), reputation(3), efficiency(2), user rules and manuals(1), marketing(1), negotiation(1), wood processing(1), aesthetics(2),  </v>
      </c>
      <c r="BV133" s="14" t="str">
        <f t="shared" si="293"/>
        <v xml:space="preserve">local biz(1,6.25%),  </v>
      </c>
      <c r="BW133" s="27" t="str">
        <f t="shared" si="482"/>
        <v xml:space="preserve">local biz(6.25), </v>
      </c>
      <c r="BX133" s="14" t="str">
        <f t="shared" si="295"/>
        <v xml:space="preserve">local biz(1)
ease of access(1)
reputation(1)
aesthetics(1)
interaction(1)
 </v>
      </c>
      <c r="BY133" s="14" t="str">
        <f t="shared" si="296"/>
        <v xml:space="preserve">biz project(1,%),  </v>
      </c>
      <c r="BZ133" s="14" t="str">
        <f t="shared" si="297"/>
        <v xml:space="preserve"> </v>
      </c>
      <c r="CA133" s="14" t="str">
        <f t="shared" si="298"/>
        <v xml:space="preserve">gifted programmer(1), 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3" s="14" t="str">
        <f t="shared" si="299"/>
        <v xml:space="preserve">local biz(1,6.25%),  </v>
      </c>
      <c r="CC133" s="27" t="str">
        <f t="shared" si="483"/>
        <v xml:space="preserve">local biz(6.25), </v>
      </c>
      <c r="CD133" s="14" t="str">
        <f t="shared" si="301"/>
        <v xml:space="preserve">ease of access(1)
reputation(1)
aesthetics(1)
 </v>
      </c>
      <c r="CE133" s="14" t="str">
        <f t="shared" si="302"/>
        <v xml:space="preserve">biz project(1,%),  </v>
      </c>
      <c r="CF133" s="14" t="str">
        <f t="shared" si="303"/>
        <v xml:space="preserve"> </v>
      </c>
      <c r="CG133" s="14" t="str">
        <f t="shared" si="304"/>
        <v xml:space="preserve">gifted programmer(1), gifted designer(1), enthusiasm(1), initiative(1), community manager(1), PR(1), administrator(2), ease of access(2), efficiency(2), user rules and manuals(1), marketing(1), team building(1), negotiation(1), infrastructrue(1), database(2), mobile apps(2), security(3), aesthetics(2), functions(1), interaction(2),  </v>
      </c>
      <c r="CH133" s="14" t="str">
        <f t="shared" si="305"/>
        <v xml:space="preserve">local biz(1,6.25%),  </v>
      </c>
      <c r="CI133" s="27" t="str">
        <f t="shared" si="483"/>
        <v xml:space="preserve">local biz(6.25), </v>
      </c>
      <c r="CJ133" s="14" t="str">
        <f t="shared" si="307"/>
        <v xml:space="preserve">ease of access(1)
reputation(1)
aesthetics(1)
 </v>
      </c>
      <c r="CK133" s="14" t="str">
        <f t="shared" si="308"/>
        <v xml:space="preserve">biz project(1,%),  </v>
      </c>
      <c r="CL133" s="14" t="str">
        <f t="shared" si="309"/>
        <v xml:space="preserve"> </v>
      </c>
      <c r="CM133" s="14" t="str">
        <f t="shared" si="310"/>
        <v xml:space="preserve">gifted programmer(1), 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3" s="14" t="str">
        <f t="shared" si="311"/>
        <v xml:space="preserve">local biz(1,6.25%),  </v>
      </c>
      <c r="CO133" s="27" t="str">
        <f t="shared" si="483"/>
        <v xml:space="preserve">local biz(6.25), </v>
      </c>
      <c r="CP133" s="14" t="str">
        <f t="shared" si="313"/>
        <v xml:space="preserve">local biz(1)
metal processing(1)
functions(1)
 </v>
      </c>
      <c r="CQ133" s="14" t="str">
        <f t="shared" si="314"/>
        <v xml:space="preserve">local biz(1,50%), biz enhancement(1,50%),  </v>
      </c>
      <c r="CR133" s="14" t="str">
        <f t="shared" si="315"/>
        <v xml:space="preserve">local biz(50)
biz enhancement(50)
 </v>
      </c>
      <c r="CS133" s="14" t="str">
        <f t="shared" si="316"/>
        <v xml:space="preserve">gifted designer(1), enthusiasm(1), agility(2), attention to details(2), initiative(1), community manager(1), ease of access(2), reputation(3), efficiency(2), metal processing(2), electronics(2), aesthetics(2), functions(2), safety(2),  </v>
      </c>
      <c r="CT133" s="14" t="str">
        <f t="shared" si="317"/>
        <v xml:space="preserve">reputation(1,6.25%),  </v>
      </c>
      <c r="CU133" s="27" t="str">
        <f t="shared" si="483"/>
        <v xml:space="preserve">reputation(6.25), </v>
      </c>
      <c r="CV133" s="14" t="str">
        <f t="shared" si="319"/>
        <v xml:space="preserve">non-profits(1)
wood processing(1)
aesthetics(1)
interaction(1)
 </v>
      </c>
      <c r="CW133" s="14" t="str">
        <f t="shared" si="320"/>
        <v xml:space="preserve">non-profits(1,50%), social project(1,50%),  </v>
      </c>
      <c r="CX133" s="14" t="str">
        <f t="shared" si="321"/>
        <v xml:space="preserve">non-profits(50)
social project(50)
 </v>
      </c>
      <c r="CY133" s="14" t="str">
        <f t="shared" si="322"/>
        <v xml:space="preserve">gifted programmer(1), gifted designer(1), scale(2), enthusiasm(4), agility(2), ambition(4), attention to details(2), fun-ness(2), administrator(2), ease of access(2), efficiency(3), sensors(2), wood processing(2), plastic processing(2), electronics(2), aesthetics(2), functions(1), safety(1), interaction(2),  </v>
      </c>
      <c r="CZ133" s="14" t="str">
        <f t="shared" si="323"/>
        <v xml:space="preserve">media(1,6.25%), reputation(1,6.25%), portfolio(1,6.25%),  </v>
      </c>
      <c r="DA133" s="27" t="str">
        <f t="shared" si="483"/>
        <v xml:space="preserve">media(6.25),reputation(6.25),portfolio(6.25), </v>
      </c>
      <c r="DB133" s="14" t="str">
        <f t="shared" si="325"/>
        <v xml:space="preserve">non-profits(1)
aesthetics(1)
interaction(1)
 </v>
      </c>
      <c r="DC133" s="14" t="str">
        <f t="shared" si="326"/>
        <v xml:space="preserve">non-profits(1,50%), social project(1,50%),  </v>
      </c>
      <c r="DD133" s="14" t="str">
        <f t="shared" si="327"/>
        <v xml:space="preserve">non-profits(50)
social project(50)
 </v>
      </c>
      <c r="DE133" s="14" t="str">
        <f t="shared" si="328"/>
        <v xml:space="preserve">gifted programmer(1), gifted designer(1), scale(2), enthusiasm(4), agility(2), ambition(4), attention to details(2), fun-ness(2), administrator(2), ease of access(2), efficiency(3), VR&amp;AR(2),  </v>
      </c>
      <c r="DF133" s="14" t="str">
        <f t="shared" si="329"/>
        <v xml:space="preserve">media(1,6.25%), reputation(1,6.25%), portfolio(1,6.25%),  </v>
      </c>
      <c r="DG133" s="27" t="str">
        <f t="shared" si="483"/>
        <v xml:space="preserve">media(6.25),reputation(6.25),portfolio(6.25), </v>
      </c>
      <c r="DH133" s="14" t="str">
        <f t="shared" si="331"/>
        <v xml:space="preserve">scale(1)
wood processing(1)
aesthetics(1)
safety(1)
 </v>
      </c>
      <c r="DI133" s="14" t="str">
        <f t="shared" si="332"/>
        <v xml:space="preserve">social project(1,100%),  </v>
      </c>
      <c r="DJ133" s="14" t="str">
        <f t="shared" si="333"/>
        <v xml:space="preserve">social project(100)
 </v>
      </c>
      <c r="DK133" s="14" t="str">
        <f t="shared" si="334"/>
        <v xml:space="preserve">gifted programmer(1), 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3" s="14" t="str">
        <f t="shared" si="335"/>
        <v xml:space="preserve">enthusiasm(1,6.25%), agility(1,6.25%), fun-ness(1,6.25%), reputation(1,6.25%), portfolio(1,6.25%), team building(1,6.25%),  </v>
      </c>
      <c r="DM133" s="27" t="str">
        <f t="shared" si="483"/>
        <v xml:space="preserve">enthusiasm(6.25),agility(6.25),fun-ness(6.25),reputation(6.25),portfolio(6.25),team building(6.25), </v>
      </c>
      <c r="DN133"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3" s="14" t="str">
        <f t="shared" si="338"/>
        <v xml:space="preserve">reputation(1,25%), portfolio(1,50%),  </v>
      </c>
      <c r="DP133" s="14" t="str">
        <f t="shared" si="339"/>
        <v xml:space="preserve">reputation(25)
portfolio(50)
 </v>
      </c>
      <c r="DQ133" s="14" t="str">
        <f t="shared" si="340"/>
        <v xml:space="preserve">gifted designer(1), ambition(1), attention to details(3), fun-ness(3), administrator(1), media(3), suppliers(3), social media(2), wood processing(2), plastic processing(2), electronics(2), aesthetics(2),  </v>
      </c>
      <c r="DR133" s="14" t="str">
        <f t="shared" si="341"/>
        <v xml:space="preserve">suppliers(1,6.25%), reputation(1,6.25%),  </v>
      </c>
      <c r="DS133" s="27" t="str">
        <f t="shared" si="483"/>
        <v xml:space="preserve">suppliers(6.25),reputation(6.25), </v>
      </c>
      <c r="DT133" s="14" t="str">
        <f t="shared" si="343"/>
        <v xml:space="preserve">scale(2)
attention to details(2)
leader(1)
fame(1)
network(2)
reputation(3)
portfolio(2)
 </v>
      </c>
      <c r="DU133" s="14" t="str">
        <f t="shared" si="344"/>
        <v xml:space="preserve">fame(1,25%), govt(1,25%), non-profits(1,50%), reputation(1,25%),  </v>
      </c>
      <c r="DV133" s="14" t="str">
        <f t="shared" si="345"/>
        <v xml:space="preserve">fame(25)
govt(25)
non-profits(50)
reputation(25)
 </v>
      </c>
      <c r="DW133" s="14" t="str">
        <f t="shared" si="346"/>
        <v xml:space="preserve">enthusiasm(3), ambition(2), attention to details(2), PR(1), administrator(1), social media(2),  </v>
      </c>
      <c r="DX133" s="14" t="str">
        <f t="shared" si="347"/>
        <v xml:space="preserve">ambition(1,6.25%), fame(1,6.25%), reputation(1,6.25%),  </v>
      </c>
      <c r="DY133" s="27" t="str">
        <f t="shared" si="483"/>
        <v xml:space="preserve">ambition(6.25),fame(6.25),reputation(6.25), </v>
      </c>
      <c r="DZ133" s="14" t="str">
        <f t="shared" si="349"/>
        <v xml:space="preserve"> </v>
      </c>
      <c r="EA133" s="14" t="str">
        <f t="shared" si="350"/>
        <v xml:space="preserve"> </v>
      </c>
      <c r="EB133" s="14" t="str">
        <f t="shared" si="351"/>
        <v xml:space="preserve"> </v>
      </c>
      <c r="EC133" s="14" t="str">
        <f t="shared" si="352"/>
        <v xml:space="preserve"> </v>
      </c>
      <c r="ED133" s="14" t="str">
        <f t="shared" si="353"/>
        <v xml:space="preserve"> </v>
      </c>
      <c r="EE133" s="27" t="str">
        <f t="shared" si="483"/>
        <v xml:space="preserve"> </v>
      </c>
      <c r="EF133" s="14" t="str">
        <f t="shared" si="355"/>
        <v xml:space="preserve"> </v>
      </c>
      <c r="EG133" s="14" t="str">
        <f t="shared" si="356"/>
        <v xml:space="preserve"> </v>
      </c>
      <c r="EH133" s="14" t="str">
        <f t="shared" si="357"/>
        <v xml:space="preserve"> </v>
      </c>
      <c r="EI133" s="14" t="str">
        <f t="shared" si="358"/>
        <v xml:space="preserve"> </v>
      </c>
      <c r="EJ133" s="14" t="str">
        <f t="shared" si="359"/>
        <v xml:space="preserve"> </v>
      </c>
      <c r="EK133" s="27" t="str">
        <f t="shared" si="483"/>
        <v xml:space="preserve"> </v>
      </c>
      <c r="EL133" s="14" t="str">
        <f t="shared" si="361"/>
        <v xml:space="preserve"> </v>
      </c>
      <c r="EM133" s="14" t="str">
        <f t="shared" si="362"/>
        <v xml:space="preserve"> </v>
      </c>
      <c r="EN133" s="14" t="str">
        <f t="shared" si="363"/>
        <v xml:space="preserve"> </v>
      </c>
      <c r="EO133" s="14" t="str">
        <f t="shared" si="364"/>
        <v xml:space="preserve"> </v>
      </c>
      <c r="EP133" s="14" t="str">
        <f t="shared" si="365"/>
        <v xml:space="preserve"> </v>
      </c>
      <c r="EQ133" s="27" t="str">
        <f t="shared" si="484"/>
        <v xml:space="preserve"> </v>
      </c>
      <c r="ER133" s="14" t="str">
        <f t="shared" si="367"/>
        <v xml:space="preserve"> </v>
      </c>
      <c r="ES133" s="14" t="str">
        <f t="shared" si="368"/>
        <v xml:space="preserve"> </v>
      </c>
      <c r="ET133" s="14" t="str">
        <f t="shared" si="369"/>
        <v xml:space="preserve"> </v>
      </c>
      <c r="EU133" s="14" t="str">
        <f t="shared" si="370"/>
        <v xml:space="preserve"> </v>
      </c>
      <c r="EV133" s="14" t="str">
        <f t="shared" si="371"/>
        <v xml:space="preserve"> </v>
      </c>
      <c r="EW133" s="27" t="str">
        <f t="shared" si="484"/>
        <v xml:space="preserve"> </v>
      </c>
      <c r="EX133" s="14" t="str">
        <f t="shared" si="373"/>
        <v xml:space="preserve"> </v>
      </c>
      <c r="EY133" s="14" t="str">
        <f t="shared" si="374"/>
        <v xml:space="preserve"> </v>
      </c>
      <c r="EZ133" s="14" t="str">
        <f t="shared" si="375"/>
        <v xml:space="preserve"> </v>
      </c>
      <c r="FA133" s="14" t="str">
        <f t="shared" si="376"/>
        <v xml:space="preserve"> </v>
      </c>
      <c r="FB133" s="14" t="str">
        <f t="shared" si="377"/>
        <v xml:space="preserve"> </v>
      </c>
      <c r="FC133" s="27" t="str">
        <f t="shared" si="484"/>
        <v xml:space="preserve"> </v>
      </c>
      <c r="FD133" s="14" t="str">
        <f t="shared" si="379"/>
        <v xml:space="preserve"> </v>
      </c>
      <c r="FE133" s="14" t="str">
        <f t="shared" si="380"/>
        <v xml:space="preserve"> </v>
      </c>
      <c r="FF133" s="14" t="str">
        <f t="shared" si="381"/>
        <v xml:space="preserve"> </v>
      </c>
      <c r="FG133" s="14" t="str">
        <f t="shared" si="382"/>
        <v xml:space="preserve"> </v>
      </c>
      <c r="FH133" s="14" t="str">
        <f t="shared" si="383"/>
        <v xml:space="preserve"> </v>
      </c>
      <c r="FI133" s="27" t="str">
        <f t="shared" si="484"/>
        <v xml:space="preserve"> </v>
      </c>
      <c r="FJ133" s="14" t="str">
        <f t="shared" si="385"/>
        <v xml:space="preserve"> </v>
      </c>
      <c r="FK133" s="14" t="str">
        <f t="shared" si="386"/>
        <v xml:space="preserve"> </v>
      </c>
      <c r="FL133" s="14" t="str">
        <f t="shared" si="387"/>
        <v xml:space="preserve"> </v>
      </c>
      <c r="FM133" s="14" t="str">
        <f t="shared" si="388"/>
        <v xml:space="preserve"> </v>
      </c>
      <c r="FN133" s="14" t="str">
        <f t="shared" si="389"/>
        <v xml:space="preserve"> </v>
      </c>
      <c r="FO133" s="27" t="str">
        <f t="shared" si="484"/>
        <v xml:space="preserve"> </v>
      </c>
      <c r="FP133" s="14" t="str">
        <f t="shared" si="391"/>
        <v xml:space="preserve"> </v>
      </c>
      <c r="FQ133" s="14" t="str">
        <f t="shared" si="392"/>
        <v xml:space="preserve"> </v>
      </c>
      <c r="FR133" s="14" t="str">
        <f t="shared" si="393"/>
        <v xml:space="preserve"> </v>
      </c>
      <c r="FS133" s="14" t="str">
        <f t="shared" si="394"/>
        <v xml:space="preserve"> </v>
      </c>
      <c r="FT133" s="14" t="str">
        <f t="shared" si="395"/>
        <v xml:space="preserve"> </v>
      </c>
      <c r="FU133" s="27" t="str">
        <f t="shared" si="484"/>
        <v xml:space="preserve"> </v>
      </c>
      <c r="FV133" s="14" t="str">
        <f t="shared" si="397"/>
        <v xml:space="preserve"> </v>
      </c>
      <c r="FW133" s="14" t="str">
        <f t="shared" si="398"/>
        <v xml:space="preserve"> </v>
      </c>
      <c r="FX133" s="14" t="str">
        <f t="shared" si="399"/>
        <v xml:space="preserve"> </v>
      </c>
      <c r="FY133" s="14" t="str">
        <f t="shared" si="400"/>
        <v xml:space="preserve"> </v>
      </c>
      <c r="FZ133" s="14" t="str">
        <f t="shared" si="401"/>
        <v xml:space="preserve"> </v>
      </c>
      <c r="GA133" s="27" t="str">
        <f t="shared" si="484"/>
        <v xml:space="preserve"> </v>
      </c>
      <c r="GB133" s="14" t="str">
        <f t="shared" si="403"/>
        <v xml:space="preserve"> </v>
      </c>
      <c r="GC133" s="14" t="str">
        <f t="shared" si="404"/>
        <v xml:space="preserve"> </v>
      </c>
      <c r="GD133" s="14" t="str">
        <f t="shared" si="405"/>
        <v xml:space="preserve"> </v>
      </c>
      <c r="GE133" s="14" t="str">
        <f t="shared" si="406"/>
        <v xml:space="preserve"> </v>
      </c>
      <c r="GF133" s="14" t="str">
        <f t="shared" si="407"/>
        <v xml:space="preserve"> </v>
      </c>
      <c r="GG133" s="27" t="str">
        <f t="shared" si="484"/>
        <v xml:space="preserve"> </v>
      </c>
      <c r="GH133" s="14" t="str">
        <f t="shared" si="409"/>
        <v xml:space="preserve"> </v>
      </c>
      <c r="GI133" s="14" t="str">
        <f t="shared" si="410"/>
        <v xml:space="preserve"> </v>
      </c>
      <c r="GJ133" s="14" t="str">
        <f t="shared" si="411"/>
        <v xml:space="preserve"> </v>
      </c>
      <c r="GK133" s="14" t="str">
        <f t="shared" si="412"/>
        <v xml:space="preserve"> </v>
      </c>
      <c r="GL133" s="14" t="str">
        <f t="shared" si="413"/>
        <v xml:space="preserve"> </v>
      </c>
      <c r="GM133" s="27" t="str">
        <f t="shared" si="484"/>
        <v xml:space="preserve"> </v>
      </c>
      <c r="GN133" s="14" t="str">
        <f t="shared" si="415"/>
        <v xml:space="preserve"> </v>
      </c>
      <c r="GO133" s="14" t="str">
        <f t="shared" si="416"/>
        <v xml:space="preserve"> </v>
      </c>
      <c r="GP133" s="14" t="str">
        <f t="shared" si="417"/>
        <v xml:space="preserve"> </v>
      </c>
      <c r="GQ133" s="14" t="str">
        <f t="shared" si="418"/>
        <v xml:space="preserve"> </v>
      </c>
      <c r="GR133" s="14" t="str">
        <f t="shared" si="419"/>
        <v xml:space="preserve"> </v>
      </c>
      <c r="GS133" s="27" t="str">
        <f t="shared" si="484"/>
        <v xml:space="preserve"> </v>
      </c>
      <c r="GT133" s="14" t="str">
        <f t="shared" si="421"/>
        <v xml:space="preserve"> </v>
      </c>
      <c r="GU133" s="14" t="str">
        <f t="shared" si="422"/>
        <v xml:space="preserve"> </v>
      </c>
      <c r="GV133" s="14" t="str">
        <f t="shared" si="423"/>
        <v xml:space="preserve"> </v>
      </c>
      <c r="GW133" s="14" t="str">
        <f t="shared" si="424"/>
        <v xml:space="preserve"> </v>
      </c>
      <c r="GX133" s="14" t="str">
        <f t="shared" si="425"/>
        <v xml:space="preserve"> </v>
      </c>
      <c r="GY133" s="27" t="str">
        <f t="shared" si="484"/>
        <v xml:space="preserve"> </v>
      </c>
      <c r="GZ133" s="14" t="str">
        <f t="shared" si="427"/>
        <v xml:space="preserve"> </v>
      </c>
      <c r="HA133" s="14" t="str">
        <f t="shared" si="428"/>
        <v xml:space="preserve"> </v>
      </c>
      <c r="HB133" s="14" t="str">
        <f t="shared" si="429"/>
        <v xml:space="preserve"> </v>
      </c>
      <c r="HC133" s="14" t="str">
        <f t="shared" si="430"/>
        <v xml:space="preserve"> </v>
      </c>
      <c r="HD133" s="14" t="str">
        <f t="shared" si="431"/>
        <v xml:space="preserve"> </v>
      </c>
      <c r="HE133" s="27" t="str">
        <f t="shared" si="485"/>
        <v xml:space="preserve"> </v>
      </c>
      <c r="HF133" s="14" t="str">
        <f t="shared" si="433"/>
        <v xml:space="preserve"> </v>
      </c>
      <c r="HG133" s="14" t="str">
        <f t="shared" si="434"/>
        <v xml:space="preserve"> </v>
      </c>
      <c r="HH133" s="14" t="str">
        <f t="shared" si="435"/>
        <v xml:space="preserve"> </v>
      </c>
      <c r="HI133" s="14" t="str">
        <f t="shared" si="436"/>
        <v xml:space="preserve"> </v>
      </c>
      <c r="HJ133" s="14" t="str">
        <f t="shared" si="437"/>
        <v xml:space="preserve"> </v>
      </c>
      <c r="HK133" s="27" t="str">
        <f t="shared" si="485"/>
        <v xml:space="preserve"> </v>
      </c>
      <c r="HL133" s="14" t="str">
        <f t="shared" si="439"/>
        <v xml:space="preserve"> </v>
      </c>
      <c r="HM133" s="14" t="str">
        <f t="shared" si="440"/>
        <v xml:space="preserve"> </v>
      </c>
      <c r="HN133" s="14" t="str">
        <f t="shared" si="441"/>
        <v xml:space="preserve"> </v>
      </c>
      <c r="HO133" s="14" t="str">
        <f t="shared" si="442"/>
        <v xml:space="preserve"> </v>
      </c>
      <c r="HP133" s="14" t="str">
        <f t="shared" si="443"/>
        <v xml:space="preserve"> </v>
      </c>
      <c r="HQ133" s="27" t="str">
        <f t="shared" si="485"/>
        <v xml:space="preserve"> </v>
      </c>
    </row>
    <row r="134" spans="1:225" ht="15.75" customHeight="1">
      <c r="A134" s="7">
        <f t="shared" ref="A134:C134" si="494">A26</f>
        <v>0</v>
      </c>
      <c r="B134" s="7">
        <f t="shared" si="494"/>
        <v>0</v>
      </c>
      <c r="C134" s="7" t="str">
        <f t="shared" si="494"/>
        <v>gifted designer</v>
      </c>
      <c r="D134" s="14" t="str">
        <f t="shared" si="446"/>
        <v xml:space="preserve"> </v>
      </c>
      <c r="E134" s="14" t="str">
        <f t="shared" si="447"/>
        <v xml:space="preserve"> </v>
      </c>
      <c r="F134" s="14" t="str">
        <f t="shared" si="448"/>
        <v xml:space="preserve"> </v>
      </c>
      <c r="G134" s="14" t="str">
        <f t="shared" si="449"/>
        <v xml:space="preserve">attention to details(1.1), efficiency(1), user rules and manuals(2.1), organizational rules and manuals(2.1),  </v>
      </c>
      <c r="H134" s="14" t="str">
        <f t="shared" si="450"/>
        <v xml:space="preserve">efficiency(-1,6.25%),  </v>
      </c>
      <c r="I134" s="27" t="str">
        <f t="shared" ref="I134" si="495">IF(I26="",I135,$C134&amp;"("&amp;I26&amp;"),"&amp;I135)</f>
        <v xml:space="preserve">efficiency(6.25), </v>
      </c>
      <c r="J134" s="14" t="str">
        <f t="shared" si="229"/>
        <v xml:space="preserve">scale(1)
enthusiasm(1)
 </v>
      </c>
      <c r="K134" s="14" t="str">
        <f t="shared" si="230"/>
        <v xml:space="preserve">scale(-1,12.5%), enthusiasm(-1,25%),  </v>
      </c>
      <c r="L134" s="14" t="str">
        <f t="shared" si="231"/>
        <v xml:space="preserve">scale(12.5)
enthusiasm(25)
 </v>
      </c>
      <c r="M134" s="14" t="str">
        <f t="shared" si="232"/>
        <v xml:space="preserve">scale(1.1), efficiency(0.1), organizational rules and manuals(1.1),  </v>
      </c>
      <c r="N134" s="14" t="str">
        <f t="shared" si="233"/>
        <v xml:space="preserve">agility(-1,6.75%), ambition(-1,6.75%), fun-ness(-1,6.75%), initiative(-1,6.75%),  </v>
      </c>
      <c r="O134" s="27" t="str">
        <f t="shared" si="482"/>
        <v xml:space="preserve">agility(6.75),ambition(6.75),fun-ness(6.75),initiative(6.75), </v>
      </c>
      <c r="P134" s="14" t="str">
        <f t="shared" si="235"/>
        <v xml:space="preserve"> </v>
      </c>
      <c r="Q134" s="14" t="str">
        <f t="shared" si="236"/>
        <v xml:space="preserve">gifted designer(-1,25%),  </v>
      </c>
      <c r="R134" s="14" t="str">
        <f t="shared" si="237"/>
        <v xml:space="preserve">gifted designer(25)
 </v>
      </c>
      <c r="S134" s="14" t="str">
        <f t="shared" si="238"/>
        <v xml:space="preserve">gifted designer(1), ambition(1), attention to details(0.1), community manager(0.1), team building(0.1),  </v>
      </c>
      <c r="T134" s="14" t="str">
        <f t="shared" si="239"/>
        <v xml:space="preserve">ambition(-1,%), business model(-1,6.25%), web(-1,6.25%), mobile apps(-1,6.25%), aesthetics(-1,6.25%),  </v>
      </c>
      <c r="U134" s="27" t="str">
        <f t="shared" si="482"/>
        <v xml:space="preserve">business model(6.25),web(6.25),mobile apps(6.25),aesthetics(6.25), </v>
      </c>
      <c r="V134" s="14" t="str">
        <f t="shared" si="241"/>
        <v xml:space="preserve">scale(1)
 </v>
      </c>
      <c r="W134" s="14" t="str">
        <f t="shared" si="242"/>
        <v xml:space="preserve">enthusiasm(-1,25%), efficiency(-1,25%),  </v>
      </c>
      <c r="X134" s="14" t="str">
        <f t="shared" si="243"/>
        <v xml:space="preserve">enthusiasm(25)
efficiency(25)
 </v>
      </c>
      <c r="Y134" s="14" t="str">
        <f t="shared" si="244"/>
        <v xml:space="preserve">community manager(0.1), administrator(0.1), spaciousness(1), ease of access(3), reputation(2), user rules and manuals(0.1), project management(0.1), negotiation(0.1),  </v>
      </c>
      <c r="Z134" s="14" t="str">
        <f t="shared" si="245"/>
        <v xml:space="preserve">reputation(-1,%),  </v>
      </c>
      <c r="AA134" s="27" t="str">
        <f t="shared" si="482"/>
        <v xml:space="preserve"> </v>
      </c>
      <c r="AB134" s="14" t="str">
        <f t="shared" si="247"/>
        <v xml:space="preserve"> </v>
      </c>
      <c r="AC134" s="14" t="str">
        <f t="shared" si="248"/>
        <v xml:space="preserve"> </v>
      </c>
      <c r="AD134" s="14" t="str">
        <f t="shared" si="249"/>
        <v xml:space="preserve"> </v>
      </c>
      <c r="AE134" s="14" t="str">
        <f t="shared" si="250"/>
        <v xml:space="preserve">scale(1.1), attention to details(0.1), seriousness(0.1), initiative(0.1), spaciousness(1), user rules and manuals(1.1), organizational rules and manuals(1.1),  </v>
      </c>
      <c r="AF134" s="14" t="str">
        <f t="shared" si="251"/>
        <v xml:space="preserve">enthusiasm(-1,%), local biz(-1,6.25%), investors(-1,6.25%), non-profits(-1,6.25%), efficiency(-1,6.25%),  </v>
      </c>
      <c r="AG134" s="27" t="str">
        <f t="shared" si="482"/>
        <v xml:space="preserve">local biz(6.25),investors(6.25),non-profits(6.25),efficiency(6.25), </v>
      </c>
      <c r="AH134" s="14" t="str">
        <f t="shared" si="253"/>
        <v xml:space="preserve">fun-ness(1)
ease of access(1)
reputation(1)
 </v>
      </c>
      <c r="AI134" s="14" t="str">
        <f t="shared" si="254"/>
        <v xml:space="preserve"> </v>
      </c>
      <c r="AJ134" s="14" t="str">
        <f t="shared" si="255"/>
        <v xml:space="preserve"> </v>
      </c>
      <c r="AK134" s="14" t="str">
        <f t="shared" si="256"/>
        <v xml:space="preserve">scale(3.1), attention to details(2.1), seriousness(2.1), community manager(2.1), administrator(2.1), spaciousness(1), ease of access(1), reputation(2), user rules and manuals(2.1), organizational rules and manuals(2.1), law(1.1), negotiation(1.1),  </v>
      </c>
      <c r="AL134" s="14" t="str">
        <f t="shared" si="257"/>
        <v xml:space="preserve">govt(-1,6.25%), non-profits(-1,6.25%), reputation(-1,6.25%),  </v>
      </c>
      <c r="AM134" s="27" t="str">
        <f t="shared" si="482"/>
        <v xml:space="preserve">govt(6.25),non-profits(6.25),reputation(6.25), </v>
      </c>
      <c r="AN134" s="14" t="str">
        <f t="shared" si="259"/>
        <v xml:space="preserve">scale(1)
fun-ness(1)
seriousness(1)
 </v>
      </c>
      <c r="AO134" s="14" t="str">
        <f t="shared" si="260"/>
        <v xml:space="preserve">enthusiasm(-1,25%),  </v>
      </c>
      <c r="AP134" s="14" t="str">
        <f t="shared" si="261"/>
        <v xml:space="preserve">enthusiasm(25)
 </v>
      </c>
      <c r="AQ134" s="14" t="str">
        <f t="shared" si="262"/>
        <v xml:space="preserve">scale(1), fun-ness(1), spaciousness(2.1), reputation(3), organizational rules and manuals(2.1), team building(2.1),  </v>
      </c>
      <c r="AR134" s="14" t="str">
        <f t="shared" si="263"/>
        <v xml:space="preserve">enthusiasm(-1,12.5%), fun-ness(-1,6.25%), reputation(-1,6.25%), efficiency(-1,6.25%),  </v>
      </c>
      <c r="AS134" s="27" t="str">
        <f t="shared" si="482"/>
        <v xml:space="preserve">enthusiasm(12.5),fun-ness(6.25),reputation(6.25),efficiency(6.25), </v>
      </c>
      <c r="AT134" s="14" t="str">
        <f t="shared" si="265"/>
        <v xml:space="preserve"> </v>
      </c>
      <c r="AU134" s="14" t="str">
        <f t="shared" si="266"/>
        <v xml:space="preserve"> </v>
      </c>
      <c r="AV134" s="14" t="str">
        <f t="shared" si="267"/>
        <v xml:space="preserve"> </v>
      </c>
      <c r="AW134" s="14" t="str">
        <f t="shared" si="268"/>
        <v xml:space="preserve">attention to details(3.1), fun-ness(3.1), seriousness(3.1), initiative(2.1), leader(2.1), community manager(2.1), user rules and manuals(2.1), team building(2.1),  </v>
      </c>
      <c r="AX134" s="14" t="str">
        <f t="shared" si="269"/>
        <v xml:space="preserve"> </v>
      </c>
      <c r="AY134" s="27" t="str">
        <f t="shared" si="482"/>
        <v xml:space="preserve"> </v>
      </c>
      <c r="AZ134" s="14" t="str">
        <f t="shared" si="271"/>
        <v xml:space="preserve"> </v>
      </c>
      <c r="BA134" s="14" t="str">
        <f t="shared" si="272"/>
        <v xml:space="preserve">attention to details(1,12.5%), fun-ness(-1,12.5%), seriousness(1,12.5%), efficiency(-1,12.5%), user rules and manuals(1,25%),  </v>
      </c>
      <c r="BB134" s="14" t="str">
        <f t="shared" si="273"/>
        <v xml:space="preserve">attention to details(12.5)
fun-ness(12.5)
seriousness(12.5)
efficiency(12.5)
user rules and manuals(25)
 </v>
      </c>
      <c r="BC134" s="14" t="str">
        <f t="shared" si="274"/>
        <v xml:space="preserve">agility(1.1), attention to details(1.1), seriousness(1.1), community manager(1.1), administrator(1.1), user rules and manuals(2.1), organizational rules and manuals(2.1),  </v>
      </c>
      <c r="BD134" s="14" t="str">
        <f t="shared" si="275"/>
        <v xml:space="preserve">enthusiasm(-1,6.25%), reputation(-1,6.25%),  </v>
      </c>
      <c r="BE134" s="27" t="str">
        <f t="shared" si="482"/>
        <v xml:space="preserve">enthusiasm(6.25),reputation(6.25), </v>
      </c>
      <c r="BF134" s="14" t="str">
        <f t="shared" si="277"/>
        <v xml:space="preserve"> </v>
      </c>
      <c r="BG134" s="14" t="str">
        <f t="shared" si="278"/>
        <v xml:space="preserve">enthusiasm(-1,25%), attention to details(1,25%), fun-ness(-1,25%), seriousness(1,25%), user rules and manuals(1,25%), organizational rules and manuals(1,25%),  </v>
      </c>
      <c r="BH134" s="14" t="str">
        <f t="shared" si="279"/>
        <v xml:space="preserve">enthusiasm(25)
attention to details(25)
fun-ness(25)
seriousness(25)
user rules and manuals(25)
organizational rules and manuals(25)
 </v>
      </c>
      <c r="BI134" s="14" t="str">
        <f t="shared" si="280"/>
        <v xml:space="preserve">enthusiasm(1), fun-ness(1), seriousness(2.1), community manager(1.1), administrator(1.1),  </v>
      </c>
      <c r="BJ134" s="14" t="str">
        <f t="shared" si="281"/>
        <v xml:space="preserve">reputation(-1,6.25%), efficiency(-1,25%),  </v>
      </c>
      <c r="BK134" s="27" t="str">
        <f t="shared" si="482"/>
        <v xml:space="preserve">reputation(6.25),efficiency(25), </v>
      </c>
      <c r="BL134" s="14" t="str">
        <f t="shared" si="283"/>
        <v xml:space="preserve">local biz(1)
ease of access(1)
reputation(1)
aesthetics(1)
 </v>
      </c>
      <c r="BM134" s="14" t="str">
        <f t="shared" si="284"/>
        <v xml:space="preserve">biz enhancement(1,%),  </v>
      </c>
      <c r="BN134" s="14" t="str">
        <f t="shared" si="285"/>
        <v xml:space="preserve"> </v>
      </c>
      <c r="BO134" s="14" t="str">
        <f t="shared" si="286"/>
        <v xml:space="preserve">gifted designer(1), enthusiasm(1), agility(2), attention to details(2), initiative(1), community manager(1), PR(1), administrator(2), ease of access(2), reputation(3), efficiency(2), user rules and manuals(1), marketing(1), negotiation(1), aesthetics(2), functions(1), safety(1),  </v>
      </c>
      <c r="BP134" s="14" t="str">
        <f t="shared" si="287"/>
        <v xml:space="preserve">local biz(1,6.25%),  </v>
      </c>
      <c r="BQ134" s="27" t="str">
        <f t="shared" si="482"/>
        <v xml:space="preserve">local biz(6.25), </v>
      </c>
      <c r="BR134" s="14" t="str">
        <f t="shared" si="289"/>
        <v xml:space="preserve">scale(1)
local biz(1)
ease of access(1)
reputation(1)
aesthetics(1)
 </v>
      </c>
      <c r="BS134" s="14" t="str">
        <f t="shared" si="290"/>
        <v xml:space="preserve">biz project(1,%),  </v>
      </c>
      <c r="BT134" s="14" t="str">
        <f t="shared" si="291"/>
        <v xml:space="preserve"> </v>
      </c>
      <c r="BU134" s="14" t="str">
        <f t="shared" si="292"/>
        <v xml:space="preserve">gifted designer(1), scale(1), enthusiasm(1), agility(2), attention to details(2), initiative(1), community manager(1), PR(1), administrator(2), ease of access(2), reputation(3), efficiency(2), user rules and manuals(1), marketing(1), negotiation(1), wood processing(1), aesthetics(2),  </v>
      </c>
      <c r="BV134" s="14" t="str">
        <f t="shared" si="293"/>
        <v xml:space="preserve">local biz(1,6.25%),  </v>
      </c>
      <c r="BW134" s="27" t="str">
        <f t="shared" si="482"/>
        <v xml:space="preserve">local biz(6.25), </v>
      </c>
      <c r="BX134" s="14" t="str">
        <f t="shared" si="295"/>
        <v xml:space="preserve">local biz(1)
ease of access(1)
reputation(1)
aesthetics(1)
interaction(1)
 </v>
      </c>
      <c r="BY134" s="14" t="str">
        <f t="shared" si="296"/>
        <v xml:space="preserve">biz project(1,%),  </v>
      </c>
      <c r="BZ134" s="14" t="str">
        <f t="shared" si="297"/>
        <v xml:space="preserve"> </v>
      </c>
      <c r="CA134" s="14" t="str">
        <f t="shared" si="298"/>
        <v xml:space="preserve">gifted designer(1), 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4" s="14" t="str">
        <f t="shared" si="299"/>
        <v xml:space="preserve">local biz(1,6.25%),  </v>
      </c>
      <c r="CC134" s="27" t="str">
        <f t="shared" si="483"/>
        <v xml:space="preserve">local biz(6.25), </v>
      </c>
      <c r="CD134" s="14" t="str">
        <f t="shared" si="301"/>
        <v xml:space="preserve">ease of access(1)
reputation(1)
aesthetics(1)
 </v>
      </c>
      <c r="CE134" s="14" t="str">
        <f t="shared" si="302"/>
        <v xml:space="preserve">biz project(1,%),  </v>
      </c>
      <c r="CF134" s="14" t="str">
        <f t="shared" si="303"/>
        <v xml:space="preserve"> </v>
      </c>
      <c r="CG134" s="14" t="str">
        <f t="shared" si="304"/>
        <v xml:space="preserve">gifted designer(1), enthusiasm(1), initiative(1), community manager(1), PR(1), administrator(2), ease of access(2), efficiency(2), user rules and manuals(1), marketing(1), team building(1), negotiation(1), infrastructrue(1), database(2), mobile apps(2), security(3), aesthetics(2), functions(1), interaction(2),  </v>
      </c>
      <c r="CH134" s="14" t="str">
        <f t="shared" si="305"/>
        <v xml:space="preserve">local biz(1,6.25%),  </v>
      </c>
      <c r="CI134" s="27" t="str">
        <f t="shared" si="483"/>
        <v xml:space="preserve">local biz(6.25), </v>
      </c>
      <c r="CJ134" s="14" t="str">
        <f t="shared" si="307"/>
        <v xml:space="preserve">ease of access(1)
reputation(1)
aesthetics(1)
 </v>
      </c>
      <c r="CK134" s="14" t="str">
        <f t="shared" si="308"/>
        <v xml:space="preserve">biz project(1,%),  </v>
      </c>
      <c r="CL134" s="14" t="str">
        <f t="shared" si="309"/>
        <v xml:space="preserve"> </v>
      </c>
      <c r="CM134" s="14" t="str">
        <f t="shared" si="310"/>
        <v xml:space="preserve">gifted designer(1), 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4" s="14" t="str">
        <f t="shared" si="311"/>
        <v xml:space="preserve">local biz(1,6.25%),  </v>
      </c>
      <c r="CO134" s="27" t="str">
        <f t="shared" si="483"/>
        <v xml:space="preserve">local biz(6.25), </v>
      </c>
      <c r="CP134" s="14" t="str">
        <f t="shared" si="313"/>
        <v xml:space="preserve">local biz(1)
metal processing(1)
functions(1)
 </v>
      </c>
      <c r="CQ134" s="14" t="str">
        <f t="shared" si="314"/>
        <v xml:space="preserve">local biz(1,50%), biz enhancement(1,50%),  </v>
      </c>
      <c r="CR134" s="14" t="str">
        <f t="shared" si="315"/>
        <v xml:space="preserve">local biz(50)
biz enhancement(50)
 </v>
      </c>
      <c r="CS134" s="14" t="str">
        <f t="shared" si="316"/>
        <v xml:space="preserve">gifted designer(1), enthusiasm(1), agility(2), attention to details(2), initiative(1), community manager(1), ease of access(2), reputation(3), efficiency(2), metal processing(2), electronics(2), aesthetics(2), functions(2), safety(2),  </v>
      </c>
      <c r="CT134" s="14" t="str">
        <f t="shared" si="317"/>
        <v xml:space="preserve">reputation(1,6.25%),  </v>
      </c>
      <c r="CU134" s="27" t="str">
        <f t="shared" si="483"/>
        <v xml:space="preserve">reputation(6.25), </v>
      </c>
      <c r="CV134" s="14" t="str">
        <f t="shared" si="319"/>
        <v xml:space="preserve">non-profits(1)
wood processing(1)
aesthetics(1)
interaction(1)
 </v>
      </c>
      <c r="CW134" s="14" t="str">
        <f t="shared" si="320"/>
        <v xml:space="preserve">non-profits(1,50%), social project(1,50%),  </v>
      </c>
      <c r="CX134" s="14" t="str">
        <f t="shared" si="321"/>
        <v xml:space="preserve">non-profits(50)
social project(50)
 </v>
      </c>
      <c r="CY134" s="14" t="str">
        <f t="shared" si="322"/>
        <v xml:space="preserve">gifted designer(1), scale(2), enthusiasm(4), agility(2), ambition(4), attention to details(2), fun-ness(2), administrator(2), ease of access(2), efficiency(3), sensors(2), wood processing(2), plastic processing(2), electronics(2), aesthetics(2), functions(1), safety(1), interaction(2),  </v>
      </c>
      <c r="CZ134" s="14" t="str">
        <f t="shared" si="323"/>
        <v xml:space="preserve">media(1,6.25%), reputation(1,6.25%), portfolio(1,6.25%),  </v>
      </c>
      <c r="DA134" s="27" t="str">
        <f t="shared" si="483"/>
        <v xml:space="preserve">media(6.25),reputation(6.25),portfolio(6.25), </v>
      </c>
      <c r="DB134" s="14" t="str">
        <f t="shared" si="325"/>
        <v xml:space="preserve">non-profits(1)
aesthetics(1)
interaction(1)
 </v>
      </c>
      <c r="DC134" s="14" t="str">
        <f t="shared" si="326"/>
        <v xml:space="preserve">non-profits(1,50%), social project(1,50%),  </v>
      </c>
      <c r="DD134" s="14" t="str">
        <f t="shared" si="327"/>
        <v xml:space="preserve">non-profits(50)
social project(50)
 </v>
      </c>
      <c r="DE134" s="14" t="str">
        <f t="shared" si="328"/>
        <v xml:space="preserve">gifted designer(1), scale(2), enthusiasm(4), agility(2), ambition(4), attention to details(2), fun-ness(2), administrator(2), ease of access(2), efficiency(3), VR&amp;AR(2),  </v>
      </c>
      <c r="DF134" s="14" t="str">
        <f t="shared" si="329"/>
        <v xml:space="preserve">media(1,6.25%), reputation(1,6.25%), portfolio(1,6.25%),  </v>
      </c>
      <c r="DG134" s="27" t="str">
        <f t="shared" si="483"/>
        <v xml:space="preserve">media(6.25),reputation(6.25),portfolio(6.25), </v>
      </c>
      <c r="DH134" s="14" t="str">
        <f t="shared" si="331"/>
        <v xml:space="preserve">scale(1)
wood processing(1)
aesthetics(1)
safety(1)
 </v>
      </c>
      <c r="DI134" s="14" t="str">
        <f t="shared" si="332"/>
        <v xml:space="preserve">social project(1,100%),  </v>
      </c>
      <c r="DJ134" s="14" t="str">
        <f t="shared" si="333"/>
        <v xml:space="preserve">social project(100)
 </v>
      </c>
      <c r="DK134" s="14" t="str">
        <f t="shared" si="334"/>
        <v xml:space="preserve">gifted designer(1), 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4" s="14" t="str">
        <f t="shared" si="335"/>
        <v xml:space="preserve">enthusiasm(1,6.25%), agility(1,6.25%), fun-ness(1,6.25%), reputation(1,6.25%), portfolio(1,6.25%), team building(1,6.25%),  </v>
      </c>
      <c r="DM134" s="27" t="str">
        <f t="shared" si="483"/>
        <v xml:space="preserve">enthusiasm(6.25),agility(6.25),fun-ness(6.25),reputation(6.25),portfolio(6.25),team building(6.25), </v>
      </c>
      <c r="DN134"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4" s="14" t="str">
        <f t="shared" si="338"/>
        <v xml:space="preserve">reputation(1,25%), portfolio(1,50%),  </v>
      </c>
      <c r="DP134" s="14" t="str">
        <f t="shared" si="339"/>
        <v xml:space="preserve">reputation(25)
portfolio(50)
 </v>
      </c>
      <c r="DQ134" s="14" t="str">
        <f t="shared" si="340"/>
        <v xml:space="preserve">gifted designer(1), ambition(1), attention to details(3), fun-ness(3), administrator(1), media(3), suppliers(3), social media(2), wood processing(2), plastic processing(2), electronics(2), aesthetics(2),  </v>
      </c>
      <c r="DR134" s="14" t="str">
        <f t="shared" si="341"/>
        <v xml:space="preserve">suppliers(1,6.25%), reputation(1,6.25%),  </v>
      </c>
      <c r="DS134" s="27" t="str">
        <f t="shared" si="483"/>
        <v xml:space="preserve">suppliers(6.25),reputation(6.25), </v>
      </c>
      <c r="DT134" s="14" t="str">
        <f t="shared" si="343"/>
        <v xml:space="preserve">scale(2)
attention to details(2)
leader(1)
fame(1)
network(2)
reputation(3)
portfolio(2)
 </v>
      </c>
      <c r="DU134" s="14" t="str">
        <f t="shared" si="344"/>
        <v xml:space="preserve">fame(1,25%), govt(1,25%), non-profits(1,50%), reputation(1,25%),  </v>
      </c>
      <c r="DV134" s="14" t="str">
        <f t="shared" si="345"/>
        <v xml:space="preserve">fame(25)
govt(25)
non-profits(50)
reputation(25)
 </v>
      </c>
      <c r="DW134" s="14" t="str">
        <f t="shared" si="346"/>
        <v xml:space="preserve">enthusiasm(3), ambition(2), attention to details(2), PR(1), administrator(1), social media(2),  </v>
      </c>
      <c r="DX134" s="14" t="str">
        <f t="shared" si="347"/>
        <v xml:space="preserve">ambition(1,6.25%), fame(1,6.25%), reputation(1,6.25%),  </v>
      </c>
      <c r="DY134" s="27" t="str">
        <f t="shared" si="483"/>
        <v xml:space="preserve">ambition(6.25),fame(6.25),reputation(6.25), </v>
      </c>
      <c r="DZ134" s="14" t="str">
        <f t="shared" si="349"/>
        <v xml:space="preserve"> </v>
      </c>
      <c r="EA134" s="14" t="str">
        <f t="shared" si="350"/>
        <v xml:space="preserve"> </v>
      </c>
      <c r="EB134" s="14" t="str">
        <f t="shared" si="351"/>
        <v xml:space="preserve"> </v>
      </c>
      <c r="EC134" s="14" t="str">
        <f t="shared" si="352"/>
        <v xml:space="preserve"> </v>
      </c>
      <c r="ED134" s="14" t="str">
        <f t="shared" si="353"/>
        <v xml:space="preserve"> </v>
      </c>
      <c r="EE134" s="27" t="str">
        <f t="shared" si="483"/>
        <v xml:space="preserve"> </v>
      </c>
      <c r="EF134" s="14" t="str">
        <f t="shared" si="355"/>
        <v xml:space="preserve"> </v>
      </c>
      <c r="EG134" s="14" t="str">
        <f t="shared" si="356"/>
        <v xml:space="preserve"> </v>
      </c>
      <c r="EH134" s="14" t="str">
        <f t="shared" si="357"/>
        <v xml:space="preserve"> </v>
      </c>
      <c r="EI134" s="14" t="str">
        <f t="shared" si="358"/>
        <v xml:space="preserve"> </v>
      </c>
      <c r="EJ134" s="14" t="str">
        <f t="shared" si="359"/>
        <v xml:space="preserve"> </v>
      </c>
      <c r="EK134" s="27" t="str">
        <f t="shared" si="483"/>
        <v xml:space="preserve"> </v>
      </c>
      <c r="EL134" s="14" t="str">
        <f t="shared" si="361"/>
        <v xml:space="preserve"> </v>
      </c>
      <c r="EM134" s="14" t="str">
        <f t="shared" si="362"/>
        <v xml:space="preserve"> </v>
      </c>
      <c r="EN134" s="14" t="str">
        <f t="shared" si="363"/>
        <v xml:space="preserve"> </v>
      </c>
      <c r="EO134" s="14" t="str">
        <f t="shared" si="364"/>
        <v xml:space="preserve"> </v>
      </c>
      <c r="EP134" s="14" t="str">
        <f t="shared" si="365"/>
        <v xml:space="preserve"> </v>
      </c>
      <c r="EQ134" s="27" t="str">
        <f t="shared" si="484"/>
        <v xml:space="preserve"> </v>
      </c>
      <c r="ER134" s="14" t="str">
        <f t="shared" si="367"/>
        <v xml:space="preserve"> </v>
      </c>
      <c r="ES134" s="14" t="str">
        <f t="shared" si="368"/>
        <v xml:space="preserve"> </v>
      </c>
      <c r="ET134" s="14" t="str">
        <f t="shared" si="369"/>
        <v xml:space="preserve"> </v>
      </c>
      <c r="EU134" s="14" t="str">
        <f t="shared" si="370"/>
        <v xml:space="preserve"> </v>
      </c>
      <c r="EV134" s="14" t="str">
        <f t="shared" si="371"/>
        <v xml:space="preserve"> </v>
      </c>
      <c r="EW134" s="27" t="str">
        <f t="shared" si="484"/>
        <v xml:space="preserve"> </v>
      </c>
      <c r="EX134" s="14" t="str">
        <f t="shared" si="373"/>
        <v xml:space="preserve"> </v>
      </c>
      <c r="EY134" s="14" t="str">
        <f t="shared" si="374"/>
        <v xml:space="preserve"> </v>
      </c>
      <c r="EZ134" s="14" t="str">
        <f t="shared" si="375"/>
        <v xml:space="preserve"> </v>
      </c>
      <c r="FA134" s="14" t="str">
        <f t="shared" si="376"/>
        <v xml:space="preserve"> </v>
      </c>
      <c r="FB134" s="14" t="str">
        <f t="shared" si="377"/>
        <v xml:space="preserve"> </v>
      </c>
      <c r="FC134" s="27" t="str">
        <f t="shared" si="484"/>
        <v xml:space="preserve"> </v>
      </c>
      <c r="FD134" s="14" t="str">
        <f t="shared" si="379"/>
        <v xml:space="preserve"> </v>
      </c>
      <c r="FE134" s="14" t="str">
        <f t="shared" si="380"/>
        <v xml:space="preserve"> </v>
      </c>
      <c r="FF134" s="14" t="str">
        <f t="shared" si="381"/>
        <v xml:space="preserve"> </v>
      </c>
      <c r="FG134" s="14" t="str">
        <f t="shared" si="382"/>
        <v xml:space="preserve"> </v>
      </c>
      <c r="FH134" s="14" t="str">
        <f t="shared" si="383"/>
        <v xml:space="preserve"> </v>
      </c>
      <c r="FI134" s="27" t="str">
        <f t="shared" si="484"/>
        <v xml:space="preserve"> </v>
      </c>
      <c r="FJ134" s="14" t="str">
        <f t="shared" si="385"/>
        <v xml:space="preserve"> </v>
      </c>
      <c r="FK134" s="14" t="str">
        <f t="shared" si="386"/>
        <v xml:space="preserve"> </v>
      </c>
      <c r="FL134" s="14" t="str">
        <f t="shared" si="387"/>
        <v xml:space="preserve"> </v>
      </c>
      <c r="FM134" s="14" t="str">
        <f t="shared" si="388"/>
        <v xml:space="preserve"> </v>
      </c>
      <c r="FN134" s="14" t="str">
        <f t="shared" si="389"/>
        <v xml:space="preserve"> </v>
      </c>
      <c r="FO134" s="27" t="str">
        <f t="shared" si="484"/>
        <v xml:space="preserve"> </v>
      </c>
      <c r="FP134" s="14" t="str">
        <f t="shared" si="391"/>
        <v xml:space="preserve"> </v>
      </c>
      <c r="FQ134" s="14" t="str">
        <f t="shared" si="392"/>
        <v xml:space="preserve"> </v>
      </c>
      <c r="FR134" s="14" t="str">
        <f t="shared" si="393"/>
        <v xml:space="preserve"> </v>
      </c>
      <c r="FS134" s="14" t="str">
        <f t="shared" si="394"/>
        <v xml:space="preserve"> </v>
      </c>
      <c r="FT134" s="14" t="str">
        <f t="shared" si="395"/>
        <v xml:space="preserve"> </v>
      </c>
      <c r="FU134" s="27" t="str">
        <f t="shared" si="484"/>
        <v xml:space="preserve"> </v>
      </c>
      <c r="FV134" s="14" t="str">
        <f t="shared" si="397"/>
        <v xml:space="preserve"> </v>
      </c>
      <c r="FW134" s="14" t="str">
        <f t="shared" si="398"/>
        <v xml:space="preserve"> </v>
      </c>
      <c r="FX134" s="14" t="str">
        <f t="shared" si="399"/>
        <v xml:space="preserve"> </v>
      </c>
      <c r="FY134" s="14" t="str">
        <f t="shared" si="400"/>
        <v xml:space="preserve"> </v>
      </c>
      <c r="FZ134" s="14" t="str">
        <f t="shared" si="401"/>
        <v xml:space="preserve"> </v>
      </c>
      <c r="GA134" s="27" t="str">
        <f t="shared" si="484"/>
        <v xml:space="preserve"> </v>
      </c>
      <c r="GB134" s="14" t="str">
        <f t="shared" si="403"/>
        <v xml:space="preserve"> </v>
      </c>
      <c r="GC134" s="14" t="str">
        <f t="shared" si="404"/>
        <v xml:space="preserve"> </v>
      </c>
      <c r="GD134" s="14" t="str">
        <f t="shared" si="405"/>
        <v xml:space="preserve"> </v>
      </c>
      <c r="GE134" s="14" t="str">
        <f t="shared" si="406"/>
        <v xml:space="preserve"> </v>
      </c>
      <c r="GF134" s="14" t="str">
        <f t="shared" si="407"/>
        <v xml:space="preserve"> </v>
      </c>
      <c r="GG134" s="27" t="str">
        <f t="shared" si="484"/>
        <v xml:space="preserve"> </v>
      </c>
      <c r="GH134" s="14" t="str">
        <f t="shared" si="409"/>
        <v xml:space="preserve"> </v>
      </c>
      <c r="GI134" s="14" t="str">
        <f t="shared" si="410"/>
        <v xml:space="preserve"> </v>
      </c>
      <c r="GJ134" s="14" t="str">
        <f t="shared" si="411"/>
        <v xml:space="preserve"> </v>
      </c>
      <c r="GK134" s="14" t="str">
        <f t="shared" si="412"/>
        <v xml:space="preserve"> </v>
      </c>
      <c r="GL134" s="14" t="str">
        <f t="shared" si="413"/>
        <v xml:space="preserve"> </v>
      </c>
      <c r="GM134" s="27" t="str">
        <f t="shared" si="484"/>
        <v xml:space="preserve"> </v>
      </c>
      <c r="GN134" s="14" t="str">
        <f t="shared" si="415"/>
        <v xml:space="preserve"> </v>
      </c>
      <c r="GO134" s="14" t="str">
        <f t="shared" si="416"/>
        <v xml:space="preserve"> </v>
      </c>
      <c r="GP134" s="14" t="str">
        <f t="shared" si="417"/>
        <v xml:space="preserve"> </v>
      </c>
      <c r="GQ134" s="14" t="str">
        <f t="shared" si="418"/>
        <v xml:space="preserve"> </v>
      </c>
      <c r="GR134" s="14" t="str">
        <f t="shared" si="419"/>
        <v xml:space="preserve"> </v>
      </c>
      <c r="GS134" s="27" t="str">
        <f t="shared" si="484"/>
        <v xml:space="preserve"> </v>
      </c>
      <c r="GT134" s="14" t="str">
        <f t="shared" si="421"/>
        <v xml:space="preserve"> </v>
      </c>
      <c r="GU134" s="14" t="str">
        <f t="shared" si="422"/>
        <v xml:space="preserve"> </v>
      </c>
      <c r="GV134" s="14" t="str">
        <f t="shared" si="423"/>
        <v xml:space="preserve"> </v>
      </c>
      <c r="GW134" s="14" t="str">
        <f t="shared" si="424"/>
        <v xml:space="preserve"> </v>
      </c>
      <c r="GX134" s="14" t="str">
        <f t="shared" si="425"/>
        <v xml:space="preserve"> </v>
      </c>
      <c r="GY134" s="27" t="str">
        <f t="shared" si="484"/>
        <v xml:space="preserve"> </v>
      </c>
      <c r="GZ134" s="14" t="str">
        <f t="shared" si="427"/>
        <v xml:space="preserve"> </v>
      </c>
      <c r="HA134" s="14" t="str">
        <f t="shared" si="428"/>
        <v xml:space="preserve"> </v>
      </c>
      <c r="HB134" s="14" t="str">
        <f t="shared" si="429"/>
        <v xml:space="preserve"> </v>
      </c>
      <c r="HC134" s="14" t="str">
        <f t="shared" si="430"/>
        <v xml:space="preserve"> </v>
      </c>
      <c r="HD134" s="14" t="str">
        <f t="shared" si="431"/>
        <v xml:space="preserve"> </v>
      </c>
      <c r="HE134" s="27" t="str">
        <f t="shared" si="485"/>
        <v xml:space="preserve"> </v>
      </c>
      <c r="HF134" s="14" t="str">
        <f t="shared" si="433"/>
        <v xml:space="preserve"> </v>
      </c>
      <c r="HG134" s="14" t="str">
        <f t="shared" si="434"/>
        <v xml:space="preserve"> </v>
      </c>
      <c r="HH134" s="14" t="str">
        <f t="shared" si="435"/>
        <v xml:space="preserve"> </v>
      </c>
      <c r="HI134" s="14" t="str">
        <f t="shared" si="436"/>
        <v xml:space="preserve"> </v>
      </c>
      <c r="HJ134" s="14" t="str">
        <f t="shared" si="437"/>
        <v xml:space="preserve"> </v>
      </c>
      <c r="HK134" s="27" t="str">
        <f t="shared" si="485"/>
        <v xml:space="preserve"> </v>
      </c>
      <c r="HL134" s="14" t="str">
        <f t="shared" si="439"/>
        <v xml:space="preserve"> </v>
      </c>
      <c r="HM134" s="14" t="str">
        <f t="shared" si="440"/>
        <v xml:space="preserve"> </v>
      </c>
      <c r="HN134" s="14" t="str">
        <f t="shared" si="441"/>
        <v xml:space="preserve"> </v>
      </c>
      <c r="HO134" s="14" t="str">
        <f t="shared" si="442"/>
        <v xml:space="preserve"> </v>
      </c>
      <c r="HP134" s="14" t="str">
        <f t="shared" si="443"/>
        <v xml:space="preserve"> </v>
      </c>
      <c r="HQ134" s="27" t="str">
        <f t="shared" si="485"/>
        <v xml:space="preserve"> </v>
      </c>
    </row>
    <row r="135" spans="1:225" ht="15.75" customHeight="1">
      <c r="A135" s="7">
        <f t="shared" ref="A135:C135" si="496">A27</f>
        <v>0</v>
      </c>
      <c r="B135" s="7">
        <f t="shared" si="496"/>
        <v>0</v>
      </c>
      <c r="C135" s="7" t="str">
        <f t="shared" si="496"/>
        <v>gifted business strategist</v>
      </c>
      <c r="D135" s="14" t="str">
        <f t="shared" si="446"/>
        <v xml:space="preserve"> </v>
      </c>
      <c r="E135" s="14" t="str">
        <f t="shared" si="447"/>
        <v xml:space="preserve"> </v>
      </c>
      <c r="F135" s="14" t="str">
        <f t="shared" si="448"/>
        <v xml:space="preserve"> </v>
      </c>
      <c r="G135" s="14" t="str">
        <f t="shared" si="449"/>
        <v xml:space="preserve">attention to details(1.1), efficiency(1), user rules and manuals(2.1), organizational rules and manuals(2.1),  </v>
      </c>
      <c r="H135" s="14" t="str">
        <f t="shared" si="450"/>
        <v xml:space="preserve">efficiency(-1,6.25%),  </v>
      </c>
      <c r="I135" s="27" t="str">
        <f t="shared" ref="I135" si="497">IF(I27="",I136,$C135&amp;"("&amp;I27&amp;"),"&amp;I136)</f>
        <v xml:space="preserve">efficiency(6.25), </v>
      </c>
      <c r="J135" s="14" t="str">
        <f t="shared" si="229"/>
        <v xml:space="preserve">scale(1)
enthusiasm(1)
 </v>
      </c>
      <c r="K135" s="14" t="str">
        <f t="shared" si="230"/>
        <v xml:space="preserve">scale(-1,12.5%), enthusiasm(-1,25%),  </v>
      </c>
      <c r="L135" s="14" t="str">
        <f t="shared" si="231"/>
        <v xml:space="preserve">scale(12.5)
enthusiasm(25)
 </v>
      </c>
      <c r="M135" s="14" t="str">
        <f t="shared" si="232"/>
        <v xml:space="preserve">scale(1.1), efficiency(0.1), organizational rules and manuals(1.1),  </v>
      </c>
      <c r="N135" s="14" t="str">
        <f t="shared" si="233"/>
        <v xml:space="preserve">agility(-1,6.75%), ambition(-1,6.75%), fun-ness(-1,6.75%), initiative(-1,6.75%),  </v>
      </c>
      <c r="O135" s="27" t="str">
        <f t="shared" si="482"/>
        <v xml:space="preserve">agility(6.75),ambition(6.75),fun-ness(6.75),initiative(6.75), </v>
      </c>
      <c r="P135" s="14" t="str">
        <f t="shared" si="235"/>
        <v xml:space="preserve"> </v>
      </c>
      <c r="Q135" s="14" t="str">
        <f t="shared" si="236"/>
        <v xml:space="preserve"> </v>
      </c>
      <c r="R135" s="14" t="str">
        <f t="shared" si="237"/>
        <v xml:space="preserve"> </v>
      </c>
      <c r="S135" s="14" t="str">
        <f t="shared" si="238"/>
        <v xml:space="preserve">ambition(1), attention to details(0.1), community manager(0.1), team building(0.1),  </v>
      </c>
      <c r="T135" s="14" t="str">
        <f t="shared" si="239"/>
        <v xml:space="preserve">ambition(-1,%), business model(-1,6.25%), web(-1,6.25%), mobile apps(-1,6.25%), aesthetics(-1,6.25%),  </v>
      </c>
      <c r="U135" s="27" t="str">
        <f t="shared" si="482"/>
        <v xml:space="preserve">business model(6.25),web(6.25),mobile apps(6.25),aesthetics(6.25), </v>
      </c>
      <c r="V135" s="14" t="str">
        <f t="shared" si="241"/>
        <v xml:space="preserve">scale(1)
 </v>
      </c>
      <c r="W135" s="14" t="str">
        <f t="shared" si="242"/>
        <v xml:space="preserve">enthusiasm(-1,25%), efficiency(-1,25%),  </v>
      </c>
      <c r="X135" s="14" t="str">
        <f t="shared" si="243"/>
        <v xml:space="preserve">enthusiasm(25)
efficiency(25)
 </v>
      </c>
      <c r="Y135" s="14" t="str">
        <f t="shared" si="244"/>
        <v xml:space="preserve">community manager(0.1), administrator(0.1), spaciousness(1), ease of access(3), reputation(2), user rules and manuals(0.1), project management(0.1), negotiation(0.1),  </v>
      </c>
      <c r="Z135" s="14" t="str">
        <f t="shared" si="245"/>
        <v xml:space="preserve">reputation(-1,%),  </v>
      </c>
      <c r="AA135" s="27" t="str">
        <f t="shared" si="482"/>
        <v xml:space="preserve"> </v>
      </c>
      <c r="AB135" s="14" t="str">
        <f t="shared" si="247"/>
        <v xml:space="preserve"> </v>
      </c>
      <c r="AC135" s="14" t="str">
        <f t="shared" si="248"/>
        <v xml:space="preserve"> </v>
      </c>
      <c r="AD135" s="14" t="str">
        <f t="shared" si="249"/>
        <v xml:space="preserve"> </v>
      </c>
      <c r="AE135" s="14" t="str">
        <f t="shared" si="250"/>
        <v xml:space="preserve">scale(1.1), attention to details(0.1), seriousness(0.1), initiative(0.1), spaciousness(1), user rules and manuals(1.1), organizational rules and manuals(1.1),  </v>
      </c>
      <c r="AF135" s="14" t="str">
        <f t="shared" si="251"/>
        <v xml:space="preserve">enthusiasm(-1,%), local biz(-1,6.25%), investors(-1,6.25%), non-profits(-1,6.25%), efficiency(-1,6.25%),  </v>
      </c>
      <c r="AG135" s="27" t="str">
        <f t="shared" si="482"/>
        <v xml:space="preserve">local biz(6.25),investors(6.25),non-profits(6.25),efficiency(6.25), </v>
      </c>
      <c r="AH135" s="14" t="str">
        <f t="shared" si="253"/>
        <v xml:space="preserve">fun-ness(1)
ease of access(1)
reputation(1)
 </v>
      </c>
      <c r="AI135" s="14" t="str">
        <f t="shared" si="254"/>
        <v xml:space="preserve"> </v>
      </c>
      <c r="AJ135" s="14" t="str">
        <f t="shared" si="255"/>
        <v xml:space="preserve"> </v>
      </c>
      <c r="AK135" s="14" t="str">
        <f t="shared" si="256"/>
        <v xml:space="preserve">scale(3.1), attention to details(2.1), seriousness(2.1), community manager(2.1), administrator(2.1), spaciousness(1), ease of access(1), reputation(2), user rules and manuals(2.1), organizational rules and manuals(2.1), law(1.1), negotiation(1.1),  </v>
      </c>
      <c r="AL135" s="14" t="str">
        <f t="shared" si="257"/>
        <v xml:space="preserve">govt(-1,6.25%), non-profits(-1,6.25%), reputation(-1,6.25%),  </v>
      </c>
      <c r="AM135" s="27" t="str">
        <f t="shared" si="482"/>
        <v xml:space="preserve">govt(6.25),non-profits(6.25),reputation(6.25), </v>
      </c>
      <c r="AN135" s="14" t="str">
        <f t="shared" si="259"/>
        <v xml:space="preserve">scale(1)
fun-ness(1)
seriousness(1)
 </v>
      </c>
      <c r="AO135" s="14" t="str">
        <f t="shared" si="260"/>
        <v xml:space="preserve">enthusiasm(-1,25%),  </v>
      </c>
      <c r="AP135" s="14" t="str">
        <f t="shared" si="261"/>
        <v xml:space="preserve">enthusiasm(25)
 </v>
      </c>
      <c r="AQ135" s="14" t="str">
        <f t="shared" si="262"/>
        <v xml:space="preserve">scale(1), fun-ness(1), spaciousness(2.1), reputation(3), organizational rules and manuals(2.1), team building(2.1),  </v>
      </c>
      <c r="AR135" s="14" t="str">
        <f t="shared" si="263"/>
        <v xml:space="preserve">enthusiasm(-1,12.5%), fun-ness(-1,6.25%), reputation(-1,6.25%), efficiency(-1,6.25%),  </v>
      </c>
      <c r="AS135" s="27" t="str">
        <f t="shared" si="482"/>
        <v xml:space="preserve">enthusiasm(12.5),fun-ness(6.25),reputation(6.25),efficiency(6.25), </v>
      </c>
      <c r="AT135" s="14" t="str">
        <f t="shared" si="265"/>
        <v xml:space="preserve"> </v>
      </c>
      <c r="AU135" s="14" t="str">
        <f t="shared" si="266"/>
        <v xml:space="preserve"> </v>
      </c>
      <c r="AV135" s="14" t="str">
        <f t="shared" si="267"/>
        <v xml:space="preserve"> </v>
      </c>
      <c r="AW135" s="14" t="str">
        <f t="shared" si="268"/>
        <v xml:space="preserve">attention to details(3.1), fun-ness(3.1), seriousness(3.1), initiative(2.1), leader(2.1), community manager(2.1), user rules and manuals(2.1), team building(2.1),  </v>
      </c>
      <c r="AX135" s="14" t="str">
        <f t="shared" si="269"/>
        <v xml:space="preserve"> </v>
      </c>
      <c r="AY135" s="27" t="str">
        <f t="shared" si="482"/>
        <v xml:space="preserve"> </v>
      </c>
      <c r="AZ135" s="14" t="str">
        <f t="shared" si="271"/>
        <v xml:space="preserve"> </v>
      </c>
      <c r="BA135" s="14" t="str">
        <f t="shared" si="272"/>
        <v xml:space="preserve">attention to details(1,12.5%), fun-ness(-1,12.5%), seriousness(1,12.5%), efficiency(-1,12.5%), user rules and manuals(1,25%),  </v>
      </c>
      <c r="BB135" s="14" t="str">
        <f t="shared" si="273"/>
        <v xml:space="preserve">attention to details(12.5)
fun-ness(12.5)
seriousness(12.5)
efficiency(12.5)
user rules and manuals(25)
 </v>
      </c>
      <c r="BC135" s="14" t="str">
        <f t="shared" si="274"/>
        <v xml:space="preserve">agility(1.1), attention to details(1.1), seriousness(1.1), community manager(1.1), administrator(1.1), user rules and manuals(2.1), organizational rules and manuals(2.1),  </v>
      </c>
      <c r="BD135" s="14" t="str">
        <f t="shared" si="275"/>
        <v xml:space="preserve">enthusiasm(-1,6.25%), reputation(-1,6.25%),  </v>
      </c>
      <c r="BE135" s="27" t="str">
        <f t="shared" si="482"/>
        <v xml:space="preserve">enthusiasm(6.25),reputation(6.25), </v>
      </c>
      <c r="BF135" s="14" t="str">
        <f t="shared" si="277"/>
        <v xml:space="preserve"> </v>
      </c>
      <c r="BG135" s="14" t="str">
        <f t="shared" si="278"/>
        <v xml:space="preserve">enthusiasm(-1,25%), attention to details(1,25%), fun-ness(-1,25%), seriousness(1,25%), user rules and manuals(1,25%), organizational rules and manuals(1,25%),  </v>
      </c>
      <c r="BH135" s="14" t="str">
        <f t="shared" si="279"/>
        <v xml:space="preserve">enthusiasm(25)
attention to details(25)
fun-ness(25)
seriousness(25)
user rules and manuals(25)
organizational rules and manuals(25)
 </v>
      </c>
      <c r="BI135" s="14" t="str">
        <f t="shared" si="280"/>
        <v xml:space="preserve">enthusiasm(1), fun-ness(1), seriousness(2.1), community manager(1.1), administrator(1.1),  </v>
      </c>
      <c r="BJ135" s="14" t="str">
        <f t="shared" si="281"/>
        <v xml:space="preserve">reputation(-1,6.25%), efficiency(-1,25%),  </v>
      </c>
      <c r="BK135" s="27" t="str">
        <f t="shared" si="482"/>
        <v xml:space="preserve">reputation(6.25),efficiency(25), </v>
      </c>
      <c r="BL135" s="14" t="str">
        <f t="shared" si="283"/>
        <v xml:space="preserve">local biz(1)
ease of access(1)
reputation(1)
aesthetics(1)
 </v>
      </c>
      <c r="BM135" s="14" t="str">
        <f t="shared" si="284"/>
        <v xml:space="preserve">biz enhancement(1,%),  </v>
      </c>
      <c r="BN135" s="14" t="str">
        <f t="shared" si="285"/>
        <v xml:space="preserve"> </v>
      </c>
      <c r="BO135" s="14" t="str">
        <f t="shared" si="286"/>
        <v xml:space="preserve">enthusiasm(1), agility(2), attention to details(2), initiative(1), community manager(1), PR(1), administrator(2), ease of access(2), reputation(3), efficiency(2), user rules and manuals(1), marketing(1), negotiation(1), aesthetics(2), functions(1), safety(1),  </v>
      </c>
      <c r="BP135" s="14" t="str">
        <f t="shared" si="287"/>
        <v xml:space="preserve">local biz(1,6.25%),  </v>
      </c>
      <c r="BQ135" s="27" t="str">
        <f t="shared" si="482"/>
        <v xml:space="preserve">local biz(6.25), </v>
      </c>
      <c r="BR135" s="14" t="str">
        <f t="shared" si="289"/>
        <v xml:space="preserve">scale(1)
local biz(1)
ease of access(1)
reputation(1)
aesthetics(1)
 </v>
      </c>
      <c r="BS135" s="14" t="str">
        <f t="shared" si="290"/>
        <v xml:space="preserve">biz project(1,%),  </v>
      </c>
      <c r="BT135" s="14" t="str">
        <f t="shared" si="291"/>
        <v xml:space="preserve"> </v>
      </c>
      <c r="BU135" s="14" t="str">
        <f t="shared" si="292"/>
        <v xml:space="preserve">scale(1), enthusiasm(1), agility(2), attention to details(2), initiative(1), community manager(1), PR(1), administrator(2), ease of access(2), reputation(3), efficiency(2), user rules and manuals(1), marketing(1), negotiation(1), wood processing(1), aesthetics(2),  </v>
      </c>
      <c r="BV135" s="14" t="str">
        <f t="shared" si="293"/>
        <v xml:space="preserve">local biz(1,6.25%),  </v>
      </c>
      <c r="BW135" s="27" t="str">
        <f t="shared" si="482"/>
        <v xml:space="preserve">local biz(6.25), </v>
      </c>
      <c r="BX135" s="14" t="str">
        <f t="shared" si="295"/>
        <v xml:space="preserve">local biz(1)
ease of access(1)
reputation(1)
aesthetics(1)
interaction(1)
 </v>
      </c>
      <c r="BY135" s="14" t="str">
        <f t="shared" si="296"/>
        <v xml:space="preserve">biz project(1,%),  </v>
      </c>
      <c r="BZ135" s="14" t="str">
        <f t="shared" si="297"/>
        <v xml:space="preserve"> </v>
      </c>
      <c r="CA135" s="14" t="str">
        <f t="shared" si="298"/>
        <v xml:space="preserve">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5" s="14" t="str">
        <f t="shared" si="299"/>
        <v xml:space="preserve">local biz(1,6.25%),  </v>
      </c>
      <c r="CC135" s="27" t="str">
        <f t="shared" si="483"/>
        <v xml:space="preserve">local biz(6.25), </v>
      </c>
      <c r="CD135" s="14" t="str">
        <f t="shared" si="301"/>
        <v xml:space="preserve">ease of access(1)
reputation(1)
aesthetics(1)
 </v>
      </c>
      <c r="CE135" s="14" t="str">
        <f t="shared" si="302"/>
        <v xml:space="preserve">biz project(1,%),  </v>
      </c>
      <c r="CF135" s="14" t="str">
        <f t="shared" si="303"/>
        <v xml:space="preserve"> </v>
      </c>
      <c r="CG135" s="14" t="str">
        <f t="shared" si="304"/>
        <v xml:space="preserve">enthusiasm(1), initiative(1), community manager(1), PR(1), administrator(2), ease of access(2), efficiency(2), user rules and manuals(1), marketing(1), team building(1), negotiation(1), infrastructrue(1), database(2), mobile apps(2), security(3), aesthetics(2), functions(1), interaction(2),  </v>
      </c>
      <c r="CH135" s="14" t="str">
        <f t="shared" si="305"/>
        <v xml:space="preserve">local biz(1,6.25%),  </v>
      </c>
      <c r="CI135" s="27" t="str">
        <f t="shared" si="483"/>
        <v xml:space="preserve">local biz(6.25), </v>
      </c>
      <c r="CJ135" s="14" t="str">
        <f t="shared" si="307"/>
        <v xml:space="preserve">ease of access(1)
reputation(1)
aesthetics(1)
 </v>
      </c>
      <c r="CK135" s="14" t="str">
        <f t="shared" si="308"/>
        <v xml:space="preserve">biz project(1,%),  </v>
      </c>
      <c r="CL135" s="14" t="str">
        <f t="shared" si="309"/>
        <v xml:space="preserve"> </v>
      </c>
      <c r="CM135" s="14" t="str">
        <f t="shared" si="310"/>
        <v xml:space="preserve">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5" s="14" t="str">
        <f t="shared" si="311"/>
        <v xml:space="preserve">local biz(1,6.25%),  </v>
      </c>
      <c r="CO135" s="27" t="str">
        <f t="shared" si="483"/>
        <v xml:space="preserve">local biz(6.25), </v>
      </c>
      <c r="CP135" s="14" t="str">
        <f t="shared" si="313"/>
        <v xml:space="preserve">local biz(1)
metal processing(1)
functions(1)
 </v>
      </c>
      <c r="CQ135" s="14" t="str">
        <f t="shared" si="314"/>
        <v xml:space="preserve">local biz(1,50%), biz enhancement(1,50%),  </v>
      </c>
      <c r="CR135" s="14" t="str">
        <f t="shared" si="315"/>
        <v xml:space="preserve">local biz(50)
biz enhancement(50)
 </v>
      </c>
      <c r="CS135" s="14" t="str">
        <f t="shared" si="316"/>
        <v xml:space="preserve">enthusiasm(1), agility(2), attention to details(2), initiative(1), community manager(1), ease of access(2), reputation(3), efficiency(2), metal processing(2), electronics(2), aesthetics(2), functions(2), safety(2),  </v>
      </c>
      <c r="CT135" s="14" t="str">
        <f t="shared" si="317"/>
        <v xml:space="preserve">reputation(1,6.25%),  </v>
      </c>
      <c r="CU135" s="27" t="str">
        <f t="shared" si="483"/>
        <v xml:space="preserve">reputation(6.25), </v>
      </c>
      <c r="CV135" s="14" t="str">
        <f t="shared" si="319"/>
        <v xml:space="preserve">non-profits(1)
wood processing(1)
aesthetics(1)
interaction(1)
 </v>
      </c>
      <c r="CW135" s="14" t="str">
        <f t="shared" si="320"/>
        <v xml:space="preserve">non-profits(1,50%), social project(1,50%),  </v>
      </c>
      <c r="CX135" s="14" t="str">
        <f t="shared" si="321"/>
        <v xml:space="preserve">non-profits(50)
social project(50)
 </v>
      </c>
      <c r="CY135" s="14" t="str">
        <f t="shared" si="322"/>
        <v xml:space="preserve">scale(2), enthusiasm(4), agility(2), ambition(4), attention to details(2), fun-ness(2), administrator(2), ease of access(2), efficiency(3), sensors(2), wood processing(2), plastic processing(2), electronics(2), aesthetics(2), functions(1), safety(1), interaction(2),  </v>
      </c>
      <c r="CZ135" s="14" t="str">
        <f t="shared" si="323"/>
        <v xml:space="preserve">media(1,6.25%), reputation(1,6.25%), portfolio(1,6.25%),  </v>
      </c>
      <c r="DA135" s="27" t="str">
        <f t="shared" si="483"/>
        <v xml:space="preserve">media(6.25),reputation(6.25),portfolio(6.25), </v>
      </c>
      <c r="DB135" s="14" t="str">
        <f t="shared" si="325"/>
        <v xml:space="preserve">non-profits(1)
aesthetics(1)
interaction(1)
 </v>
      </c>
      <c r="DC135" s="14" t="str">
        <f t="shared" si="326"/>
        <v xml:space="preserve">non-profits(1,50%), social project(1,50%),  </v>
      </c>
      <c r="DD135" s="14" t="str">
        <f t="shared" si="327"/>
        <v xml:space="preserve">non-profits(50)
social project(50)
 </v>
      </c>
      <c r="DE135" s="14" t="str">
        <f t="shared" si="328"/>
        <v xml:space="preserve">scale(2), enthusiasm(4), agility(2), ambition(4), attention to details(2), fun-ness(2), administrator(2), ease of access(2), efficiency(3), VR&amp;AR(2),  </v>
      </c>
      <c r="DF135" s="14" t="str">
        <f t="shared" si="329"/>
        <v xml:space="preserve">media(1,6.25%), reputation(1,6.25%), portfolio(1,6.25%),  </v>
      </c>
      <c r="DG135" s="27" t="str">
        <f t="shared" si="483"/>
        <v xml:space="preserve">media(6.25),reputation(6.25),portfolio(6.25), </v>
      </c>
      <c r="DH135" s="14" t="str">
        <f t="shared" si="331"/>
        <v xml:space="preserve">scale(1)
wood processing(1)
aesthetics(1)
safety(1)
 </v>
      </c>
      <c r="DI135" s="14" t="str">
        <f t="shared" si="332"/>
        <v xml:space="preserve">social project(1,100%),  </v>
      </c>
      <c r="DJ135" s="14" t="str">
        <f t="shared" si="333"/>
        <v xml:space="preserve">social project(100)
 </v>
      </c>
      <c r="DK135" s="14" t="str">
        <f t="shared" si="334"/>
        <v xml:space="preserve">gifted business strategist(1), 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5" s="14" t="str">
        <f t="shared" si="335"/>
        <v xml:space="preserve">enthusiasm(1,6.25%), agility(1,6.25%), fun-ness(1,6.25%), reputation(1,6.25%), portfolio(1,6.25%), team building(1,6.25%),  </v>
      </c>
      <c r="DM135" s="27" t="str">
        <f t="shared" si="483"/>
        <v xml:space="preserve">enthusiasm(6.25),agility(6.25),fun-ness(6.25),reputation(6.25),portfolio(6.25),team building(6.25), </v>
      </c>
      <c r="DN135"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5" s="14" t="str">
        <f t="shared" si="338"/>
        <v xml:space="preserve">reputation(1,25%), portfolio(1,50%),  </v>
      </c>
      <c r="DP135" s="14" t="str">
        <f t="shared" si="339"/>
        <v xml:space="preserve">reputation(25)
portfolio(50)
 </v>
      </c>
      <c r="DQ135" s="14" t="str">
        <f t="shared" si="340"/>
        <v xml:space="preserve">ambition(1), attention to details(3), fun-ness(3), administrator(1), media(3), suppliers(3), social media(2), wood processing(2), plastic processing(2), electronics(2), aesthetics(2),  </v>
      </c>
      <c r="DR135" s="14" t="str">
        <f t="shared" si="341"/>
        <v xml:space="preserve">suppliers(1,6.25%), reputation(1,6.25%),  </v>
      </c>
      <c r="DS135" s="27" t="str">
        <f t="shared" si="483"/>
        <v xml:space="preserve">suppliers(6.25),reputation(6.25), </v>
      </c>
      <c r="DT135" s="14" t="str">
        <f t="shared" si="343"/>
        <v xml:space="preserve">scale(2)
attention to details(2)
leader(1)
fame(1)
network(2)
reputation(3)
portfolio(2)
 </v>
      </c>
      <c r="DU135" s="14" t="str">
        <f t="shared" si="344"/>
        <v xml:space="preserve">fame(1,25%), govt(1,25%), non-profits(1,50%), reputation(1,25%),  </v>
      </c>
      <c r="DV135" s="14" t="str">
        <f t="shared" si="345"/>
        <v xml:space="preserve">fame(25)
govt(25)
non-profits(50)
reputation(25)
 </v>
      </c>
      <c r="DW135" s="14" t="str">
        <f t="shared" si="346"/>
        <v xml:space="preserve">enthusiasm(3), ambition(2), attention to details(2), PR(1), administrator(1), social media(2),  </v>
      </c>
      <c r="DX135" s="14" t="str">
        <f t="shared" si="347"/>
        <v xml:space="preserve">ambition(1,6.25%), fame(1,6.25%), reputation(1,6.25%),  </v>
      </c>
      <c r="DY135" s="27" t="str">
        <f t="shared" si="483"/>
        <v xml:space="preserve">ambition(6.25),fame(6.25),reputation(6.25), </v>
      </c>
      <c r="DZ135" s="14" t="str">
        <f t="shared" si="349"/>
        <v xml:space="preserve"> </v>
      </c>
      <c r="EA135" s="14" t="str">
        <f t="shared" si="350"/>
        <v xml:space="preserve"> </v>
      </c>
      <c r="EB135" s="14" t="str">
        <f t="shared" si="351"/>
        <v xml:space="preserve"> </v>
      </c>
      <c r="EC135" s="14" t="str">
        <f t="shared" si="352"/>
        <v xml:space="preserve"> </v>
      </c>
      <c r="ED135" s="14" t="str">
        <f t="shared" si="353"/>
        <v xml:space="preserve"> </v>
      </c>
      <c r="EE135" s="27" t="str">
        <f t="shared" si="483"/>
        <v xml:space="preserve"> </v>
      </c>
      <c r="EF135" s="14" t="str">
        <f t="shared" si="355"/>
        <v xml:space="preserve"> </v>
      </c>
      <c r="EG135" s="14" t="str">
        <f t="shared" si="356"/>
        <v xml:space="preserve"> </v>
      </c>
      <c r="EH135" s="14" t="str">
        <f t="shared" si="357"/>
        <v xml:space="preserve"> </v>
      </c>
      <c r="EI135" s="14" t="str">
        <f t="shared" si="358"/>
        <v xml:space="preserve"> </v>
      </c>
      <c r="EJ135" s="14" t="str">
        <f t="shared" si="359"/>
        <v xml:space="preserve"> </v>
      </c>
      <c r="EK135" s="27" t="str">
        <f t="shared" si="483"/>
        <v xml:space="preserve"> </v>
      </c>
      <c r="EL135" s="14" t="str">
        <f t="shared" si="361"/>
        <v xml:space="preserve"> </v>
      </c>
      <c r="EM135" s="14" t="str">
        <f t="shared" si="362"/>
        <v xml:space="preserve"> </v>
      </c>
      <c r="EN135" s="14" t="str">
        <f t="shared" si="363"/>
        <v xml:space="preserve"> </v>
      </c>
      <c r="EO135" s="14" t="str">
        <f t="shared" si="364"/>
        <v xml:space="preserve"> </v>
      </c>
      <c r="EP135" s="14" t="str">
        <f t="shared" si="365"/>
        <v xml:space="preserve"> </v>
      </c>
      <c r="EQ135" s="27" t="str">
        <f t="shared" si="484"/>
        <v xml:space="preserve"> </v>
      </c>
      <c r="ER135" s="14" t="str">
        <f t="shared" si="367"/>
        <v xml:space="preserve"> </v>
      </c>
      <c r="ES135" s="14" t="str">
        <f t="shared" si="368"/>
        <v xml:space="preserve"> </v>
      </c>
      <c r="ET135" s="14" t="str">
        <f t="shared" si="369"/>
        <v xml:space="preserve"> </v>
      </c>
      <c r="EU135" s="14" t="str">
        <f t="shared" si="370"/>
        <v xml:space="preserve"> </v>
      </c>
      <c r="EV135" s="14" t="str">
        <f t="shared" si="371"/>
        <v xml:space="preserve"> </v>
      </c>
      <c r="EW135" s="27" t="str">
        <f t="shared" si="484"/>
        <v xml:space="preserve"> </v>
      </c>
      <c r="EX135" s="14" t="str">
        <f t="shared" si="373"/>
        <v xml:space="preserve"> </v>
      </c>
      <c r="EY135" s="14" t="str">
        <f t="shared" si="374"/>
        <v xml:space="preserve"> </v>
      </c>
      <c r="EZ135" s="14" t="str">
        <f t="shared" si="375"/>
        <v xml:space="preserve"> </v>
      </c>
      <c r="FA135" s="14" t="str">
        <f t="shared" si="376"/>
        <v xml:space="preserve"> </v>
      </c>
      <c r="FB135" s="14" t="str">
        <f t="shared" si="377"/>
        <v xml:space="preserve"> </v>
      </c>
      <c r="FC135" s="27" t="str">
        <f t="shared" si="484"/>
        <v xml:space="preserve"> </v>
      </c>
      <c r="FD135" s="14" t="str">
        <f t="shared" si="379"/>
        <v xml:space="preserve"> </v>
      </c>
      <c r="FE135" s="14" t="str">
        <f t="shared" si="380"/>
        <v xml:space="preserve"> </v>
      </c>
      <c r="FF135" s="14" t="str">
        <f t="shared" si="381"/>
        <v xml:space="preserve"> </v>
      </c>
      <c r="FG135" s="14" t="str">
        <f t="shared" si="382"/>
        <v xml:space="preserve"> </v>
      </c>
      <c r="FH135" s="14" t="str">
        <f t="shared" si="383"/>
        <v xml:space="preserve"> </v>
      </c>
      <c r="FI135" s="27" t="str">
        <f t="shared" si="484"/>
        <v xml:space="preserve"> </v>
      </c>
      <c r="FJ135" s="14" t="str">
        <f t="shared" si="385"/>
        <v xml:space="preserve"> </v>
      </c>
      <c r="FK135" s="14" t="str">
        <f t="shared" si="386"/>
        <v xml:space="preserve"> </v>
      </c>
      <c r="FL135" s="14" t="str">
        <f t="shared" si="387"/>
        <v xml:space="preserve"> </v>
      </c>
      <c r="FM135" s="14" t="str">
        <f t="shared" si="388"/>
        <v xml:space="preserve"> </v>
      </c>
      <c r="FN135" s="14" t="str">
        <f t="shared" si="389"/>
        <v xml:space="preserve"> </v>
      </c>
      <c r="FO135" s="27" t="str">
        <f t="shared" si="484"/>
        <v xml:space="preserve"> </v>
      </c>
      <c r="FP135" s="14" t="str">
        <f t="shared" si="391"/>
        <v xml:space="preserve"> </v>
      </c>
      <c r="FQ135" s="14" t="str">
        <f t="shared" si="392"/>
        <v xml:space="preserve"> </v>
      </c>
      <c r="FR135" s="14" t="str">
        <f t="shared" si="393"/>
        <v xml:space="preserve"> </v>
      </c>
      <c r="FS135" s="14" t="str">
        <f t="shared" si="394"/>
        <v xml:space="preserve"> </v>
      </c>
      <c r="FT135" s="14" t="str">
        <f t="shared" si="395"/>
        <v xml:space="preserve"> </v>
      </c>
      <c r="FU135" s="27" t="str">
        <f t="shared" si="484"/>
        <v xml:space="preserve"> </v>
      </c>
      <c r="FV135" s="14" t="str">
        <f t="shared" si="397"/>
        <v xml:space="preserve"> </v>
      </c>
      <c r="FW135" s="14" t="str">
        <f t="shared" si="398"/>
        <v xml:space="preserve"> </v>
      </c>
      <c r="FX135" s="14" t="str">
        <f t="shared" si="399"/>
        <v xml:space="preserve"> </v>
      </c>
      <c r="FY135" s="14" t="str">
        <f t="shared" si="400"/>
        <v xml:space="preserve"> </v>
      </c>
      <c r="FZ135" s="14" t="str">
        <f t="shared" si="401"/>
        <v xml:space="preserve"> </v>
      </c>
      <c r="GA135" s="27" t="str">
        <f t="shared" si="484"/>
        <v xml:space="preserve"> </v>
      </c>
      <c r="GB135" s="14" t="str">
        <f t="shared" si="403"/>
        <v xml:space="preserve"> </v>
      </c>
      <c r="GC135" s="14" t="str">
        <f t="shared" si="404"/>
        <v xml:space="preserve"> </v>
      </c>
      <c r="GD135" s="14" t="str">
        <f t="shared" si="405"/>
        <v xml:space="preserve"> </v>
      </c>
      <c r="GE135" s="14" t="str">
        <f t="shared" si="406"/>
        <v xml:space="preserve"> </v>
      </c>
      <c r="GF135" s="14" t="str">
        <f t="shared" si="407"/>
        <v xml:space="preserve"> </v>
      </c>
      <c r="GG135" s="27" t="str">
        <f t="shared" si="484"/>
        <v xml:space="preserve"> </v>
      </c>
      <c r="GH135" s="14" t="str">
        <f t="shared" si="409"/>
        <v xml:space="preserve"> </v>
      </c>
      <c r="GI135" s="14" t="str">
        <f t="shared" si="410"/>
        <v xml:space="preserve"> </v>
      </c>
      <c r="GJ135" s="14" t="str">
        <f t="shared" si="411"/>
        <v xml:space="preserve"> </v>
      </c>
      <c r="GK135" s="14" t="str">
        <f t="shared" si="412"/>
        <v xml:space="preserve"> </v>
      </c>
      <c r="GL135" s="14" t="str">
        <f t="shared" si="413"/>
        <v xml:space="preserve"> </v>
      </c>
      <c r="GM135" s="27" t="str">
        <f t="shared" si="484"/>
        <v xml:space="preserve"> </v>
      </c>
      <c r="GN135" s="14" t="str">
        <f t="shared" si="415"/>
        <v xml:space="preserve"> </v>
      </c>
      <c r="GO135" s="14" t="str">
        <f t="shared" si="416"/>
        <v xml:space="preserve"> </v>
      </c>
      <c r="GP135" s="14" t="str">
        <f t="shared" si="417"/>
        <v xml:space="preserve"> </v>
      </c>
      <c r="GQ135" s="14" t="str">
        <f t="shared" si="418"/>
        <v xml:space="preserve"> </v>
      </c>
      <c r="GR135" s="14" t="str">
        <f t="shared" si="419"/>
        <v xml:space="preserve"> </v>
      </c>
      <c r="GS135" s="27" t="str">
        <f t="shared" si="484"/>
        <v xml:space="preserve"> </v>
      </c>
      <c r="GT135" s="14" t="str">
        <f t="shared" si="421"/>
        <v xml:space="preserve"> </v>
      </c>
      <c r="GU135" s="14" t="str">
        <f t="shared" si="422"/>
        <v xml:space="preserve"> </v>
      </c>
      <c r="GV135" s="14" t="str">
        <f t="shared" si="423"/>
        <v xml:space="preserve"> </v>
      </c>
      <c r="GW135" s="14" t="str">
        <f t="shared" si="424"/>
        <v xml:space="preserve"> </v>
      </c>
      <c r="GX135" s="14" t="str">
        <f t="shared" si="425"/>
        <v xml:space="preserve"> </v>
      </c>
      <c r="GY135" s="27" t="str">
        <f t="shared" si="484"/>
        <v xml:space="preserve"> </v>
      </c>
      <c r="GZ135" s="14" t="str">
        <f t="shared" si="427"/>
        <v xml:space="preserve"> </v>
      </c>
      <c r="HA135" s="14" t="str">
        <f t="shared" si="428"/>
        <v xml:space="preserve"> </v>
      </c>
      <c r="HB135" s="14" t="str">
        <f t="shared" si="429"/>
        <v xml:space="preserve"> </v>
      </c>
      <c r="HC135" s="14" t="str">
        <f t="shared" si="430"/>
        <v xml:space="preserve"> </v>
      </c>
      <c r="HD135" s="14" t="str">
        <f t="shared" si="431"/>
        <v xml:space="preserve"> </v>
      </c>
      <c r="HE135" s="27" t="str">
        <f t="shared" si="485"/>
        <v xml:space="preserve"> </v>
      </c>
      <c r="HF135" s="14" t="str">
        <f t="shared" si="433"/>
        <v xml:space="preserve"> </v>
      </c>
      <c r="HG135" s="14" t="str">
        <f t="shared" si="434"/>
        <v xml:space="preserve"> </v>
      </c>
      <c r="HH135" s="14" t="str">
        <f t="shared" si="435"/>
        <v xml:space="preserve"> </v>
      </c>
      <c r="HI135" s="14" t="str">
        <f t="shared" si="436"/>
        <v xml:space="preserve"> </v>
      </c>
      <c r="HJ135" s="14" t="str">
        <f t="shared" si="437"/>
        <v xml:space="preserve"> </v>
      </c>
      <c r="HK135" s="27" t="str">
        <f t="shared" si="485"/>
        <v xml:space="preserve"> </v>
      </c>
      <c r="HL135" s="14" t="str">
        <f t="shared" si="439"/>
        <v xml:space="preserve"> </v>
      </c>
      <c r="HM135" s="14" t="str">
        <f t="shared" si="440"/>
        <v xml:space="preserve"> </v>
      </c>
      <c r="HN135" s="14" t="str">
        <f t="shared" si="441"/>
        <v xml:space="preserve"> </v>
      </c>
      <c r="HO135" s="14" t="str">
        <f t="shared" si="442"/>
        <v xml:space="preserve"> </v>
      </c>
      <c r="HP135" s="14" t="str">
        <f t="shared" si="443"/>
        <v xml:space="preserve"> </v>
      </c>
      <c r="HQ135" s="27" t="str">
        <f t="shared" si="485"/>
        <v xml:space="preserve"> </v>
      </c>
    </row>
    <row r="136" spans="1:225" ht="15.75" customHeight="1">
      <c r="A136" s="7">
        <f t="shared" ref="A136:C136" si="498">A28</f>
        <v>0</v>
      </c>
      <c r="B136" s="7" t="str">
        <f t="shared" si="498"/>
        <v>lab staff</v>
      </c>
      <c r="C136" s="7" t="str">
        <f t="shared" si="498"/>
        <v>scale</v>
      </c>
      <c r="D136" s="14" t="str">
        <f t="shared" si="446"/>
        <v xml:space="preserve"> </v>
      </c>
      <c r="E136" s="14" t="str">
        <f t="shared" si="447"/>
        <v xml:space="preserve"> </v>
      </c>
      <c r="F136" s="14" t="str">
        <f t="shared" si="448"/>
        <v xml:space="preserve"> </v>
      </c>
      <c r="G136" s="14" t="str">
        <f t="shared" si="449"/>
        <v xml:space="preserve">attention to details(1.1), efficiency(1), user rules and manuals(2.1), organizational rules and manuals(2.1),  </v>
      </c>
      <c r="H136" s="14" t="str">
        <f t="shared" si="450"/>
        <v xml:space="preserve">efficiency(-1,6.25%),  </v>
      </c>
      <c r="I136" s="27" t="str">
        <f t="shared" ref="I136" si="499">IF(I28="",I137,$C136&amp;"("&amp;I28&amp;"),"&amp;I137)</f>
        <v xml:space="preserve">efficiency(6.25), </v>
      </c>
      <c r="J136" s="14" t="str">
        <f t="shared" si="229"/>
        <v xml:space="preserve">scale(1)
enthusiasm(1)
 </v>
      </c>
      <c r="K136" s="14" t="str">
        <f t="shared" si="230"/>
        <v xml:space="preserve">scale(-1,12.5%), enthusiasm(-1,25%),  </v>
      </c>
      <c r="L136" s="14" t="str">
        <f t="shared" si="231"/>
        <v xml:space="preserve">scale(12.5)
enthusiasm(25)
 </v>
      </c>
      <c r="M136" s="14" t="str">
        <f t="shared" si="232"/>
        <v xml:space="preserve">scale(1.1), efficiency(0.1), organizational rules and manuals(1.1),  </v>
      </c>
      <c r="N136" s="14" t="str">
        <f t="shared" si="233"/>
        <v xml:space="preserve">agility(-1,6.75%), ambition(-1,6.75%), fun-ness(-1,6.75%), initiative(-1,6.75%),  </v>
      </c>
      <c r="O136" s="27" t="str">
        <f t="shared" si="482"/>
        <v xml:space="preserve">agility(6.75),ambition(6.75),fun-ness(6.75),initiative(6.75), </v>
      </c>
      <c r="P136" s="14" t="str">
        <f t="shared" si="235"/>
        <v xml:space="preserve"> </v>
      </c>
      <c r="Q136" s="14" t="str">
        <f t="shared" si="236"/>
        <v xml:space="preserve"> </v>
      </c>
      <c r="R136" s="14" t="str">
        <f t="shared" si="237"/>
        <v xml:space="preserve"> </v>
      </c>
      <c r="S136" s="14" t="str">
        <f t="shared" si="238"/>
        <v xml:space="preserve">ambition(1), attention to details(0.1), community manager(0.1), team building(0.1),  </v>
      </c>
      <c r="T136" s="14" t="str">
        <f t="shared" si="239"/>
        <v xml:space="preserve">ambition(-1,%), business model(-1,6.25%), web(-1,6.25%), mobile apps(-1,6.25%), aesthetics(-1,6.25%),  </v>
      </c>
      <c r="U136" s="27" t="str">
        <f t="shared" si="482"/>
        <v xml:space="preserve">business model(6.25),web(6.25),mobile apps(6.25),aesthetics(6.25), </v>
      </c>
      <c r="V136" s="14" t="str">
        <f t="shared" si="241"/>
        <v xml:space="preserve">scale(1)
 </v>
      </c>
      <c r="W136" s="14" t="str">
        <f t="shared" si="242"/>
        <v xml:space="preserve">enthusiasm(-1,25%), efficiency(-1,25%),  </v>
      </c>
      <c r="X136" s="14" t="str">
        <f t="shared" si="243"/>
        <v xml:space="preserve">enthusiasm(25)
efficiency(25)
 </v>
      </c>
      <c r="Y136" s="14" t="str">
        <f t="shared" si="244"/>
        <v xml:space="preserve">community manager(0.1), administrator(0.1), spaciousness(1), ease of access(3), reputation(2), user rules and manuals(0.1), project management(0.1), negotiation(0.1),  </v>
      </c>
      <c r="Z136" s="14" t="str">
        <f t="shared" si="245"/>
        <v xml:space="preserve">reputation(-1,%),  </v>
      </c>
      <c r="AA136" s="27" t="str">
        <f t="shared" si="482"/>
        <v xml:space="preserve"> </v>
      </c>
      <c r="AB136" s="14" t="str">
        <f t="shared" si="247"/>
        <v xml:space="preserve"> </v>
      </c>
      <c r="AC136" s="14" t="str">
        <f t="shared" si="248"/>
        <v xml:space="preserve"> </v>
      </c>
      <c r="AD136" s="14" t="str">
        <f t="shared" si="249"/>
        <v xml:space="preserve"> </v>
      </c>
      <c r="AE136" s="14" t="str">
        <f t="shared" si="250"/>
        <v xml:space="preserve">scale(1.1), attention to details(0.1), seriousness(0.1), initiative(0.1), spaciousness(1), user rules and manuals(1.1), organizational rules and manuals(1.1),  </v>
      </c>
      <c r="AF136" s="14" t="str">
        <f t="shared" si="251"/>
        <v xml:space="preserve">enthusiasm(-1,%), local biz(-1,6.25%), investors(-1,6.25%), non-profits(-1,6.25%), efficiency(-1,6.25%),  </v>
      </c>
      <c r="AG136" s="27" t="str">
        <f t="shared" si="482"/>
        <v xml:space="preserve">local biz(6.25),investors(6.25),non-profits(6.25),efficiency(6.25), </v>
      </c>
      <c r="AH136" s="14" t="str">
        <f t="shared" si="253"/>
        <v xml:space="preserve">fun-ness(1)
ease of access(1)
reputation(1)
 </v>
      </c>
      <c r="AI136" s="14" t="str">
        <f t="shared" si="254"/>
        <v xml:space="preserve"> </v>
      </c>
      <c r="AJ136" s="14" t="str">
        <f t="shared" si="255"/>
        <v xml:space="preserve"> </v>
      </c>
      <c r="AK136" s="14" t="str">
        <f t="shared" si="256"/>
        <v xml:space="preserve">scale(3.1), attention to details(2.1), seriousness(2.1), community manager(2.1), administrator(2.1), spaciousness(1), ease of access(1), reputation(2), user rules and manuals(2.1), organizational rules and manuals(2.1), law(1.1), negotiation(1.1),  </v>
      </c>
      <c r="AL136" s="14" t="str">
        <f t="shared" si="257"/>
        <v xml:space="preserve">govt(-1,6.25%), non-profits(-1,6.25%), reputation(-1,6.25%),  </v>
      </c>
      <c r="AM136" s="27" t="str">
        <f t="shared" si="482"/>
        <v xml:space="preserve">govt(6.25),non-profits(6.25),reputation(6.25), </v>
      </c>
      <c r="AN136" s="14" t="str">
        <f t="shared" si="259"/>
        <v xml:space="preserve">scale(1)
fun-ness(1)
seriousness(1)
 </v>
      </c>
      <c r="AO136" s="14" t="str">
        <f t="shared" si="260"/>
        <v xml:space="preserve">enthusiasm(-1,25%),  </v>
      </c>
      <c r="AP136" s="14" t="str">
        <f t="shared" si="261"/>
        <v xml:space="preserve">enthusiasm(25)
 </v>
      </c>
      <c r="AQ136" s="14" t="str">
        <f t="shared" si="262"/>
        <v xml:space="preserve">scale(1), fun-ness(1), spaciousness(2.1), reputation(3), organizational rules and manuals(2.1), team building(2.1),  </v>
      </c>
      <c r="AR136" s="14" t="str">
        <f t="shared" si="263"/>
        <v xml:space="preserve">enthusiasm(-1,12.5%), fun-ness(-1,6.25%), reputation(-1,6.25%), efficiency(-1,6.25%),  </v>
      </c>
      <c r="AS136" s="27" t="str">
        <f t="shared" si="482"/>
        <v xml:space="preserve">enthusiasm(12.5),fun-ness(6.25),reputation(6.25),efficiency(6.25), </v>
      </c>
      <c r="AT136" s="14" t="str">
        <f t="shared" si="265"/>
        <v xml:space="preserve"> </v>
      </c>
      <c r="AU136" s="14" t="str">
        <f t="shared" si="266"/>
        <v xml:space="preserve"> </v>
      </c>
      <c r="AV136" s="14" t="str">
        <f t="shared" si="267"/>
        <v xml:space="preserve"> </v>
      </c>
      <c r="AW136" s="14" t="str">
        <f t="shared" si="268"/>
        <v xml:space="preserve">attention to details(3.1), fun-ness(3.1), seriousness(3.1), initiative(2.1), leader(2.1), community manager(2.1), user rules and manuals(2.1), team building(2.1),  </v>
      </c>
      <c r="AX136" s="14" t="str">
        <f t="shared" si="269"/>
        <v xml:space="preserve"> </v>
      </c>
      <c r="AY136" s="27" t="str">
        <f t="shared" si="482"/>
        <v xml:space="preserve"> </v>
      </c>
      <c r="AZ136" s="14" t="str">
        <f t="shared" si="271"/>
        <v xml:space="preserve"> </v>
      </c>
      <c r="BA136" s="14" t="str">
        <f t="shared" si="272"/>
        <v xml:space="preserve">attention to details(1,12.5%), fun-ness(-1,12.5%), seriousness(1,12.5%), efficiency(-1,12.5%), user rules and manuals(1,25%),  </v>
      </c>
      <c r="BB136" s="14" t="str">
        <f t="shared" si="273"/>
        <v xml:space="preserve">attention to details(12.5)
fun-ness(12.5)
seriousness(12.5)
efficiency(12.5)
user rules and manuals(25)
 </v>
      </c>
      <c r="BC136" s="14" t="str">
        <f t="shared" si="274"/>
        <v xml:space="preserve">agility(1.1), attention to details(1.1), seriousness(1.1), community manager(1.1), administrator(1.1), user rules and manuals(2.1), organizational rules and manuals(2.1),  </v>
      </c>
      <c r="BD136" s="14" t="str">
        <f t="shared" si="275"/>
        <v xml:space="preserve">enthusiasm(-1,6.25%), reputation(-1,6.25%),  </v>
      </c>
      <c r="BE136" s="27" t="str">
        <f t="shared" si="482"/>
        <v xml:space="preserve">enthusiasm(6.25),reputation(6.25), </v>
      </c>
      <c r="BF136" s="14" t="str">
        <f t="shared" si="277"/>
        <v xml:space="preserve"> </v>
      </c>
      <c r="BG136" s="14" t="str">
        <f t="shared" si="278"/>
        <v xml:space="preserve">enthusiasm(-1,25%), attention to details(1,25%), fun-ness(-1,25%), seriousness(1,25%), user rules and manuals(1,25%), organizational rules and manuals(1,25%),  </v>
      </c>
      <c r="BH136" s="14" t="str">
        <f t="shared" si="279"/>
        <v xml:space="preserve">enthusiasm(25)
attention to details(25)
fun-ness(25)
seriousness(25)
user rules and manuals(25)
organizational rules and manuals(25)
 </v>
      </c>
      <c r="BI136" s="14" t="str">
        <f t="shared" si="280"/>
        <v xml:space="preserve">enthusiasm(1), fun-ness(1), seriousness(2.1), community manager(1.1), administrator(1.1),  </v>
      </c>
      <c r="BJ136" s="14" t="str">
        <f t="shared" si="281"/>
        <v xml:space="preserve">reputation(-1,6.25%), efficiency(-1,25%),  </v>
      </c>
      <c r="BK136" s="27" t="str">
        <f t="shared" si="482"/>
        <v xml:space="preserve">reputation(6.25),efficiency(25), </v>
      </c>
      <c r="BL136" s="14" t="str">
        <f t="shared" si="283"/>
        <v xml:space="preserve">local biz(1)
ease of access(1)
reputation(1)
aesthetics(1)
 </v>
      </c>
      <c r="BM136" s="14" t="str">
        <f t="shared" si="284"/>
        <v xml:space="preserve">biz enhancement(1,%),  </v>
      </c>
      <c r="BN136" s="14" t="str">
        <f t="shared" si="285"/>
        <v xml:space="preserve"> </v>
      </c>
      <c r="BO136" s="14" t="str">
        <f t="shared" si="286"/>
        <v xml:space="preserve">enthusiasm(1), agility(2), attention to details(2), initiative(1), community manager(1), PR(1), administrator(2), ease of access(2), reputation(3), efficiency(2), user rules and manuals(1), marketing(1), negotiation(1), aesthetics(2), functions(1), safety(1),  </v>
      </c>
      <c r="BP136" s="14" t="str">
        <f t="shared" si="287"/>
        <v xml:space="preserve">local biz(1,6.25%),  </v>
      </c>
      <c r="BQ136" s="27" t="str">
        <f t="shared" si="482"/>
        <v xml:space="preserve">local biz(6.25), </v>
      </c>
      <c r="BR136" s="14" t="str">
        <f t="shared" si="289"/>
        <v xml:space="preserve">scale(1)
local biz(1)
ease of access(1)
reputation(1)
aesthetics(1)
 </v>
      </c>
      <c r="BS136" s="14" t="str">
        <f t="shared" si="290"/>
        <v xml:space="preserve">biz project(1,%),  </v>
      </c>
      <c r="BT136" s="14" t="str">
        <f t="shared" si="291"/>
        <v xml:space="preserve"> </v>
      </c>
      <c r="BU136" s="14" t="str">
        <f t="shared" si="292"/>
        <v xml:space="preserve">scale(1), enthusiasm(1), agility(2), attention to details(2), initiative(1), community manager(1), PR(1), administrator(2), ease of access(2), reputation(3), efficiency(2), user rules and manuals(1), marketing(1), negotiation(1), wood processing(1), aesthetics(2),  </v>
      </c>
      <c r="BV136" s="14" t="str">
        <f t="shared" si="293"/>
        <v xml:space="preserve">local biz(1,6.25%),  </v>
      </c>
      <c r="BW136" s="27" t="str">
        <f t="shared" si="482"/>
        <v xml:space="preserve">local biz(6.25), </v>
      </c>
      <c r="BX136" s="14" t="str">
        <f t="shared" si="295"/>
        <v xml:space="preserve">local biz(1)
ease of access(1)
reputation(1)
aesthetics(1)
interaction(1)
 </v>
      </c>
      <c r="BY136" s="14" t="str">
        <f t="shared" si="296"/>
        <v xml:space="preserve">biz project(1,%),  </v>
      </c>
      <c r="BZ136" s="14" t="str">
        <f t="shared" si="297"/>
        <v xml:space="preserve"> </v>
      </c>
      <c r="CA136" s="14" t="str">
        <f t="shared" si="298"/>
        <v xml:space="preserve">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6" s="14" t="str">
        <f t="shared" si="299"/>
        <v xml:space="preserve">local biz(1,6.25%),  </v>
      </c>
      <c r="CC136" s="27" t="str">
        <f t="shared" si="483"/>
        <v xml:space="preserve">local biz(6.25), </v>
      </c>
      <c r="CD136" s="14" t="str">
        <f t="shared" si="301"/>
        <v xml:space="preserve">ease of access(1)
reputation(1)
aesthetics(1)
 </v>
      </c>
      <c r="CE136" s="14" t="str">
        <f t="shared" si="302"/>
        <v xml:space="preserve">biz project(1,%),  </v>
      </c>
      <c r="CF136" s="14" t="str">
        <f t="shared" si="303"/>
        <v xml:space="preserve"> </v>
      </c>
      <c r="CG136" s="14" t="str">
        <f t="shared" si="304"/>
        <v xml:space="preserve">enthusiasm(1), initiative(1), community manager(1), PR(1), administrator(2), ease of access(2), efficiency(2), user rules and manuals(1), marketing(1), team building(1), negotiation(1), infrastructrue(1), database(2), mobile apps(2), security(3), aesthetics(2), functions(1), interaction(2),  </v>
      </c>
      <c r="CH136" s="14" t="str">
        <f t="shared" si="305"/>
        <v xml:space="preserve">local biz(1,6.25%),  </v>
      </c>
      <c r="CI136" s="27" t="str">
        <f t="shared" si="483"/>
        <v xml:space="preserve">local biz(6.25), </v>
      </c>
      <c r="CJ136" s="14" t="str">
        <f t="shared" si="307"/>
        <v xml:space="preserve">ease of access(1)
reputation(1)
aesthetics(1)
 </v>
      </c>
      <c r="CK136" s="14" t="str">
        <f t="shared" si="308"/>
        <v xml:space="preserve">biz project(1,%),  </v>
      </c>
      <c r="CL136" s="14" t="str">
        <f t="shared" si="309"/>
        <v xml:space="preserve"> </v>
      </c>
      <c r="CM136" s="14" t="str">
        <f t="shared" si="310"/>
        <v xml:space="preserve">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6" s="14" t="str">
        <f t="shared" si="311"/>
        <v xml:space="preserve">local biz(1,6.25%),  </v>
      </c>
      <c r="CO136" s="27" t="str">
        <f t="shared" si="483"/>
        <v xml:space="preserve">local biz(6.25), </v>
      </c>
      <c r="CP136" s="14" t="str">
        <f t="shared" si="313"/>
        <v xml:space="preserve">local biz(1)
metal processing(1)
functions(1)
 </v>
      </c>
      <c r="CQ136" s="14" t="str">
        <f t="shared" si="314"/>
        <v xml:space="preserve">local biz(1,50%), biz enhancement(1,50%),  </v>
      </c>
      <c r="CR136" s="14" t="str">
        <f t="shared" si="315"/>
        <v xml:space="preserve">local biz(50)
biz enhancement(50)
 </v>
      </c>
      <c r="CS136" s="14" t="str">
        <f t="shared" si="316"/>
        <v xml:space="preserve">enthusiasm(1), agility(2), attention to details(2), initiative(1), community manager(1), ease of access(2), reputation(3), efficiency(2), metal processing(2), electronics(2), aesthetics(2), functions(2), safety(2),  </v>
      </c>
      <c r="CT136" s="14" t="str">
        <f t="shared" si="317"/>
        <v xml:space="preserve">reputation(1,6.25%),  </v>
      </c>
      <c r="CU136" s="27" t="str">
        <f t="shared" si="483"/>
        <v xml:space="preserve">reputation(6.25), </v>
      </c>
      <c r="CV136" s="14" t="str">
        <f t="shared" si="319"/>
        <v xml:space="preserve">non-profits(1)
wood processing(1)
aesthetics(1)
interaction(1)
 </v>
      </c>
      <c r="CW136" s="14" t="str">
        <f t="shared" si="320"/>
        <v xml:space="preserve">non-profits(1,50%), social project(1,50%),  </v>
      </c>
      <c r="CX136" s="14" t="str">
        <f t="shared" si="321"/>
        <v xml:space="preserve">non-profits(50)
social project(50)
 </v>
      </c>
      <c r="CY136" s="14" t="str">
        <f t="shared" si="322"/>
        <v xml:space="preserve">scale(2), enthusiasm(4), agility(2), ambition(4), attention to details(2), fun-ness(2), administrator(2), ease of access(2), efficiency(3), sensors(2), wood processing(2), plastic processing(2), electronics(2), aesthetics(2), functions(1), safety(1), interaction(2),  </v>
      </c>
      <c r="CZ136" s="14" t="str">
        <f t="shared" si="323"/>
        <v xml:space="preserve">media(1,6.25%), reputation(1,6.25%), portfolio(1,6.25%),  </v>
      </c>
      <c r="DA136" s="27" t="str">
        <f t="shared" si="483"/>
        <v xml:space="preserve">media(6.25),reputation(6.25),portfolio(6.25), </v>
      </c>
      <c r="DB136" s="14" t="str">
        <f t="shared" si="325"/>
        <v xml:space="preserve">non-profits(1)
aesthetics(1)
interaction(1)
 </v>
      </c>
      <c r="DC136" s="14" t="str">
        <f t="shared" si="326"/>
        <v xml:space="preserve">non-profits(1,50%), social project(1,50%),  </v>
      </c>
      <c r="DD136" s="14" t="str">
        <f t="shared" si="327"/>
        <v xml:space="preserve">non-profits(50)
social project(50)
 </v>
      </c>
      <c r="DE136" s="14" t="str">
        <f t="shared" si="328"/>
        <v xml:space="preserve">scale(2), enthusiasm(4), agility(2), ambition(4), attention to details(2), fun-ness(2), administrator(2), ease of access(2), efficiency(3), VR&amp;AR(2),  </v>
      </c>
      <c r="DF136" s="14" t="str">
        <f t="shared" si="329"/>
        <v xml:space="preserve">media(1,6.25%), reputation(1,6.25%), portfolio(1,6.25%),  </v>
      </c>
      <c r="DG136" s="27" t="str">
        <f t="shared" si="483"/>
        <v xml:space="preserve">media(6.25),reputation(6.25),portfolio(6.25), </v>
      </c>
      <c r="DH136" s="14" t="str">
        <f t="shared" si="331"/>
        <v xml:space="preserve">scale(1)
wood processing(1)
aesthetics(1)
safety(1)
 </v>
      </c>
      <c r="DI136" s="14" t="str">
        <f t="shared" si="332"/>
        <v xml:space="preserve">social project(1,100%),  </v>
      </c>
      <c r="DJ136" s="14" t="str">
        <f t="shared" si="333"/>
        <v xml:space="preserve">social project(100)
 </v>
      </c>
      <c r="DK136" s="14" t="str">
        <f t="shared" si="334"/>
        <v xml:space="preserve">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6" s="14" t="str">
        <f t="shared" si="335"/>
        <v xml:space="preserve">enthusiasm(1,6.25%), agility(1,6.25%), fun-ness(1,6.25%), reputation(1,6.25%), portfolio(1,6.25%), team building(1,6.25%),  </v>
      </c>
      <c r="DM136" s="27" t="str">
        <f t="shared" si="483"/>
        <v xml:space="preserve">enthusiasm(6.25),agility(6.25),fun-ness(6.25),reputation(6.25),portfolio(6.25),team building(6.25), </v>
      </c>
      <c r="DN136" s="14" t="str">
        <f t="shared" si="337"/>
        <v xml:space="preserve">scale(2)
agility(1)
attention to details(2)
fun-ness(2)
initiative(1)
community manager(1)
fame(1)
network(2)
suppliers(2)
spaciousness(1)
ease of access(2)
reputation(3)
project management(2)
wood processing(1)
plastic processing(1)
electronics(1)
aesthetics(2)
functions(1)
safety(1)
biz project(1)
 </v>
      </c>
      <c r="DO136" s="14" t="str">
        <f t="shared" si="338"/>
        <v xml:space="preserve">reputation(1,25%), portfolio(1,50%),  </v>
      </c>
      <c r="DP136" s="14" t="str">
        <f t="shared" si="339"/>
        <v xml:space="preserve">reputation(25)
portfolio(50)
 </v>
      </c>
      <c r="DQ136" s="14" t="str">
        <f t="shared" si="340"/>
        <v xml:space="preserve">ambition(1), attention to details(3), fun-ness(3), administrator(1), media(3), suppliers(3), social media(2), wood processing(2), plastic processing(2), electronics(2), aesthetics(2),  </v>
      </c>
      <c r="DR136" s="14" t="str">
        <f t="shared" si="341"/>
        <v xml:space="preserve">suppliers(1,6.25%), reputation(1,6.25%),  </v>
      </c>
      <c r="DS136" s="27" t="str">
        <f t="shared" si="483"/>
        <v xml:space="preserve">suppliers(6.25),reputation(6.25), </v>
      </c>
      <c r="DT136" s="14" t="str">
        <f t="shared" si="343"/>
        <v xml:space="preserve">scale(2)
attention to details(2)
leader(1)
fame(1)
network(2)
reputation(3)
portfolio(2)
 </v>
      </c>
      <c r="DU136" s="14" t="str">
        <f t="shared" si="344"/>
        <v xml:space="preserve">fame(1,25%), govt(1,25%), non-profits(1,50%), reputation(1,25%),  </v>
      </c>
      <c r="DV136" s="14" t="str">
        <f t="shared" si="345"/>
        <v xml:space="preserve">fame(25)
govt(25)
non-profits(50)
reputation(25)
 </v>
      </c>
      <c r="DW136" s="14" t="str">
        <f t="shared" si="346"/>
        <v xml:space="preserve">enthusiasm(3), ambition(2), attention to details(2), PR(1), administrator(1), social media(2),  </v>
      </c>
      <c r="DX136" s="14" t="str">
        <f t="shared" si="347"/>
        <v xml:space="preserve">ambition(1,6.25%), fame(1,6.25%), reputation(1,6.25%),  </v>
      </c>
      <c r="DY136" s="27" t="str">
        <f t="shared" si="483"/>
        <v xml:space="preserve">ambition(6.25),fame(6.25),reputation(6.25), </v>
      </c>
      <c r="DZ136" s="14" t="str">
        <f t="shared" si="349"/>
        <v xml:space="preserve"> </v>
      </c>
      <c r="EA136" s="14" t="str">
        <f t="shared" si="350"/>
        <v xml:space="preserve"> </v>
      </c>
      <c r="EB136" s="14" t="str">
        <f t="shared" si="351"/>
        <v xml:space="preserve"> </v>
      </c>
      <c r="EC136" s="14" t="str">
        <f t="shared" si="352"/>
        <v xml:space="preserve"> </v>
      </c>
      <c r="ED136" s="14" t="str">
        <f t="shared" si="353"/>
        <v xml:space="preserve"> </v>
      </c>
      <c r="EE136" s="27" t="str">
        <f t="shared" si="483"/>
        <v xml:space="preserve"> </v>
      </c>
      <c r="EF136" s="14" t="str">
        <f t="shared" si="355"/>
        <v xml:space="preserve"> </v>
      </c>
      <c r="EG136" s="14" t="str">
        <f t="shared" si="356"/>
        <v xml:space="preserve"> </v>
      </c>
      <c r="EH136" s="14" t="str">
        <f t="shared" si="357"/>
        <v xml:space="preserve"> </v>
      </c>
      <c r="EI136" s="14" t="str">
        <f t="shared" si="358"/>
        <v xml:space="preserve"> </v>
      </c>
      <c r="EJ136" s="14" t="str">
        <f t="shared" si="359"/>
        <v xml:space="preserve"> </v>
      </c>
      <c r="EK136" s="27" t="str">
        <f t="shared" si="483"/>
        <v xml:space="preserve"> </v>
      </c>
      <c r="EL136" s="14" t="str">
        <f t="shared" si="361"/>
        <v xml:space="preserve"> </v>
      </c>
      <c r="EM136" s="14" t="str">
        <f t="shared" si="362"/>
        <v xml:space="preserve"> </v>
      </c>
      <c r="EN136" s="14" t="str">
        <f t="shared" si="363"/>
        <v xml:space="preserve"> </v>
      </c>
      <c r="EO136" s="14" t="str">
        <f t="shared" si="364"/>
        <v xml:space="preserve"> </v>
      </c>
      <c r="EP136" s="14" t="str">
        <f t="shared" si="365"/>
        <v xml:space="preserve"> </v>
      </c>
      <c r="EQ136" s="27" t="str">
        <f t="shared" si="484"/>
        <v xml:space="preserve"> </v>
      </c>
      <c r="ER136" s="14" t="str">
        <f t="shared" si="367"/>
        <v xml:space="preserve"> </v>
      </c>
      <c r="ES136" s="14" t="str">
        <f t="shared" si="368"/>
        <v xml:space="preserve"> </v>
      </c>
      <c r="ET136" s="14" t="str">
        <f t="shared" si="369"/>
        <v xml:space="preserve"> </v>
      </c>
      <c r="EU136" s="14" t="str">
        <f t="shared" si="370"/>
        <v xml:space="preserve"> </v>
      </c>
      <c r="EV136" s="14" t="str">
        <f t="shared" si="371"/>
        <v xml:space="preserve"> </v>
      </c>
      <c r="EW136" s="27" t="str">
        <f t="shared" si="484"/>
        <v xml:space="preserve"> </v>
      </c>
      <c r="EX136" s="14" t="str">
        <f t="shared" si="373"/>
        <v xml:space="preserve"> </v>
      </c>
      <c r="EY136" s="14" t="str">
        <f t="shared" si="374"/>
        <v xml:space="preserve"> </v>
      </c>
      <c r="EZ136" s="14" t="str">
        <f t="shared" si="375"/>
        <v xml:space="preserve"> </v>
      </c>
      <c r="FA136" s="14" t="str">
        <f t="shared" si="376"/>
        <v xml:space="preserve"> </v>
      </c>
      <c r="FB136" s="14" t="str">
        <f t="shared" si="377"/>
        <v xml:space="preserve"> </v>
      </c>
      <c r="FC136" s="27" t="str">
        <f t="shared" si="484"/>
        <v xml:space="preserve"> </v>
      </c>
      <c r="FD136" s="14" t="str">
        <f t="shared" si="379"/>
        <v xml:space="preserve"> </v>
      </c>
      <c r="FE136" s="14" t="str">
        <f t="shared" si="380"/>
        <v xml:space="preserve"> </v>
      </c>
      <c r="FF136" s="14" t="str">
        <f t="shared" si="381"/>
        <v xml:space="preserve"> </v>
      </c>
      <c r="FG136" s="14" t="str">
        <f t="shared" si="382"/>
        <v xml:space="preserve"> </v>
      </c>
      <c r="FH136" s="14" t="str">
        <f t="shared" si="383"/>
        <v xml:space="preserve"> </v>
      </c>
      <c r="FI136" s="27" t="str">
        <f t="shared" si="484"/>
        <v xml:space="preserve"> </v>
      </c>
      <c r="FJ136" s="14" t="str">
        <f t="shared" si="385"/>
        <v xml:space="preserve"> </v>
      </c>
      <c r="FK136" s="14" t="str">
        <f t="shared" si="386"/>
        <v xml:space="preserve"> </v>
      </c>
      <c r="FL136" s="14" t="str">
        <f t="shared" si="387"/>
        <v xml:space="preserve"> </v>
      </c>
      <c r="FM136" s="14" t="str">
        <f t="shared" si="388"/>
        <v xml:space="preserve"> </v>
      </c>
      <c r="FN136" s="14" t="str">
        <f t="shared" si="389"/>
        <v xml:space="preserve"> </v>
      </c>
      <c r="FO136" s="27" t="str">
        <f t="shared" si="484"/>
        <v xml:space="preserve"> </v>
      </c>
      <c r="FP136" s="14" t="str">
        <f t="shared" si="391"/>
        <v xml:space="preserve"> </v>
      </c>
      <c r="FQ136" s="14" t="str">
        <f t="shared" si="392"/>
        <v xml:space="preserve"> </v>
      </c>
      <c r="FR136" s="14" t="str">
        <f t="shared" si="393"/>
        <v xml:space="preserve"> </v>
      </c>
      <c r="FS136" s="14" t="str">
        <f t="shared" si="394"/>
        <v xml:space="preserve"> </v>
      </c>
      <c r="FT136" s="14" t="str">
        <f t="shared" si="395"/>
        <v xml:space="preserve"> </v>
      </c>
      <c r="FU136" s="27" t="str">
        <f t="shared" si="484"/>
        <v xml:space="preserve"> </v>
      </c>
      <c r="FV136" s="14" t="str">
        <f t="shared" si="397"/>
        <v xml:space="preserve"> </v>
      </c>
      <c r="FW136" s="14" t="str">
        <f t="shared" si="398"/>
        <v xml:space="preserve"> </v>
      </c>
      <c r="FX136" s="14" t="str">
        <f t="shared" si="399"/>
        <v xml:space="preserve"> </v>
      </c>
      <c r="FY136" s="14" t="str">
        <f t="shared" si="400"/>
        <v xml:space="preserve"> </v>
      </c>
      <c r="FZ136" s="14" t="str">
        <f t="shared" si="401"/>
        <v xml:space="preserve"> </v>
      </c>
      <c r="GA136" s="27" t="str">
        <f t="shared" si="484"/>
        <v xml:space="preserve"> </v>
      </c>
      <c r="GB136" s="14" t="str">
        <f t="shared" si="403"/>
        <v xml:space="preserve"> </v>
      </c>
      <c r="GC136" s="14" t="str">
        <f t="shared" si="404"/>
        <v xml:space="preserve"> </v>
      </c>
      <c r="GD136" s="14" t="str">
        <f t="shared" si="405"/>
        <v xml:space="preserve"> </v>
      </c>
      <c r="GE136" s="14" t="str">
        <f t="shared" si="406"/>
        <v xml:space="preserve"> </v>
      </c>
      <c r="GF136" s="14" t="str">
        <f t="shared" si="407"/>
        <v xml:space="preserve"> </v>
      </c>
      <c r="GG136" s="27" t="str">
        <f t="shared" si="484"/>
        <v xml:space="preserve"> </v>
      </c>
      <c r="GH136" s="14" t="str">
        <f t="shared" si="409"/>
        <v xml:space="preserve"> </v>
      </c>
      <c r="GI136" s="14" t="str">
        <f t="shared" si="410"/>
        <v xml:space="preserve"> </v>
      </c>
      <c r="GJ136" s="14" t="str">
        <f t="shared" si="411"/>
        <v xml:space="preserve"> </v>
      </c>
      <c r="GK136" s="14" t="str">
        <f t="shared" si="412"/>
        <v xml:space="preserve"> </v>
      </c>
      <c r="GL136" s="14" t="str">
        <f t="shared" si="413"/>
        <v xml:space="preserve"> </v>
      </c>
      <c r="GM136" s="27" t="str">
        <f t="shared" si="484"/>
        <v xml:space="preserve"> </v>
      </c>
      <c r="GN136" s="14" t="str">
        <f t="shared" si="415"/>
        <v xml:space="preserve"> </v>
      </c>
      <c r="GO136" s="14" t="str">
        <f t="shared" si="416"/>
        <v xml:space="preserve"> </v>
      </c>
      <c r="GP136" s="14" t="str">
        <f t="shared" si="417"/>
        <v xml:space="preserve"> </v>
      </c>
      <c r="GQ136" s="14" t="str">
        <f t="shared" si="418"/>
        <v xml:space="preserve"> </v>
      </c>
      <c r="GR136" s="14" t="str">
        <f t="shared" si="419"/>
        <v xml:space="preserve"> </v>
      </c>
      <c r="GS136" s="27" t="str">
        <f t="shared" si="484"/>
        <v xml:space="preserve"> </v>
      </c>
      <c r="GT136" s="14" t="str">
        <f t="shared" si="421"/>
        <v xml:space="preserve"> </v>
      </c>
      <c r="GU136" s="14" t="str">
        <f t="shared" si="422"/>
        <v xml:space="preserve"> </v>
      </c>
      <c r="GV136" s="14" t="str">
        <f t="shared" si="423"/>
        <v xml:space="preserve"> </v>
      </c>
      <c r="GW136" s="14" t="str">
        <f t="shared" si="424"/>
        <v xml:space="preserve"> </v>
      </c>
      <c r="GX136" s="14" t="str">
        <f t="shared" si="425"/>
        <v xml:space="preserve"> </v>
      </c>
      <c r="GY136" s="27" t="str">
        <f t="shared" si="484"/>
        <v xml:space="preserve"> </v>
      </c>
      <c r="GZ136" s="14" t="str">
        <f t="shared" si="427"/>
        <v xml:space="preserve"> </v>
      </c>
      <c r="HA136" s="14" t="str">
        <f t="shared" si="428"/>
        <v xml:space="preserve"> </v>
      </c>
      <c r="HB136" s="14" t="str">
        <f t="shared" si="429"/>
        <v xml:space="preserve"> </v>
      </c>
      <c r="HC136" s="14" t="str">
        <f t="shared" si="430"/>
        <v xml:space="preserve"> </v>
      </c>
      <c r="HD136" s="14" t="str">
        <f t="shared" si="431"/>
        <v xml:space="preserve"> </v>
      </c>
      <c r="HE136" s="27" t="str">
        <f t="shared" si="485"/>
        <v xml:space="preserve"> </v>
      </c>
      <c r="HF136" s="14" t="str">
        <f t="shared" si="433"/>
        <v xml:space="preserve"> </v>
      </c>
      <c r="HG136" s="14" t="str">
        <f t="shared" si="434"/>
        <v xml:space="preserve"> </v>
      </c>
      <c r="HH136" s="14" t="str">
        <f t="shared" si="435"/>
        <v xml:space="preserve"> </v>
      </c>
      <c r="HI136" s="14" t="str">
        <f t="shared" si="436"/>
        <v xml:space="preserve"> </v>
      </c>
      <c r="HJ136" s="14" t="str">
        <f t="shared" si="437"/>
        <v xml:space="preserve"> </v>
      </c>
      <c r="HK136" s="27" t="str">
        <f t="shared" si="485"/>
        <v xml:space="preserve"> </v>
      </c>
      <c r="HL136" s="14" t="str">
        <f t="shared" si="439"/>
        <v xml:space="preserve"> </v>
      </c>
      <c r="HM136" s="14" t="str">
        <f t="shared" si="440"/>
        <v xml:space="preserve"> </v>
      </c>
      <c r="HN136" s="14" t="str">
        <f t="shared" si="441"/>
        <v xml:space="preserve"> </v>
      </c>
      <c r="HO136" s="14" t="str">
        <f t="shared" si="442"/>
        <v xml:space="preserve"> </v>
      </c>
      <c r="HP136" s="14" t="str">
        <f t="shared" si="443"/>
        <v xml:space="preserve"> </v>
      </c>
      <c r="HQ136" s="27" t="str">
        <f t="shared" si="485"/>
        <v xml:space="preserve"> </v>
      </c>
    </row>
    <row r="137" spans="1:225" ht="15.75" customHeight="1">
      <c r="A137" s="7">
        <f t="shared" ref="A137:C137" si="500">A29</f>
        <v>0</v>
      </c>
      <c r="B137" s="7">
        <f t="shared" si="500"/>
        <v>0</v>
      </c>
      <c r="C137" s="7" t="str">
        <f t="shared" si="500"/>
        <v>enthusiasm</v>
      </c>
      <c r="D137" s="14" t="str">
        <f t="shared" si="446"/>
        <v xml:space="preserve"> </v>
      </c>
      <c r="E137" s="14" t="str">
        <f t="shared" si="447"/>
        <v xml:space="preserve"> </v>
      </c>
      <c r="F137" s="14" t="str">
        <f t="shared" si="448"/>
        <v xml:space="preserve"> </v>
      </c>
      <c r="G137" s="14" t="str">
        <f t="shared" si="449"/>
        <v xml:space="preserve">attention to details(1.1), efficiency(1), user rules and manuals(2.1), organizational rules and manuals(2.1),  </v>
      </c>
      <c r="H137" s="14" t="str">
        <f t="shared" si="450"/>
        <v xml:space="preserve">efficiency(-1,6.25%),  </v>
      </c>
      <c r="I137" s="27" t="str">
        <f t="shared" ref="I137" si="501">IF(I29="",I138,$C137&amp;"("&amp;I29&amp;"),"&amp;I138)</f>
        <v xml:space="preserve">efficiency(6.25), </v>
      </c>
      <c r="J137" s="14" t="str">
        <f t="shared" si="229"/>
        <v xml:space="preserve">enthusiasm(1)
 </v>
      </c>
      <c r="K137" s="14" t="str">
        <f t="shared" si="230"/>
        <v xml:space="preserve">enthusiasm(-1,25%),  </v>
      </c>
      <c r="L137" s="14" t="str">
        <f t="shared" si="231"/>
        <v xml:space="preserve">enthusiasm(25)
 </v>
      </c>
      <c r="M137" s="14" t="str">
        <f t="shared" si="232"/>
        <v xml:space="preserve">efficiency(0.1), organizational rules and manuals(1.1),  </v>
      </c>
      <c r="N137" s="14" t="str">
        <f t="shared" si="233"/>
        <v xml:space="preserve">agility(-1,6.75%), ambition(-1,6.75%), fun-ness(-1,6.75%), initiative(-1,6.75%),  </v>
      </c>
      <c r="O137" s="27" t="str">
        <f t="shared" si="482"/>
        <v xml:space="preserve">agility(6.75),ambition(6.75),fun-ness(6.75),initiative(6.75), </v>
      </c>
      <c r="P137" s="14" t="str">
        <f t="shared" si="235"/>
        <v xml:space="preserve"> </v>
      </c>
      <c r="Q137" s="14" t="str">
        <f t="shared" si="236"/>
        <v xml:space="preserve"> </v>
      </c>
      <c r="R137" s="14" t="str">
        <f t="shared" si="237"/>
        <v xml:space="preserve"> </v>
      </c>
      <c r="S137" s="14" t="str">
        <f t="shared" si="238"/>
        <v xml:space="preserve">ambition(1), attention to details(0.1), community manager(0.1), team building(0.1),  </v>
      </c>
      <c r="T137" s="14" t="str">
        <f t="shared" si="239"/>
        <v xml:space="preserve">ambition(-1,%), business model(-1,6.25%), web(-1,6.25%), mobile apps(-1,6.25%), aesthetics(-1,6.25%),  </v>
      </c>
      <c r="U137" s="27" t="str">
        <f t="shared" si="482"/>
        <v xml:space="preserve">business model(6.25),web(6.25),mobile apps(6.25),aesthetics(6.25), </v>
      </c>
      <c r="V137" s="14" t="str">
        <f t="shared" si="241"/>
        <v xml:space="preserve"> </v>
      </c>
      <c r="W137" s="14" t="str">
        <f t="shared" si="242"/>
        <v xml:space="preserve">enthusiasm(-1,25%), efficiency(-1,25%),  </v>
      </c>
      <c r="X137" s="14" t="str">
        <f t="shared" si="243"/>
        <v xml:space="preserve">enthusiasm(25)
efficiency(25)
 </v>
      </c>
      <c r="Y137" s="14" t="str">
        <f t="shared" si="244"/>
        <v xml:space="preserve">community manager(0.1), administrator(0.1), spaciousness(1), ease of access(3), reputation(2), user rules and manuals(0.1), project management(0.1), negotiation(0.1),  </v>
      </c>
      <c r="Z137" s="14" t="str">
        <f t="shared" si="245"/>
        <v xml:space="preserve">reputation(-1,%),  </v>
      </c>
      <c r="AA137" s="27" t="str">
        <f t="shared" si="482"/>
        <v xml:space="preserve"> </v>
      </c>
      <c r="AB137" s="14" t="str">
        <f t="shared" si="247"/>
        <v xml:space="preserve"> </v>
      </c>
      <c r="AC137" s="14" t="str">
        <f t="shared" si="248"/>
        <v xml:space="preserve"> </v>
      </c>
      <c r="AD137" s="14" t="str">
        <f t="shared" si="249"/>
        <v xml:space="preserve"> </v>
      </c>
      <c r="AE137" s="14" t="str">
        <f t="shared" si="250"/>
        <v xml:space="preserve">attention to details(0.1), seriousness(0.1), initiative(0.1), spaciousness(1), user rules and manuals(1.1), organizational rules and manuals(1.1),  </v>
      </c>
      <c r="AF137" s="14" t="str">
        <f t="shared" si="251"/>
        <v xml:space="preserve">enthusiasm(-1,%), local biz(-1,6.25%), investors(-1,6.25%), non-profits(-1,6.25%), efficiency(-1,6.25%),  </v>
      </c>
      <c r="AG137" s="27" t="str">
        <f t="shared" si="482"/>
        <v xml:space="preserve">local biz(6.25),investors(6.25),non-profits(6.25),efficiency(6.25), </v>
      </c>
      <c r="AH137" s="14" t="str">
        <f t="shared" si="253"/>
        <v xml:space="preserve">fun-ness(1)
ease of access(1)
reputation(1)
 </v>
      </c>
      <c r="AI137" s="14" t="str">
        <f t="shared" si="254"/>
        <v xml:space="preserve"> </v>
      </c>
      <c r="AJ137" s="14" t="str">
        <f t="shared" si="255"/>
        <v xml:space="preserve"> </v>
      </c>
      <c r="AK137" s="14" t="str">
        <f t="shared" si="256"/>
        <v xml:space="preserve">attention to details(2.1), seriousness(2.1), community manager(2.1), administrator(2.1), spaciousness(1), ease of access(1), reputation(2), user rules and manuals(2.1), organizational rules and manuals(2.1), law(1.1), negotiation(1.1),  </v>
      </c>
      <c r="AL137" s="14" t="str">
        <f t="shared" si="257"/>
        <v xml:space="preserve">govt(-1,6.25%), non-profits(-1,6.25%), reputation(-1,6.25%),  </v>
      </c>
      <c r="AM137" s="27" t="str">
        <f t="shared" si="482"/>
        <v xml:space="preserve">govt(6.25),non-profits(6.25),reputation(6.25), </v>
      </c>
      <c r="AN137" s="14" t="str">
        <f t="shared" si="259"/>
        <v xml:space="preserve">fun-ness(1)
seriousness(1)
 </v>
      </c>
      <c r="AO137" s="14" t="str">
        <f t="shared" si="260"/>
        <v xml:space="preserve">enthusiasm(-1,25%),  </v>
      </c>
      <c r="AP137" s="14" t="str">
        <f t="shared" si="261"/>
        <v xml:space="preserve">enthusiasm(25)
 </v>
      </c>
      <c r="AQ137" s="14" t="str">
        <f t="shared" si="262"/>
        <v xml:space="preserve">fun-ness(1), spaciousness(2.1), reputation(3), organizational rules and manuals(2.1), team building(2.1),  </v>
      </c>
      <c r="AR137" s="14" t="str">
        <f t="shared" si="263"/>
        <v xml:space="preserve">enthusiasm(-1,12.5%), fun-ness(-1,6.25%), reputation(-1,6.25%), efficiency(-1,6.25%),  </v>
      </c>
      <c r="AS137" s="27" t="str">
        <f t="shared" si="482"/>
        <v xml:space="preserve">enthusiasm(12.5),fun-ness(6.25),reputation(6.25),efficiency(6.25), </v>
      </c>
      <c r="AT137" s="14" t="str">
        <f t="shared" si="265"/>
        <v xml:space="preserve"> </v>
      </c>
      <c r="AU137" s="14" t="str">
        <f t="shared" si="266"/>
        <v xml:space="preserve"> </v>
      </c>
      <c r="AV137" s="14" t="str">
        <f t="shared" si="267"/>
        <v xml:space="preserve"> </v>
      </c>
      <c r="AW137" s="14" t="str">
        <f t="shared" si="268"/>
        <v xml:space="preserve">attention to details(3.1), fun-ness(3.1), seriousness(3.1), initiative(2.1), leader(2.1), community manager(2.1), user rules and manuals(2.1), team building(2.1),  </v>
      </c>
      <c r="AX137" s="14" t="str">
        <f t="shared" si="269"/>
        <v xml:space="preserve"> </v>
      </c>
      <c r="AY137" s="27" t="str">
        <f t="shared" si="482"/>
        <v xml:space="preserve"> </v>
      </c>
      <c r="AZ137" s="14" t="str">
        <f t="shared" si="271"/>
        <v xml:space="preserve"> </v>
      </c>
      <c r="BA137" s="14" t="str">
        <f t="shared" si="272"/>
        <v xml:space="preserve">attention to details(1,12.5%), fun-ness(-1,12.5%), seriousness(1,12.5%), efficiency(-1,12.5%), user rules and manuals(1,25%),  </v>
      </c>
      <c r="BB137" s="14" t="str">
        <f t="shared" si="273"/>
        <v xml:space="preserve">attention to details(12.5)
fun-ness(12.5)
seriousness(12.5)
efficiency(12.5)
user rules and manuals(25)
 </v>
      </c>
      <c r="BC137" s="14" t="str">
        <f t="shared" si="274"/>
        <v xml:space="preserve">agility(1.1), attention to details(1.1), seriousness(1.1), community manager(1.1), administrator(1.1), user rules and manuals(2.1), organizational rules and manuals(2.1),  </v>
      </c>
      <c r="BD137" s="14" t="str">
        <f t="shared" si="275"/>
        <v xml:space="preserve">enthusiasm(-1,6.25%), reputation(-1,6.25%),  </v>
      </c>
      <c r="BE137" s="27" t="str">
        <f t="shared" si="482"/>
        <v xml:space="preserve">enthusiasm(6.25),reputation(6.25), </v>
      </c>
      <c r="BF137" s="14" t="str">
        <f t="shared" si="277"/>
        <v xml:space="preserve"> </v>
      </c>
      <c r="BG137" s="14" t="str">
        <f t="shared" si="278"/>
        <v xml:space="preserve">enthusiasm(-1,25%), attention to details(1,25%), fun-ness(-1,25%), seriousness(1,25%), user rules and manuals(1,25%), organizational rules and manuals(1,25%),  </v>
      </c>
      <c r="BH137" s="14" t="str">
        <f t="shared" si="279"/>
        <v xml:space="preserve">enthusiasm(25)
attention to details(25)
fun-ness(25)
seriousness(25)
user rules and manuals(25)
organizational rules and manuals(25)
 </v>
      </c>
      <c r="BI137" s="14" t="str">
        <f t="shared" si="280"/>
        <v xml:space="preserve">enthusiasm(1), fun-ness(1), seriousness(2.1), community manager(1.1), administrator(1.1),  </v>
      </c>
      <c r="BJ137" s="14" t="str">
        <f t="shared" si="281"/>
        <v xml:space="preserve">reputation(-1,6.25%), efficiency(-1,25%),  </v>
      </c>
      <c r="BK137" s="27" t="str">
        <f t="shared" si="482"/>
        <v xml:space="preserve">reputation(6.25),efficiency(25), </v>
      </c>
      <c r="BL137" s="14" t="str">
        <f t="shared" si="283"/>
        <v xml:space="preserve">local biz(1)
ease of access(1)
reputation(1)
aesthetics(1)
 </v>
      </c>
      <c r="BM137" s="14" t="str">
        <f t="shared" si="284"/>
        <v xml:space="preserve">biz enhancement(1,%),  </v>
      </c>
      <c r="BN137" s="14" t="str">
        <f t="shared" si="285"/>
        <v xml:space="preserve"> </v>
      </c>
      <c r="BO137" s="14" t="str">
        <f t="shared" si="286"/>
        <v xml:space="preserve">enthusiasm(1), agility(2), attention to details(2), initiative(1), community manager(1), PR(1), administrator(2), ease of access(2), reputation(3), efficiency(2), user rules and manuals(1), marketing(1), negotiation(1), aesthetics(2), functions(1), safety(1),  </v>
      </c>
      <c r="BP137" s="14" t="str">
        <f t="shared" si="287"/>
        <v xml:space="preserve">local biz(1,6.25%),  </v>
      </c>
      <c r="BQ137" s="27" t="str">
        <f t="shared" si="482"/>
        <v xml:space="preserve">local biz(6.25), </v>
      </c>
      <c r="BR137" s="14" t="str">
        <f t="shared" si="289"/>
        <v xml:space="preserve">local biz(1)
ease of access(1)
reputation(1)
aesthetics(1)
 </v>
      </c>
      <c r="BS137" s="14" t="str">
        <f t="shared" si="290"/>
        <v xml:space="preserve">biz project(1,%),  </v>
      </c>
      <c r="BT137" s="14" t="str">
        <f t="shared" si="291"/>
        <v xml:space="preserve"> </v>
      </c>
      <c r="BU137" s="14" t="str">
        <f t="shared" si="292"/>
        <v xml:space="preserve">enthusiasm(1), agility(2), attention to details(2), initiative(1), community manager(1), PR(1), administrator(2), ease of access(2), reputation(3), efficiency(2), user rules and manuals(1), marketing(1), negotiation(1), wood processing(1), aesthetics(2),  </v>
      </c>
      <c r="BV137" s="14" t="str">
        <f t="shared" si="293"/>
        <v xml:space="preserve">local biz(1,6.25%),  </v>
      </c>
      <c r="BW137" s="27" t="str">
        <f t="shared" si="482"/>
        <v xml:space="preserve">local biz(6.25), </v>
      </c>
      <c r="BX137" s="14" t="str">
        <f t="shared" si="295"/>
        <v xml:space="preserve">local biz(1)
ease of access(1)
reputation(1)
aesthetics(1)
interaction(1)
 </v>
      </c>
      <c r="BY137" s="14" t="str">
        <f t="shared" si="296"/>
        <v xml:space="preserve">biz project(1,%),  </v>
      </c>
      <c r="BZ137" s="14" t="str">
        <f t="shared" si="297"/>
        <v xml:space="preserve"> </v>
      </c>
      <c r="CA137" s="14" t="str">
        <f t="shared" si="298"/>
        <v xml:space="preserve">enthusiasm(1), 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7" s="14" t="str">
        <f t="shared" si="299"/>
        <v xml:space="preserve">local biz(1,6.25%),  </v>
      </c>
      <c r="CC137" s="27" t="str">
        <f t="shared" si="483"/>
        <v xml:space="preserve">local biz(6.25), </v>
      </c>
      <c r="CD137" s="14" t="str">
        <f t="shared" si="301"/>
        <v xml:space="preserve">ease of access(1)
reputation(1)
aesthetics(1)
 </v>
      </c>
      <c r="CE137" s="14" t="str">
        <f t="shared" si="302"/>
        <v xml:space="preserve">biz project(1,%),  </v>
      </c>
      <c r="CF137" s="14" t="str">
        <f t="shared" si="303"/>
        <v xml:space="preserve"> </v>
      </c>
      <c r="CG137" s="14" t="str">
        <f t="shared" si="304"/>
        <v xml:space="preserve">enthusiasm(1), initiative(1), community manager(1), PR(1), administrator(2), ease of access(2), efficiency(2), user rules and manuals(1), marketing(1), team building(1), negotiation(1), infrastructrue(1), database(2), mobile apps(2), security(3), aesthetics(2), functions(1), interaction(2),  </v>
      </c>
      <c r="CH137" s="14" t="str">
        <f t="shared" si="305"/>
        <v xml:space="preserve">local biz(1,6.25%),  </v>
      </c>
      <c r="CI137" s="27" t="str">
        <f t="shared" si="483"/>
        <v xml:space="preserve">local biz(6.25), </v>
      </c>
      <c r="CJ137" s="14" t="str">
        <f t="shared" si="307"/>
        <v xml:space="preserve">ease of access(1)
reputation(1)
aesthetics(1)
 </v>
      </c>
      <c r="CK137" s="14" t="str">
        <f t="shared" si="308"/>
        <v xml:space="preserve">biz project(1,%),  </v>
      </c>
      <c r="CL137" s="14" t="str">
        <f t="shared" si="309"/>
        <v xml:space="preserve"> </v>
      </c>
      <c r="CM137" s="14" t="str">
        <f t="shared" si="310"/>
        <v xml:space="preserve">enthusiasm(1), 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7" s="14" t="str">
        <f t="shared" si="311"/>
        <v xml:space="preserve">local biz(1,6.25%),  </v>
      </c>
      <c r="CO137" s="27" t="str">
        <f t="shared" si="483"/>
        <v xml:space="preserve">local biz(6.25), </v>
      </c>
      <c r="CP137" s="14" t="str">
        <f t="shared" si="313"/>
        <v xml:space="preserve">local biz(1)
metal processing(1)
functions(1)
 </v>
      </c>
      <c r="CQ137" s="14" t="str">
        <f t="shared" si="314"/>
        <v xml:space="preserve">local biz(1,50%), biz enhancement(1,50%),  </v>
      </c>
      <c r="CR137" s="14" t="str">
        <f t="shared" si="315"/>
        <v xml:space="preserve">local biz(50)
biz enhancement(50)
 </v>
      </c>
      <c r="CS137" s="14" t="str">
        <f t="shared" si="316"/>
        <v xml:space="preserve">enthusiasm(1), agility(2), attention to details(2), initiative(1), community manager(1), ease of access(2), reputation(3), efficiency(2), metal processing(2), electronics(2), aesthetics(2), functions(2), safety(2),  </v>
      </c>
      <c r="CT137" s="14" t="str">
        <f t="shared" si="317"/>
        <v xml:space="preserve">reputation(1,6.25%),  </v>
      </c>
      <c r="CU137" s="27" t="str">
        <f t="shared" si="483"/>
        <v xml:space="preserve">reputation(6.25), </v>
      </c>
      <c r="CV137" s="14" t="str">
        <f t="shared" si="319"/>
        <v xml:space="preserve">non-profits(1)
wood processing(1)
aesthetics(1)
interaction(1)
 </v>
      </c>
      <c r="CW137" s="14" t="str">
        <f t="shared" si="320"/>
        <v xml:space="preserve">non-profits(1,50%), social project(1,50%),  </v>
      </c>
      <c r="CX137" s="14" t="str">
        <f t="shared" si="321"/>
        <v xml:space="preserve">non-profits(50)
social project(50)
 </v>
      </c>
      <c r="CY137" s="14" t="str">
        <f t="shared" si="322"/>
        <v xml:space="preserve">enthusiasm(4), agility(2), ambition(4), attention to details(2), fun-ness(2), administrator(2), ease of access(2), efficiency(3), sensors(2), wood processing(2), plastic processing(2), electronics(2), aesthetics(2), functions(1), safety(1), interaction(2),  </v>
      </c>
      <c r="CZ137" s="14" t="str">
        <f t="shared" si="323"/>
        <v xml:space="preserve">media(1,6.25%), reputation(1,6.25%), portfolio(1,6.25%),  </v>
      </c>
      <c r="DA137" s="27" t="str">
        <f t="shared" si="483"/>
        <v xml:space="preserve">media(6.25),reputation(6.25),portfolio(6.25), </v>
      </c>
      <c r="DB137" s="14" t="str">
        <f t="shared" si="325"/>
        <v xml:space="preserve">non-profits(1)
aesthetics(1)
interaction(1)
 </v>
      </c>
      <c r="DC137" s="14" t="str">
        <f t="shared" si="326"/>
        <v xml:space="preserve">non-profits(1,50%), social project(1,50%),  </v>
      </c>
      <c r="DD137" s="14" t="str">
        <f t="shared" si="327"/>
        <v xml:space="preserve">non-profits(50)
social project(50)
 </v>
      </c>
      <c r="DE137" s="14" t="str">
        <f t="shared" si="328"/>
        <v xml:space="preserve">enthusiasm(4), agility(2), ambition(4), attention to details(2), fun-ness(2), administrator(2), ease of access(2), efficiency(3), VR&amp;AR(2),  </v>
      </c>
      <c r="DF137" s="14" t="str">
        <f t="shared" si="329"/>
        <v xml:space="preserve">media(1,6.25%), reputation(1,6.25%), portfolio(1,6.25%),  </v>
      </c>
      <c r="DG137" s="27" t="str">
        <f t="shared" si="483"/>
        <v xml:space="preserve">media(6.25),reputation(6.25),portfolio(6.25), </v>
      </c>
      <c r="DH137" s="14" t="str">
        <f t="shared" si="331"/>
        <v xml:space="preserve">wood processing(1)
aesthetics(1)
safety(1)
 </v>
      </c>
      <c r="DI137" s="14" t="str">
        <f t="shared" si="332"/>
        <v xml:space="preserve">social project(1,100%),  </v>
      </c>
      <c r="DJ137" s="14" t="str">
        <f t="shared" si="333"/>
        <v xml:space="preserve">social project(100)
 </v>
      </c>
      <c r="DK137" s="14" t="str">
        <f t="shared" si="334"/>
        <v xml:space="preserve">enthusiasm(3), 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7" s="14" t="str">
        <f t="shared" si="335"/>
        <v xml:space="preserve">enthusiasm(1,6.25%), agility(1,6.25%), fun-ness(1,6.25%), reputation(1,6.25%), portfolio(1,6.25%), team building(1,6.25%),  </v>
      </c>
      <c r="DM137" s="27" t="str">
        <f t="shared" si="483"/>
        <v xml:space="preserve">enthusiasm(6.25),agility(6.25),fun-ness(6.25),reputation(6.25),portfolio(6.25),team building(6.25), </v>
      </c>
      <c r="DN137" s="14" t="str">
        <f t="shared" si="337"/>
        <v xml:space="preserve">agility(1)
attention to details(2)
fun-ness(2)
initiative(1)
community manager(1)
fame(1)
network(2)
suppliers(2)
spaciousness(1)
ease of access(2)
reputation(3)
project management(2)
wood processing(1)
plastic processing(1)
electronics(1)
aesthetics(2)
functions(1)
safety(1)
biz project(1)
 </v>
      </c>
      <c r="DO137" s="14" t="str">
        <f t="shared" si="338"/>
        <v xml:space="preserve">reputation(1,25%), portfolio(1,50%),  </v>
      </c>
      <c r="DP137" s="14" t="str">
        <f t="shared" si="339"/>
        <v xml:space="preserve">reputation(25)
portfolio(50)
 </v>
      </c>
      <c r="DQ137" s="14" t="str">
        <f t="shared" si="340"/>
        <v xml:space="preserve">ambition(1), attention to details(3), fun-ness(3), administrator(1), media(3), suppliers(3), social media(2), wood processing(2), plastic processing(2), electronics(2), aesthetics(2),  </v>
      </c>
      <c r="DR137" s="14" t="str">
        <f t="shared" si="341"/>
        <v xml:space="preserve">suppliers(1,6.25%), reputation(1,6.25%),  </v>
      </c>
      <c r="DS137" s="27" t="str">
        <f t="shared" si="483"/>
        <v xml:space="preserve">suppliers(6.25),reputation(6.25), </v>
      </c>
      <c r="DT137" s="14" t="str">
        <f t="shared" si="343"/>
        <v xml:space="preserve">attention to details(2)
leader(1)
fame(1)
network(2)
reputation(3)
portfolio(2)
 </v>
      </c>
      <c r="DU137" s="14" t="str">
        <f t="shared" si="344"/>
        <v xml:space="preserve">fame(1,25%), govt(1,25%), non-profits(1,50%), reputation(1,25%),  </v>
      </c>
      <c r="DV137" s="14" t="str">
        <f t="shared" si="345"/>
        <v xml:space="preserve">fame(25)
govt(25)
non-profits(50)
reputation(25)
 </v>
      </c>
      <c r="DW137" s="14" t="str">
        <f t="shared" si="346"/>
        <v xml:space="preserve">enthusiasm(3), ambition(2), attention to details(2), PR(1), administrator(1), social media(2),  </v>
      </c>
      <c r="DX137" s="14" t="str">
        <f t="shared" si="347"/>
        <v xml:space="preserve">ambition(1,6.25%), fame(1,6.25%), reputation(1,6.25%),  </v>
      </c>
      <c r="DY137" s="27" t="str">
        <f t="shared" si="483"/>
        <v xml:space="preserve">ambition(6.25),fame(6.25),reputation(6.25), </v>
      </c>
      <c r="DZ137" s="14" t="str">
        <f t="shared" si="349"/>
        <v xml:space="preserve"> </v>
      </c>
      <c r="EA137" s="14" t="str">
        <f t="shared" si="350"/>
        <v xml:space="preserve"> </v>
      </c>
      <c r="EB137" s="14" t="str">
        <f t="shared" si="351"/>
        <v xml:space="preserve"> </v>
      </c>
      <c r="EC137" s="14" t="str">
        <f t="shared" si="352"/>
        <v xml:space="preserve"> </v>
      </c>
      <c r="ED137" s="14" t="str">
        <f t="shared" si="353"/>
        <v xml:space="preserve"> </v>
      </c>
      <c r="EE137" s="27" t="str">
        <f t="shared" si="483"/>
        <v xml:space="preserve"> </v>
      </c>
      <c r="EF137" s="14" t="str">
        <f t="shared" si="355"/>
        <v xml:space="preserve"> </v>
      </c>
      <c r="EG137" s="14" t="str">
        <f t="shared" si="356"/>
        <v xml:space="preserve"> </v>
      </c>
      <c r="EH137" s="14" t="str">
        <f t="shared" si="357"/>
        <v xml:space="preserve"> </v>
      </c>
      <c r="EI137" s="14" t="str">
        <f t="shared" si="358"/>
        <v xml:space="preserve"> </v>
      </c>
      <c r="EJ137" s="14" t="str">
        <f t="shared" si="359"/>
        <v xml:space="preserve"> </v>
      </c>
      <c r="EK137" s="27" t="str">
        <f t="shared" si="483"/>
        <v xml:space="preserve"> </v>
      </c>
      <c r="EL137" s="14" t="str">
        <f t="shared" si="361"/>
        <v xml:space="preserve"> </v>
      </c>
      <c r="EM137" s="14" t="str">
        <f t="shared" si="362"/>
        <v xml:space="preserve"> </v>
      </c>
      <c r="EN137" s="14" t="str">
        <f t="shared" si="363"/>
        <v xml:space="preserve"> </v>
      </c>
      <c r="EO137" s="14" t="str">
        <f t="shared" si="364"/>
        <v xml:space="preserve"> </v>
      </c>
      <c r="EP137" s="14" t="str">
        <f t="shared" si="365"/>
        <v xml:space="preserve"> </v>
      </c>
      <c r="EQ137" s="27" t="str">
        <f t="shared" si="484"/>
        <v xml:space="preserve"> </v>
      </c>
      <c r="ER137" s="14" t="str">
        <f t="shared" si="367"/>
        <v xml:space="preserve"> </v>
      </c>
      <c r="ES137" s="14" t="str">
        <f t="shared" si="368"/>
        <v xml:space="preserve"> </v>
      </c>
      <c r="ET137" s="14" t="str">
        <f t="shared" si="369"/>
        <v xml:space="preserve"> </v>
      </c>
      <c r="EU137" s="14" t="str">
        <f t="shared" si="370"/>
        <v xml:space="preserve"> </v>
      </c>
      <c r="EV137" s="14" t="str">
        <f t="shared" si="371"/>
        <v xml:space="preserve"> </v>
      </c>
      <c r="EW137" s="27" t="str">
        <f t="shared" si="484"/>
        <v xml:space="preserve"> </v>
      </c>
      <c r="EX137" s="14" t="str">
        <f t="shared" si="373"/>
        <v xml:space="preserve"> </v>
      </c>
      <c r="EY137" s="14" t="str">
        <f t="shared" si="374"/>
        <v xml:space="preserve"> </v>
      </c>
      <c r="EZ137" s="14" t="str">
        <f t="shared" si="375"/>
        <v xml:space="preserve"> </v>
      </c>
      <c r="FA137" s="14" t="str">
        <f t="shared" si="376"/>
        <v xml:space="preserve"> </v>
      </c>
      <c r="FB137" s="14" t="str">
        <f t="shared" si="377"/>
        <v xml:space="preserve"> </v>
      </c>
      <c r="FC137" s="27" t="str">
        <f t="shared" si="484"/>
        <v xml:space="preserve"> </v>
      </c>
      <c r="FD137" s="14" t="str">
        <f t="shared" si="379"/>
        <v xml:space="preserve"> </v>
      </c>
      <c r="FE137" s="14" t="str">
        <f t="shared" si="380"/>
        <v xml:space="preserve"> </v>
      </c>
      <c r="FF137" s="14" t="str">
        <f t="shared" si="381"/>
        <v xml:space="preserve"> </v>
      </c>
      <c r="FG137" s="14" t="str">
        <f t="shared" si="382"/>
        <v xml:space="preserve"> </v>
      </c>
      <c r="FH137" s="14" t="str">
        <f t="shared" si="383"/>
        <v xml:space="preserve"> </v>
      </c>
      <c r="FI137" s="27" t="str">
        <f t="shared" si="484"/>
        <v xml:space="preserve"> </v>
      </c>
      <c r="FJ137" s="14" t="str">
        <f t="shared" si="385"/>
        <v xml:space="preserve"> </v>
      </c>
      <c r="FK137" s="14" t="str">
        <f t="shared" si="386"/>
        <v xml:space="preserve"> </v>
      </c>
      <c r="FL137" s="14" t="str">
        <f t="shared" si="387"/>
        <v xml:space="preserve"> </v>
      </c>
      <c r="FM137" s="14" t="str">
        <f t="shared" si="388"/>
        <v xml:space="preserve"> </v>
      </c>
      <c r="FN137" s="14" t="str">
        <f t="shared" si="389"/>
        <v xml:space="preserve"> </v>
      </c>
      <c r="FO137" s="27" t="str">
        <f t="shared" si="484"/>
        <v xml:space="preserve"> </v>
      </c>
      <c r="FP137" s="14" t="str">
        <f t="shared" si="391"/>
        <v xml:space="preserve"> </v>
      </c>
      <c r="FQ137" s="14" t="str">
        <f t="shared" si="392"/>
        <v xml:space="preserve"> </v>
      </c>
      <c r="FR137" s="14" t="str">
        <f t="shared" si="393"/>
        <v xml:space="preserve"> </v>
      </c>
      <c r="FS137" s="14" t="str">
        <f t="shared" si="394"/>
        <v xml:space="preserve"> </v>
      </c>
      <c r="FT137" s="14" t="str">
        <f t="shared" si="395"/>
        <v xml:space="preserve"> </v>
      </c>
      <c r="FU137" s="27" t="str">
        <f t="shared" si="484"/>
        <v xml:space="preserve"> </v>
      </c>
      <c r="FV137" s="14" t="str">
        <f t="shared" si="397"/>
        <v xml:space="preserve"> </v>
      </c>
      <c r="FW137" s="14" t="str">
        <f t="shared" si="398"/>
        <v xml:space="preserve"> </v>
      </c>
      <c r="FX137" s="14" t="str">
        <f t="shared" si="399"/>
        <v xml:space="preserve"> </v>
      </c>
      <c r="FY137" s="14" t="str">
        <f t="shared" si="400"/>
        <v xml:space="preserve"> </v>
      </c>
      <c r="FZ137" s="14" t="str">
        <f t="shared" si="401"/>
        <v xml:space="preserve"> </v>
      </c>
      <c r="GA137" s="27" t="str">
        <f t="shared" si="484"/>
        <v xml:space="preserve"> </v>
      </c>
      <c r="GB137" s="14" t="str">
        <f t="shared" si="403"/>
        <v xml:space="preserve"> </v>
      </c>
      <c r="GC137" s="14" t="str">
        <f t="shared" si="404"/>
        <v xml:space="preserve"> </v>
      </c>
      <c r="GD137" s="14" t="str">
        <f t="shared" si="405"/>
        <v xml:space="preserve"> </v>
      </c>
      <c r="GE137" s="14" t="str">
        <f t="shared" si="406"/>
        <v xml:space="preserve"> </v>
      </c>
      <c r="GF137" s="14" t="str">
        <f t="shared" si="407"/>
        <v xml:space="preserve"> </v>
      </c>
      <c r="GG137" s="27" t="str">
        <f t="shared" si="484"/>
        <v xml:space="preserve"> </v>
      </c>
      <c r="GH137" s="14" t="str">
        <f t="shared" si="409"/>
        <v xml:space="preserve"> </v>
      </c>
      <c r="GI137" s="14" t="str">
        <f t="shared" si="410"/>
        <v xml:space="preserve"> </v>
      </c>
      <c r="GJ137" s="14" t="str">
        <f t="shared" si="411"/>
        <v xml:space="preserve"> </v>
      </c>
      <c r="GK137" s="14" t="str">
        <f t="shared" si="412"/>
        <v xml:space="preserve"> </v>
      </c>
      <c r="GL137" s="14" t="str">
        <f t="shared" si="413"/>
        <v xml:space="preserve"> </v>
      </c>
      <c r="GM137" s="27" t="str">
        <f t="shared" si="484"/>
        <v xml:space="preserve"> </v>
      </c>
      <c r="GN137" s="14" t="str">
        <f t="shared" si="415"/>
        <v xml:space="preserve"> </v>
      </c>
      <c r="GO137" s="14" t="str">
        <f t="shared" si="416"/>
        <v xml:space="preserve"> </v>
      </c>
      <c r="GP137" s="14" t="str">
        <f t="shared" si="417"/>
        <v xml:space="preserve"> </v>
      </c>
      <c r="GQ137" s="14" t="str">
        <f t="shared" si="418"/>
        <v xml:space="preserve"> </v>
      </c>
      <c r="GR137" s="14" t="str">
        <f t="shared" si="419"/>
        <v xml:space="preserve"> </v>
      </c>
      <c r="GS137" s="27" t="str">
        <f t="shared" si="484"/>
        <v xml:space="preserve"> </v>
      </c>
      <c r="GT137" s="14" t="str">
        <f t="shared" si="421"/>
        <v xml:space="preserve"> </v>
      </c>
      <c r="GU137" s="14" t="str">
        <f t="shared" si="422"/>
        <v xml:space="preserve"> </v>
      </c>
      <c r="GV137" s="14" t="str">
        <f t="shared" si="423"/>
        <v xml:space="preserve"> </v>
      </c>
      <c r="GW137" s="14" t="str">
        <f t="shared" si="424"/>
        <v xml:space="preserve"> </v>
      </c>
      <c r="GX137" s="14" t="str">
        <f t="shared" si="425"/>
        <v xml:space="preserve"> </v>
      </c>
      <c r="GY137" s="27" t="str">
        <f t="shared" si="484"/>
        <v xml:space="preserve"> </v>
      </c>
      <c r="GZ137" s="14" t="str">
        <f t="shared" si="427"/>
        <v xml:space="preserve"> </v>
      </c>
      <c r="HA137" s="14" t="str">
        <f t="shared" si="428"/>
        <v xml:space="preserve"> </v>
      </c>
      <c r="HB137" s="14" t="str">
        <f t="shared" si="429"/>
        <v xml:space="preserve"> </v>
      </c>
      <c r="HC137" s="14" t="str">
        <f t="shared" si="430"/>
        <v xml:space="preserve"> </v>
      </c>
      <c r="HD137" s="14" t="str">
        <f t="shared" si="431"/>
        <v xml:space="preserve"> </v>
      </c>
      <c r="HE137" s="27" t="str">
        <f t="shared" si="485"/>
        <v xml:space="preserve"> </v>
      </c>
      <c r="HF137" s="14" t="str">
        <f t="shared" si="433"/>
        <v xml:space="preserve"> </v>
      </c>
      <c r="HG137" s="14" t="str">
        <f t="shared" si="434"/>
        <v xml:space="preserve"> </v>
      </c>
      <c r="HH137" s="14" t="str">
        <f t="shared" si="435"/>
        <v xml:space="preserve"> </v>
      </c>
      <c r="HI137" s="14" t="str">
        <f t="shared" si="436"/>
        <v xml:space="preserve"> </v>
      </c>
      <c r="HJ137" s="14" t="str">
        <f t="shared" si="437"/>
        <v xml:space="preserve"> </v>
      </c>
      <c r="HK137" s="27" t="str">
        <f t="shared" si="485"/>
        <v xml:space="preserve"> </v>
      </c>
      <c r="HL137" s="14" t="str">
        <f t="shared" si="439"/>
        <v xml:space="preserve"> </v>
      </c>
      <c r="HM137" s="14" t="str">
        <f t="shared" si="440"/>
        <v xml:space="preserve"> </v>
      </c>
      <c r="HN137" s="14" t="str">
        <f t="shared" si="441"/>
        <v xml:space="preserve"> </v>
      </c>
      <c r="HO137" s="14" t="str">
        <f t="shared" si="442"/>
        <v xml:space="preserve"> </v>
      </c>
      <c r="HP137" s="14" t="str">
        <f t="shared" si="443"/>
        <v xml:space="preserve"> </v>
      </c>
      <c r="HQ137" s="27" t="str">
        <f t="shared" si="485"/>
        <v xml:space="preserve"> </v>
      </c>
    </row>
    <row r="138" spans="1:225" ht="15.75" customHeight="1">
      <c r="A138" s="7">
        <f t="shared" ref="A138:C138" si="502">A30</f>
        <v>0</v>
      </c>
      <c r="B138" s="7">
        <f t="shared" si="502"/>
        <v>0</v>
      </c>
      <c r="C138" s="7" t="str">
        <f t="shared" si="502"/>
        <v>agility</v>
      </c>
      <c r="D138" s="14" t="str">
        <f t="shared" si="446"/>
        <v xml:space="preserve"> </v>
      </c>
      <c r="E138" s="14" t="str">
        <f t="shared" si="447"/>
        <v xml:space="preserve"> </v>
      </c>
      <c r="F138" s="14" t="str">
        <f t="shared" si="448"/>
        <v xml:space="preserve"> </v>
      </c>
      <c r="G138" s="14" t="str">
        <f t="shared" si="449"/>
        <v xml:space="preserve">attention to details(1.1), efficiency(1), user rules and manuals(2.1), organizational rules and manuals(2.1),  </v>
      </c>
      <c r="H138" s="14" t="str">
        <f t="shared" si="450"/>
        <v xml:space="preserve">efficiency(-1,6.25%),  </v>
      </c>
      <c r="I138" s="27" t="str">
        <f t="shared" ref="I138" si="503">IF(I30="",I139,$C138&amp;"("&amp;I30&amp;"),"&amp;I139)</f>
        <v xml:space="preserve">efficiency(6.25), </v>
      </c>
      <c r="J138" s="14" t="str">
        <f t="shared" si="229"/>
        <v xml:space="preserve"> </v>
      </c>
      <c r="K138" s="14" t="str">
        <f t="shared" si="230"/>
        <v xml:space="preserve"> </v>
      </c>
      <c r="L138" s="14" t="str">
        <f t="shared" si="231"/>
        <v xml:space="preserve"> </v>
      </c>
      <c r="M138" s="14" t="str">
        <f t="shared" si="232"/>
        <v xml:space="preserve">efficiency(0.1), organizational rules and manuals(1.1),  </v>
      </c>
      <c r="N138" s="14" t="str">
        <f t="shared" si="233"/>
        <v xml:space="preserve">agility(-1,6.75%), ambition(-1,6.75%), fun-ness(-1,6.75%), initiative(-1,6.75%),  </v>
      </c>
      <c r="O138" s="27" t="str">
        <f t="shared" si="482"/>
        <v xml:space="preserve">agility(6.75),ambition(6.75),fun-ness(6.75),initiative(6.75), </v>
      </c>
      <c r="P138" s="14" t="str">
        <f t="shared" si="235"/>
        <v xml:space="preserve"> </v>
      </c>
      <c r="Q138" s="14" t="str">
        <f t="shared" si="236"/>
        <v xml:space="preserve"> </v>
      </c>
      <c r="R138" s="14" t="str">
        <f t="shared" si="237"/>
        <v xml:space="preserve"> </v>
      </c>
      <c r="S138" s="14" t="str">
        <f t="shared" si="238"/>
        <v xml:space="preserve">ambition(1), attention to details(0.1), community manager(0.1), team building(0.1),  </v>
      </c>
      <c r="T138" s="14" t="str">
        <f t="shared" si="239"/>
        <v xml:space="preserve">ambition(-1,%), business model(-1,6.25%), web(-1,6.25%), mobile apps(-1,6.25%), aesthetics(-1,6.25%),  </v>
      </c>
      <c r="U138" s="27" t="str">
        <f t="shared" si="482"/>
        <v xml:space="preserve">business model(6.25),web(6.25),mobile apps(6.25),aesthetics(6.25), </v>
      </c>
      <c r="V138" s="14" t="str">
        <f t="shared" si="241"/>
        <v xml:space="preserve"> </v>
      </c>
      <c r="W138" s="14" t="str">
        <f t="shared" si="242"/>
        <v xml:space="preserve">efficiency(-1,25%),  </v>
      </c>
      <c r="X138" s="14" t="str">
        <f t="shared" si="243"/>
        <v xml:space="preserve">efficiency(25)
 </v>
      </c>
      <c r="Y138" s="14" t="str">
        <f t="shared" si="244"/>
        <v xml:space="preserve">community manager(0.1), administrator(0.1), spaciousness(1), ease of access(3), reputation(2), user rules and manuals(0.1), project management(0.1), negotiation(0.1),  </v>
      </c>
      <c r="Z138" s="14" t="str">
        <f t="shared" si="245"/>
        <v xml:space="preserve">reputation(-1,%),  </v>
      </c>
      <c r="AA138" s="27" t="str">
        <f t="shared" si="482"/>
        <v xml:space="preserve"> </v>
      </c>
      <c r="AB138" s="14" t="str">
        <f t="shared" si="247"/>
        <v xml:space="preserve"> </v>
      </c>
      <c r="AC138" s="14" t="str">
        <f t="shared" si="248"/>
        <v xml:space="preserve"> </v>
      </c>
      <c r="AD138" s="14" t="str">
        <f t="shared" si="249"/>
        <v xml:space="preserve"> </v>
      </c>
      <c r="AE138" s="14" t="str">
        <f t="shared" si="250"/>
        <v xml:space="preserve">attention to details(0.1), seriousness(0.1), initiative(0.1), spaciousness(1), user rules and manuals(1.1), organizational rules and manuals(1.1),  </v>
      </c>
      <c r="AF138" s="14" t="str">
        <f t="shared" si="251"/>
        <v xml:space="preserve">local biz(-1,6.25%), investors(-1,6.25%), non-profits(-1,6.25%), efficiency(-1,6.25%),  </v>
      </c>
      <c r="AG138" s="27" t="str">
        <f t="shared" si="482"/>
        <v xml:space="preserve">local biz(6.25),investors(6.25),non-profits(6.25),efficiency(6.25), </v>
      </c>
      <c r="AH138" s="14" t="str">
        <f t="shared" si="253"/>
        <v xml:space="preserve">fun-ness(1)
ease of access(1)
reputation(1)
 </v>
      </c>
      <c r="AI138" s="14" t="str">
        <f t="shared" si="254"/>
        <v xml:space="preserve"> </v>
      </c>
      <c r="AJ138" s="14" t="str">
        <f t="shared" si="255"/>
        <v xml:space="preserve"> </v>
      </c>
      <c r="AK138" s="14" t="str">
        <f t="shared" si="256"/>
        <v xml:space="preserve">attention to details(2.1), seriousness(2.1), community manager(2.1), administrator(2.1), spaciousness(1), ease of access(1), reputation(2), user rules and manuals(2.1), organizational rules and manuals(2.1), law(1.1), negotiation(1.1),  </v>
      </c>
      <c r="AL138" s="14" t="str">
        <f t="shared" si="257"/>
        <v xml:space="preserve">govt(-1,6.25%), non-profits(-1,6.25%), reputation(-1,6.25%),  </v>
      </c>
      <c r="AM138" s="27" t="str">
        <f t="shared" si="482"/>
        <v xml:space="preserve">govt(6.25),non-profits(6.25),reputation(6.25), </v>
      </c>
      <c r="AN138" s="14" t="str">
        <f t="shared" si="259"/>
        <v xml:space="preserve">fun-ness(1)
seriousness(1)
 </v>
      </c>
      <c r="AO138" s="14" t="str">
        <f t="shared" si="260"/>
        <v xml:space="preserve"> </v>
      </c>
      <c r="AP138" s="14" t="str">
        <f t="shared" si="261"/>
        <v xml:space="preserve"> </v>
      </c>
      <c r="AQ138" s="14" t="str">
        <f t="shared" si="262"/>
        <v xml:space="preserve">fun-ness(1), spaciousness(2.1), reputation(3), organizational rules and manuals(2.1), team building(2.1),  </v>
      </c>
      <c r="AR138" s="14" t="str">
        <f t="shared" si="263"/>
        <v xml:space="preserve">fun-ness(-1,6.25%), reputation(-1,6.25%), efficiency(-1,6.25%),  </v>
      </c>
      <c r="AS138" s="27" t="str">
        <f t="shared" si="482"/>
        <v xml:space="preserve">fun-ness(6.25),reputation(6.25),efficiency(6.25), </v>
      </c>
      <c r="AT138" s="14" t="str">
        <f t="shared" si="265"/>
        <v xml:space="preserve"> </v>
      </c>
      <c r="AU138" s="14" t="str">
        <f t="shared" si="266"/>
        <v xml:space="preserve"> </v>
      </c>
      <c r="AV138" s="14" t="str">
        <f t="shared" si="267"/>
        <v xml:space="preserve"> </v>
      </c>
      <c r="AW138" s="14" t="str">
        <f t="shared" si="268"/>
        <v xml:space="preserve">attention to details(3.1), fun-ness(3.1), seriousness(3.1), initiative(2.1), leader(2.1), community manager(2.1), user rules and manuals(2.1), team building(2.1),  </v>
      </c>
      <c r="AX138" s="14" t="str">
        <f t="shared" si="269"/>
        <v xml:space="preserve"> </v>
      </c>
      <c r="AY138" s="27" t="str">
        <f t="shared" si="482"/>
        <v xml:space="preserve"> </v>
      </c>
      <c r="AZ138" s="14" t="str">
        <f t="shared" si="271"/>
        <v xml:space="preserve"> </v>
      </c>
      <c r="BA138" s="14" t="str">
        <f t="shared" si="272"/>
        <v xml:space="preserve">attention to details(1,12.5%), fun-ness(-1,12.5%), seriousness(1,12.5%), efficiency(-1,12.5%), user rules and manuals(1,25%),  </v>
      </c>
      <c r="BB138" s="14" t="str">
        <f t="shared" si="273"/>
        <v xml:space="preserve">attention to details(12.5)
fun-ness(12.5)
seriousness(12.5)
efficiency(12.5)
user rules and manuals(25)
 </v>
      </c>
      <c r="BC138" s="14" t="str">
        <f t="shared" si="274"/>
        <v xml:space="preserve">agility(1.1), attention to details(1.1), seriousness(1.1), community manager(1.1), administrator(1.1), user rules and manuals(2.1), organizational rules and manuals(2.1),  </v>
      </c>
      <c r="BD138" s="14" t="str">
        <f t="shared" si="275"/>
        <v xml:space="preserve">reputation(-1,6.25%),  </v>
      </c>
      <c r="BE138" s="27" t="str">
        <f t="shared" si="482"/>
        <v xml:space="preserve">reputation(6.25), </v>
      </c>
      <c r="BF138" s="14" t="str">
        <f t="shared" si="277"/>
        <v xml:space="preserve"> </v>
      </c>
      <c r="BG138" s="14" t="str">
        <f t="shared" si="278"/>
        <v xml:space="preserve">attention to details(1,25%), fun-ness(-1,25%), seriousness(1,25%), user rules and manuals(1,25%), organizational rules and manuals(1,25%),  </v>
      </c>
      <c r="BH138" s="14" t="str">
        <f t="shared" si="279"/>
        <v xml:space="preserve">attention to details(25)
fun-ness(25)
seriousness(25)
user rules and manuals(25)
organizational rules and manuals(25)
 </v>
      </c>
      <c r="BI138" s="14" t="str">
        <f t="shared" si="280"/>
        <v xml:space="preserve">fun-ness(1), seriousness(2.1), community manager(1.1), administrator(1.1),  </v>
      </c>
      <c r="BJ138" s="14" t="str">
        <f t="shared" si="281"/>
        <v xml:space="preserve">reputation(-1,6.25%), efficiency(-1,25%),  </v>
      </c>
      <c r="BK138" s="27" t="str">
        <f t="shared" si="482"/>
        <v xml:space="preserve">reputation(6.25),efficiency(25), </v>
      </c>
      <c r="BL138" s="14" t="str">
        <f t="shared" si="283"/>
        <v xml:space="preserve">local biz(1)
ease of access(1)
reputation(1)
aesthetics(1)
 </v>
      </c>
      <c r="BM138" s="14" t="str">
        <f t="shared" si="284"/>
        <v xml:space="preserve">biz enhancement(1,%),  </v>
      </c>
      <c r="BN138" s="14" t="str">
        <f t="shared" si="285"/>
        <v xml:space="preserve"> </v>
      </c>
      <c r="BO138" s="14" t="str">
        <f t="shared" si="286"/>
        <v xml:space="preserve">agility(2), attention to details(2), initiative(1), community manager(1), PR(1), administrator(2), ease of access(2), reputation(3), efficiency(2), user rules and manuals(1), marketing(1), negotiation(1), aesthetics(2), functions(1), safety(1),  </v>
      </c>
      <c r="BP138" s="14" t="str">
        <f t="shared" si="287"/>
        <v xml:space="preserve">local biz(1,6.25%),  </v>
      </c>
      <c r="BQ138" s="27" t="str">
        <f t="shared" si="482"/>
        <v xml:space="preserve">local biz(6.25), </v>
      </c>
      <c r="BR138" s="14" t="str">
        <f t="shared" si="289"/>
        <v xml:space="preserve">local biz(1)
ease of access(1)
reputation(1)
aesthetics(1)
 </v>
      </c>
      <c r="BS138" s="14" t="str">
        <f t="shared" si="290"/>
        <v xml:space="preserve">biz project(1,%),  </v>
      </c>
      <c r="BT138" s="14" t="str">
        <f t="shared" si="291"/>
        <v xml:space="preserve"> </v>
      </c>
      <c r="BU138" s="14" t="str">
        <f t="shared" si="292"/>
        <v xml:space="preserve">agility(2), attention to details(2), initiative(1), community manager(1), PR(1), administrator(2), ease of access(2), reputation(3), efficiency(2), user rules and manuals(1), marketing(1), negotiation(1), wood processing(1), aesthetics(2),  </v>
      </c>
      <c r="BV138" s="14" t="str">
        <f t="shared" si="293"/>
        <v xml:space="preserve">local biz(1,6.25%),  </v>
      </c>
      <c r="BW138" s="27" t="str">
        <f t="shared" si="482"/>
        <v xml:space="preserve">local biz(6.25), </v>
      </c>
      <c r="BX138" s="14" t="str">
        <f t="shared" si="295"/>
        <v xml:space="preserve">local biz(1)
ease of access(1)
reputation(1)
aesthetics(1)
interaction(1)
 </v>
      </c>
      <c r="BY138" s="14" t="str">
        <f t="shared" si="296"/>
        <v xml:space="preserve">biz project(1,%),  </v>
      </c>
      <c r="BZ138" s="14" t="str">
        <f t="shared" si="297"/>
        <v xml:space="preserve"> </v>
      </c>
      <c r="CA138" s="14" t="str">
        <f t="shared" si="298"/>
        <v xml:space="preserve">agility(2), attention to details(2), initiative(1), community manager(1), PR(1), administrator(2), ease of access(2), reputation(3), efficiency(2), user rules and manuals(1), marketing(1), team building(1), social media(1), negotiation(1), web(2), infrastructrue(2), database(2), security(3), aesthetics(2), functions(1), interaction(2),  </v>
      </c>
      <c r="CB138" s="14" t="str">
        <f t="shared" si="299"/>
        <v xml:space="preserve">local biz(1,6.25%),  </v>
      </c>
      <c r="CC138" s="27" t="str">
        <f t="shared" si="483"/>
        <v xml:space="preserve">local biz(6.25), </v>
      </c>
      <c r="CD138" s="14" t="str">
        <f t="shared" si="301"/>
        <v xml:space="preserve">ease of access(1)
reputation(1)
aesthetics(1)
 </v>
      </c>
      <c r="CE138" s="14" t="str">
        <f t="shared" si="302"/>
        <v xml:space="preserve">biz project(1,%),  </v>
      </c>
      <c r="CF138" s="14" t="str">
        <f t="shared" si="303"/>
        <v xml:space="preserve"> </v>
      </c>
      <c r="CG138" s="14" t="str">
        <f t="shared" si="304"/>
        <v xml:space="preserve">initiative(1), community manager(1), PR(1), administrator(2), ease of access(2), efficiency(2), user rules and manuals(1), marketing(1), team building(1), negotiation(1), infrastructrue(1), database(2), mobile apps(2), security(3), aesthetics(2), functions(1), interaction(2),  </v>
      </c>
      <c r="CH138" s="14" t="str">
        <f t="shared" si="305"/>
        <v xml:space="preserve">local biz(1,6.25%),  </v>
      </c>
      <c r="CI138" s="27" t="str">
        <f t="shared" si="483"/>
        <v xml:space="preserve">local biz(6.25), </v>
      </c>
      <c r="CJ138" s="14" t="str">
        <f t="shared" si="307"/>
        <v xml:space="preserve">ease of access(1)
reputation(1)
aesthetics(1)
 </v>
      </c>
      <c r="CK138" s="14" t="str">
        <f t="shared" si="308"/>
        <v xml:space="preserve">biz project(1,%),  </v>
      </c>
      <c r="CL138" s="14" t="str">
        <f t="shared" si="309"/>
        <v xml:space="preserve"> </v>
      </c>
      <c r="CM138" s="14" t="str">
        <f t="shared" si="310"/>
        <v xml:space="preserve">agility(2), 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8" s="14" t="str">
        <f t="shared" si="311"/>
        <v xml:space="preserve">local biz(1,6.25%),  </v>
      </c>
      <c r="CO138" s="27" t="str">
        <f t="shared" si="483"/>
        <v xml:space="preserve">local biz(6.25), </v>
      </c>
      <c r="CP138" s="14" t="str">
        <f t="shared" si="313"/>
        <v xml:space="preserve">local biz(1)
metal processing(1)
functions(1)
 </v>
      </c>
      <c r="CQ138" s="14" t="str">
        <f t="shared" si="314"/>
        <v xml:space="preserve">local biz(1,50%), biz enhancement(1,50%),  </v>
      </c>
      <c r="CR138" s="14" t="str">
        <f t="shared" si="315"/>
        <v xml:space="preserve">local biz(50)
biz enhancement(50)
 </v>
      </c>
      <c r="CS138" s="14" t="str">
        <f t="shared" si="316"/>
        <v xml:space="preserve">agility(2), attention to details(2), initiative(1), community manager(1), ease of access(2), reputation(3), efficiency(2), metal processing(2), electronics(2), aesthetics(2), functions(2), safety(2),  </v>
      </c>
      <c r="CT138" s="14" t="str">
        <f t="shared" si="317"/>
        <v xml:space="preserve">reputation(1,6.25%),  </v>
      </c>
      <c r="CU138" s="27" t="str">
        <f t="shared" si="483"/>
        <v xml:space="preserve">reputation(6.25), </v>
      </c>
      <c r="CV138" s="14" t="str">
        <f t="shared" si="319"/>
        <v xml:space="preserve">non-profits(1)
wood processing(1)
aesthetics(1)
interaction(1)
 </v>
      </c>
      <c r="CW138" s="14" t="str">
        <f t="shared" si="320"/>
        <v xml:space="preserve">non-profits(1,50%), social project(1,50%),  </v>
      </c>
      <c r="CX138" s="14" t="str">
        <f t="shared" si="321"/>
        <v xml:space="preserve">non-profits(50)
social project(50)
 </v>
      </c>
      <c r="CY138" s="14" t="str">
        <f t="shared" si="322"/>
        <v xml:space="preserve">agility(2), ambition(4), attention to details(2), fun-ness(2), administrator(2), ease of access(2), efficiency(3), sensors(2), wood processing(2), plastic processing(2), electronics(2), aesthetics(2), functions(1), safety(1), interaction(2),  </v>
      </c>
      <c r="CZ138" s="14" t="str">
        <f t="shared" si="323"/>
        <v xml:space="preserve">media(1,6.25%), reputation(1,6.25%), portfolio(1,6.25%),  </v>
      </c>
      <c r="DA138" s="27" t="str">
        <f t="shared" si="483"/>
        <v xml:space="preserve">media(6.25),reputation(6.25),portfolio(6.25), </v>
      </c>
      <c r="DB138" s="14" t="str">
        <f t="shared" si="325"/>
        <v xml:space="preserve">non-profits(1)
aesthetics(1)
interaction(1)
 </v>
      </c>
      <c r="DC138" s="14" t="str">
        <f t="shared" si="326"/>
        <v xml:space="preserve">non-profits(1,50%), social project(1,50%),  </v>
      </c>
      <c r="DD138" s="14" t="str">
        <f t="shared" si="327"/>
        <v xml:space="preserve">non-profits(50)
social project(50)
 </v>
      </c>
      <c r="DE138" s="14" t="str">
        <f t="shared" si="328"/>
        <v xml:space="preserve">agility(2), ambition(4), attention to details(2), fun-ness(2), administrator(2), ease of access(2), efficiency(3), VR&amp;AR(2),  </v>
      </c>
      <c r="DF138" s="14" t="str">
        <f t="shared" si="329"/>
        <v xml:space="preserve">media(1,6.25%), reputation(1,6.25%), portfolio(1,6.25%),  </v>
      </c>
      <c r="DG138" s="27" t="str">
        <f t="shared" si="483"/>
        <v xml:space="preserve">media(6.25),reputation(6.25),portfolio(6.25), </v>
      </c>
      <c r="DH138" s="14" t="str">
        <f t="shared" si="331"/>
        <v xml:space="preserve">wood processing(1)
aesthetics(1)
safety(1)
 </v>
      </c>
      <c r="DI138" s="14" t="str">
        <f t="shared" si="332"/>
        <v xml:space="preserve">social project(1,100%),  </v>
      </c>
      <c r="DJ138" s="14" t="str">
        <f t="shared" si="333"/>
        <v xml:space="preserve">social project(100)
 </v>
      </c>
      <c r="DK138" s="14" t="str">
        <f t="shared" si="334"/>
        <v xml:space="preserve">agility(2), 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8" s="14" t="str">
        <f t="shared" si="335"/>
        <v xml:space="preserve">agility(1,6.25%), fun-ness(1,6.25%), reputation(1,6.25%), portfolio(1,6.25%), team building(1,6.25%),  </v>
      </c>
      <c r="DM138" s="27" t="str">
        <f t="shared" si="483"/>
        <v xml:space="preserve">agility(6.25),fun-ness(6.25),reputation(6.25),portfolio(6.25),team building(6.25), </v>
      </c>
      <c r="DN138" s="14" t="str">
        <f t="shared" si="337"/>
        <v xml:space="preserve">agility(1)
attention to details(2)
fun-ness(2)
initiative(1)
community manager(1)
fame(1)
network(2)
suppliers(2)
spaciousness(1)
ease of access(2)
reputation(3)
project management(2)
wood processing(1)
plastic processing(1)
electronics(1)
aesthetics(2)
functions(1)
safety(1)
biz project(1)
 </v>
      </c>
      <c r="DO138" s="14" t="str">
        <f t="shared" si="338"/>
        <v xml:space="preserve">reputation(1,25%), portfolio(1,50%),  </v>
      </c>
      <c r="DP138" s="14" t="str">
        <f t="shared" si="339"/>
        <v xml:space="preserve">reputation(25)
portfolio(50)
 </v>
      </c>
      <c r="DQ138" s="14" t="str">
        <f t="shared" si="340"/>
        <v xml:space="preserve">ambition(1), attention to details(3), fun-ness(3), administrator(1), media(3), suppliers(3), social media(2), wood processing(2), plastic processing(2), electronics(2), aesthetics(2),  </v>
      </c>
      <c r="DR138" s="14" t="str">
        <f t="shared" si="341"/>
        <v xml:space="preserve">suppliers(1,6.25%), reputation(1,6.25%),  </v>
      </c>
      <c r="DS138" s="27" t="str">
        <f t="shared" si="483"/>
        <v xml:space="preserve">suppliers(6.25),reputation(6.25), </v>
      </c>
      <c r="DT138" s="14" t="str">
        <f t="shared" si="343"/>
        <v xml:space="preserve">attention to details(2)
leader(1)
fame(1)
network(2)
reputation(3)
portfolio(2)
 </v>
      </c>
      <c r="DU138" s="14" t="str">
        <f t="shared" si="344"/>
        <v xml:space="preserve">fame(1,25%), govt(1,25%), non-profits(1,50%), reputation(1,25%),  </v>
      </c>
      <c r="DV138" s="14" t="str">
        <f t="shared" si="345"/>
        <v xml:space="preserve">fame(25)
govt(25)
non-profits(50)
reputation(25)
 </v>
      </c>
      <c r="DW138" s="14" t="str">
        <f t="shared" si="346"/>
        <v xml:space="preserve">ambition(2), attention to details(2), PR(1), administrator(1), social media(2),  </v>
      </c>
      <c r="DX138" s="14" t="str">
        <f t="shared" si="347"/>
        <v xml:space="preserve">ambition(1,6.25%), fame(1,6.25%), reputation(1,6.25%),  </v>
      </c>
      <c r="DY138" s="27" t="str">
        <f t="shared" si="483"/>
        <v xml:space="preserve">ambition(6.25),fame(6.25),reputation(6.25), </v>
      </c>
      <c r="DZ138" s="14" t="str">
        <f t="shared" si="349"/>
        <v xml:space="preserve"> </v>
      </c>
      <c r="EA138" s="14" t="str">
        <f t="shared" si="350"/>
        <v xml:space="preserve"> </v>
      </c>
      <c r="EB138" s="14" t="str">
        <f t="shared" si="351"/>
        <v xml:space="preserve"> </v>
      </c>
      <c r="EC138" s="14" t="str">
        <f t="shared" si="352"/>
        <v xml:space="preserve"> </v>
      </c>
      <c r="ED138" s="14" t="str">
        <f t="shared" si="353"/>
        <v xml:space="preserve"> </v>
      </c>
      <c r="EE138" s="27" t="str">
        <f t="shared" si="483"/>
        <v xml:space="preserve"> </v>
      </c>
      <c r="EF138" s="14" t="str">
        <f t="shared" si="355"/>
        <v xml:space="preserve"> </v>
      </c>
      <c r="EG138" s="14" t="str">
        <f t="shared" si="356"/>
        <v xml:space="preserve"> </v>
      </c>
      <c r="EH138" s="14" t="str">
        <f t="shared" si="357"/>
        <v xml:space="preserve"> </v>
      </c>
      <c r="EI138" s="14" t="str">
        <f t="shared" si="358"/>
        <v xml:space="preserve"> </v>
      </c>
      <c r="EJ138" s="14" t="str">
        <f t="shared" si="359"/>
        <v xml:space="preserve"> </v>
      </c>
      <c r="EK138" s="27" t="str">
        <f t="shared" si="483"/>
        <v xml:space="preserve"> </v>
      </c>
      <c r="EL138" s="14" t="str">
        <f t="shared" si="361"/>
        <v xml:space="preserve"> </v>
      </c>
      <c r="EM138" s="14" t="str">
        <f t="shared" si="362"/>
        <v xml:space="preserve"> </v>
      </c>
      <c r="EN138" s="14" t="str">
        <f t="shared" si="363"/>
        <v xml:space="preserve"> </v>
      </c>
      <c r="EO138" s="14" t="str">
        <f t="shared" si="364"/>
        <v xml:space="preserve"> </v>
      </c>
      <c r="EP138" s="14" t="str">
        <f t="shared" si="365"/>
        <v xml:space="preserve"> </v>
      </c>
      <c r="EQ138" s="27" t="str">
        <f t="shared" si="484"/>
        <v xml:space="preserve"> </v>
      </c>
      <c r="ER138" s="14" t="str">
        <f t="shared" si="367"/>
        <v xml:space="preserve"> </v>
      </c>
      <c r="ES138" s="14" t="str">
        <f t="shared" si="368"/>
        <v xml:space="preserve"> </v>
      </c>
      <c r="ET138" s="14" t="str">
        <f t="shared" si="369"/>
        <v xml:space="preserve"> </v>
      </c>
      <c r="EU138" s="14" t="str">
        <f t="shared" si="370"/>
        <v xml:space="preserve"> </v>
      </c>
      <c r="EV138" s="14" t="str">
        <f t="shared" si="371"/>
        <v xml:space="preserve"> </v>
      </c>
      <c r="EW138" s="27" t="str">
        <f t="shared" si="484"/>
        <v xml:space="preserve"> </v>
      </c>
      <c r="EX138" s="14" t="str">
        <f t="shared" si="373"/>
        <v xml:space="preserve"> </v>
      </c>
      <c r="EY138" s="14" t="str">
        <f t="shared" si="374"/>
        <v xml:space="preserve"> </v>
      </c>
      <c r="EZ138" s="14" t="str">
        <f t="shared" si="375"/>
        <v xml:space="preserve"> </v>
      </c>
      <c r="FA138" s="14" t="str">
        <f t="shared" si="376"/>
        <v xml:space="preserve"> </v>
      </c>
      <c r="FB138" s="14" t="str">
        <f t="shared" si="377"/>
        <v xml:space="preserve"> </v>
      </c>
      <c r="FC138" s="27" t="str">
        <f t="shared" si="484"/>
        <v xml:space="preserve"> </v>
      </c>
      <c r="FD138" s="14" t="str">
        <f t="shared" si="379"/>
        <v xml:space="preserve"> </v>
      </c>
      <c r="FE138" s="14" t="str">
        <f t="shared" si="380"/>
        <v xml:space="preserve"> </v>
      </c>
      <c r="FF138" s="14" t="str">
        <f t="shared" si="381"/>
        <v xml:space="preserve"> </v>
      </c>
      <c r="FG138" s="14" t="str">
        <f t="shared" si="382"/>
        <v xml:space="preserve"> </v>
      </c>
      <c r="FH138" s="14" t="str">
        <f t="shared" si="383"/>
        <v xml:space="preserve"> </v>
      </c>
      <c r="FI138" s="27" t="str">
        <f t="shared" si="484"/>
        <v xml:space="preserve"> </v>
      </c>
      <c r="FJ138" s="14" t="str">
        <f t="shared" si="385"/>
        <v xml:space="preserve"> </v>
      </c>
      <c r="FK138" s="14" t="str">
        <f t="shared" si="386"/>
        <v xml:space="preserve"> </v>
      </c>
      <c r="FL138" s="14" t="str">
        <f t="shared" si="387"/>
        <v xml:space="preserve"> </v>
      </c>
      <c r="FM138" s="14" t="str">
        <f t="shared" si="388"/>
        <v xml:space="preserve"> </v>
      </c>
      <c r="FN138" s="14" t="str">
        <f t="shared" si="389"/>
        <v xml:space="preserve"> </v>
      </c>
      <c r="FO138" s="27" t="str">
        <f t="shared" si="484"/>
        <v xml:space="preserve"> </v>
      </c>
      <c r="FP138" s="14" t="str">
        <f t="shared" si="391"/>
        <v xml:space="preserve"> </v>
      </c>
      <c r="FQ138" s="14" t="str">
        <f t="shared" si="392"/>
        <v xml:space="preserve"> </v>
      </c>
      <c r="FR138" s="14" t="str">
        <f t="shared" si="393"/>
        <v xml:space="preserve"> </v>
      </c>
      <c r="FS138" s="14" t="str">
        <f t="shared" si="394"/>
        <v xml:space="preserve"> </v>
      </c>
      <c r="FT138" s="14" t="str">
        <f t="shared" si="395"/>
        <v xml:space="preserve"> </v>
      </c>
      <c r="FU138" s="27" t="str">
        <f t="shared" si="484"/>
        <v xml:space="preserve"> </v>
      </c>
      <c r="FV138" s="14" t="str">
        <f t="shared" si="397"/>
        <v xml:space="preserve"> </v>
      </c>
      <c r="FW138" s="14" t="str">
        <f t="shared" si="398"/>
        <v xml:space="preserve"> </v>
      </c>
      <c r="FX138" s="14" t="str">
        <f t="shared" si="399"/>
        <v xml:space="preserve"> </v>
      </c>
      <c r="FY138" s="14" t="str">
        <f t="shared" si="400"/>
        <v xml:space="preserve"> </v>
      </c>
      <c r="FZ138" s="14" t="str">
        <f t="shared" si="401"/>
        <v xml:space="preserve"> </v>
      </c>
      <c r="GA138" s="27" t="str">
        <f t="shared" si="484"/>
        <v xml:space="preserve"> </v>
      </c>
      <c r="GB138" s="14" t="str">
        <f t="shared" si="403"/>
        <v xml:space="preserve"> </v>
      </c>
      <c r="GC138" s="14" t="str">
        <f t="shared" si="404"/>
        <v xml:space="preserve"> </v>
      </c>
      <c r="GD138" s="14" t="str">
        <f t="shared" si="405"/>
        <v xml:space="preserve"> </v>
      </c>
      <c r="GE138" s="14" t="str">
        <f t="shared" si="406"/>
        <v xml:space="preserve"> </v>
      </c>
      <c r="GF138" s="14" t="str">
        <f t="shared" si="407"/>
        <v xml:space="preserve"> </v>
      </c>
      <c r="GG138" s="27" t="str">
        <f t="shared" si="484"/>
        <v xml:space="preserve"> </v>
      </c>
      <c r="GH138" s="14" t="str">
        <f t="shared" si="409"/>
        <v xml:space="preserve"> </v>
      </c>
      <c r="GI138" s="14" t="str">
        <f t="shared" si="410"/>
        <v xml:space="preserve"> </v>
      </c>
      <c r="GJ138" s="14" t="str">
        <f t="shared" si="411"/>
        <v xml:space="preserve"> </v>
      </c>
      <c r="GK138" s="14" t="str">
        <f t="shared" si="412"/>
        <v xml:space="preserve"> </v>
      </c>
      <c r="GL138" s="14" t="str">
        <f t="shared" si="413"/>
        <v xml:space="preserve"> </v>
      </c>
      <c r="GM138" s="27" t="str">
        <f t="shared" si="484"/>
        <v xml:space="preserve"> </v>
      </c>
      <c r="GN138" s="14" t="str">
        <f t="shared" si="415"/>
        <v xml:space="preserve"> </v>
      </c>
      <c r="GO138" s="14" t="str">
        <f t="shared" si="416"/>
        <v xml:space="preserve"> </v>
      </c>
      <c r="GP138" s="14" t="str">
        <f t="shared" si="417"/>
        <v xml:space="preserve"> </v>
      </c>
      <c r="GQ138" s="14" t="str">
        <f t="shared" si="418"/>
        <v xml:space="preserve"> </v>
      </c>
      <c r="GR138" s="14" t="str">
        <f t="shared" si="419"/>
        <v xml:space="preserve"> </v>
      </c>
      <c r="GS138" s="27" t="str">
        <f t="shared" si="484"/>
        <v xml:space="preserve"> </v>
      </c>
      <c r="GT138" s="14" t="str">
        <f t="shared" si="421"/>
        <v xml:space="preserve"> </v>
      </c>
      <c r="GU138" s="14" t="str">
        <f t="shared" si="422"/>
        <v xml:space="preserve"> </v>
      </c>
      <c r="GV138" s="14" t="str">
        <f t="shared" si="423"/>
        <v xml:space="preserve"> </v>
      </c>
      <c r="GW138" s="14" t="str">
        <f t="shared" si="424"/>
        <v xml:space="preserve"> </v>
      </c>
      <c r="GX138" s="14" t="str">
        <f t="shared" si="425"/>
        <v xml:space="preserve"> </v>
      </c>
      <c r="GY138" s="27" t="str">
        <f t="shared" si="484"/>
        <v xml:space="preserve"> </v>
      </c>
      <c r="GZ138" s="14" t="str">
        <f t="shared" si="427"/>
        <v xml:space="preserve"> </v>
      </c>
      <c r="HA138" s="14" t="str">
        <f t="shared" si="428"/>
        <v xml:space="preserve"> </v>
      </c>
      <c r="HB138" s="14" t="str">
        <f t="shared" si="429"/>
        <v xml:space="preserve"> </v>
      </c>
      <c r="HC138" s="14" t="str">
        <f t="shared" si="430"/>
        <v xml:space="preserve"> </v>
      </c>
      <c r="HD138" s="14" t="str">
        <f t="shared" si="431"/>
        <v xml:space="preserve"> </v>
      </c>
      <c r="HE138" s="27" t="str">
        <f t="shared" si="485"/>
        <v xml:space="preserve"> </v>
      </c>
      <c r="HF138" s="14" t="str">
        <f t="shared" si="433"/>
        <v xml:space="preserve"> </v>
      </c>
      <c r="HG138" s="14" t="str">
        <f t="shared" si="434"/>
        <v xml:space="preserve"> </v>
      </c>
      <c r="HH138" s="14" t="str">
        <f t="shared" si="435"/>
        <v xml:space="preserve"> </v>
      </c>
      <c r="HI138" s="14" t="str">
        <f t="shared" si="436"/>
        <v xml:space="preserve"> </v>
      </c>
      <c r="HJ138" s="14" t="str">
        <f t="shared" si="437"/>
        <v xml:space="preserve"> </v>
      </c>
      <c r="HK138" s="27" t="str">
        <f t="shared" si="485"/>
        <v xml:space="preserve"> </v>
      </c>
      <c r="HL138" s="14" t="str">
        <f t="shared" si="439"/>
        <v xml:space="preserve"> </v>
      </c>
      <c r="HM138" s="14" t="str">
        <f t="shared" si="440"/>
        <v xml:space="preserve"> </v>
      </c>
      <c r="HN138" s="14" t="str">
        <f t="shared" si="441"/>
        <v xml:space="preserve"> </v>
      </c>
      <c r="HO138" s="14" t="str">
        <f t="shared" si="442"/>
        <v xml:space="preserve"> </v>
      </c>
      <c r="HP138" s="14" t="str">
        <f t="shared" si="443"/>
        <v xml:space="preserve"> </v>
      </c>
      <c r="HQ138" s="27" t="str">
        <f t="shared" si="485"/>
        <v xml:space="preserve"> </v>
      </c>
    </row>
    <row r="139" spans="1:225" ht="15.75" customHeight="1">
      <c r="A139" s="7">
        <f t="shared" ref="A139:C139" si="504">A31</f>
        <v>0</v>
      </c>
      <c r="B139" s="7">
        <f t="shared" si="504"/>
        <v>0</v>
      </c>
      <c r="C139" s="7" t="str">
        <f t="shared" si="504"/>
        <v>ambition</v>
      </c>
      <c r="D139" s="14" t="str">
        <f t="shared" si="446"/>
        <v xml:space="preserve"> </v>
      </c>
      <c r="E139" s="14" t="str">
        <f t="shared" si="447"/>
        <v xml:space="preserve"> </v>
      </c>
      <c r="F139" s="14" t="str">
        <f t="shared" si="448"/>
        <v xml:space="preserve"> </v>
      </c>
      <c r="G139" s="14" t="str">
        <f t="shared" si="449"/>
        <v xml:space="preserve">attention to details(1.1), efficiency(1), user rules and manuals(2.1), organizational rules and manuals(2.1),  </v>
      </c>
      <c r="H139" s="14" t="str">
        <f t="shared" si="450"/>
        <v xml:space="preserve">efficiency(-1,6.25%),  </v>
      </c>
      <c r="I139" s="27" t="str">
        <f t="shared" ref="I139" si="505">IF(I31="",I140,$C139&amp;"("&amp;I31&amp;"),"&amp;I140)</f>
        <v xml:space="preserve">efficiency(6.25), </v>
      </c>
      <c r="J139" s="14" t="str">
        <f t="shared" si="229"/>
        <v xml:space="preserve"> </v>
      </c>
      <c r="K139" s="14" t="str">
        <f t="shared" si="230"/>
        <v xml:space="preserve"> </v>
      </c>
      <c r="L139" s="14" t="str">
        <f t="shared" si="231"/>
        <v xml:space="preserve"> </v>
      </c>
      <c r="M139" s="14" t="str">
        <f t="shared" si="232"/>
        <v xml:space="preserve">efficiency(0.1), organizational rules and manuals(1.1),  </v>
      </c>
      <c r="N139" s="14" t="str">
        <f t="shared" si="233"/>
        <v xml:space="preserve">ambition(-1,6.75%), fun-ness(-1,6.75%), initiative(-1,6.75%),  </v>
      </c>
      <c r="O139" s="27" t="str">
        <f t="shared" si="482"/>
        <v xml:space="preserve">ambition(6.75),fun-ness(6.75),initiative(6.75), </v>
      </c>
      <c r="P139" s="14" t="str">
        <f t="shared" si="235"/>
        <v xml:space="preserve"> </v>
      </c>
      <c r="Q139" s="14" t="str">
        <f t="shared" si="236"/>
        <v xml:space="preserve"> </v>
      </c>
      <c r="R139" s="14" t="str">
        <f t="shared" si="237"/>
        <v xml:space="preserve"> </v>
      </c>
      <c r="S139" s="14" t="str">
        <f t="shared" si="238"/>
        <v xml:space="preserve">ambition(1), attention to details(0.1), community manager(0.1), team building(0.1),  </v>
      </c>
      <c r="T139" s="14" t="str">
        <f t="shared" si="239"/>
        <v xml:space="preserve">ambition(-1,%), business model(-1,6.25%), web(-1,6.25%), mobile apps(-1,6.25%), aesthetics(-1,6.25%),  </v>
      </c>
      <c r="U139" s="27" t="str">
        <f t="shared" si="482"/>
        <v xml:space="preserve">business model(6.25),web(6.25),mobile apps(6.25),aesthetics(6.25), </v>
      </c>
      <c r="V139" s="14" t="str">
        <f t="shared" si="241"/>
        <v xml:space="preserve"> </v>
      </c>
      <c r="W139" s="14" t="str">
        <f t="shared" si="242"/>
        <v xml:space="preserve">efficiency(-1,25%),  </v>
      </c>
      <c r="X139" s="14" t="str">
        <f t="shared" si="243"/>
        <v xml:space="preserve">efficiency(25)
 </v>
      </c>
      <c r="Y139" s="14" t="str">
        <f t="shared" si="244"/>
        <v xml:space="preserve">community manager(0.1), administrator(0.1), spaciousness(1), ease of access(3), reputation(2), user rules and manuals(0.1), project management(0.1), negotiation(0.1),  </v>
      </c>
      <c r="Z139" s="14" t="str">
        <f t="shared" si="245"/>
        <v xml:space="preserve">reputation(-1,%),  </v>
      </c>
      <c r="AA139" s="27" t="str">
        <f t="shared" si="482"/>
        <v xml:space="preserve"> </v>
      </c>
      <c r="AB139" s="14" t="str">
        <f t="shared" si="247"/>
        <v xml:space="preserve"> </v>
      </c>
      <c r="AC139" s="14" t="str">
        <f t="shared" si="248"/>
        <v xml:space="preserve"> </v>
      </c>
      <c r="AD139" s="14" t="str">
        <f t="shared" si="249"/>
        <v xml:space="preserve"> </v>
      </c>
      <c r="AE139" s="14" t="str">
        <f t="shared" si="250"/>
        <v xml:space="preserve">attention to details(0.1), seriousness(0.1), initiative(0.1), spaciousness(1), user rules and manuals(1.1), organizational rules and manuals(1.1),  </v>
      </c>
      <c r="AF139" s="14" t="str">
        <f t="shared" si="251"/>
        <v xml:space="preserve">local biz(-1,6.25%), investors(-1,6.25%), non-profits(-1,6.25%), efficiency(-1,6.25%),  </v>
      </c>
      <c r="AG139" s="27" t="str">
        <f t="shared" si="482"/>
        <v xml:space="preserve">local biz(6.25),investors(6.25),non-profits(6.25),efficiency(6.25), </v>
      </c>
      <c r="AH139" s="14" t="str">
        <f t="shared" si="253"/>
        <v xml:space="preserve">fun-ness(1)
ease of access(1)
reputation(1)
 </v>
      </c>
      <c r="AI139" s="14" t="str">
        <f t="shared" si="254"/>
        <v xml:space="preserve"> </v>
      </c>
      <c r="AJ139" s="14" t="str">
        <f t="shared" si="255"/>
        <v xml:space="preserve"> </v>
      </c>
      <c r="AK139" s="14" t="str">
        <f t="shared" si="256"/>
        <v xml:space="preserve">attention to details(2.1), seriousness(2.1), community manager(2.1), administrator(2.1), spaciousness(1), ease of access(1), reputation(2), user rules and manuals(2.1), organizational rules and manuals(2.1), law(1.1), negotiation(1.1),  </v>
      </c>
      <c r="AL139" s="14" t="str">
        <f t="shared" si="257"/>
        <v xml:space="preserve">govt(-1,6.25%), non-profits(-1,6.25%), reputation(-1,6.25%),  </v>
      </c>
      <c r="AM139" s="27" t="str">
        <f t="shared" si="482"/>
        <v xml:space="preserve">govt(6.25),non-profits(6.25),reputation(6.25), </v>
      </c>
      <c r="AN139" s="14" t="str">
        <f t="shared" si="259"/>
        <v xml:space="preserve">fun-ness(1)
seriousness(1)
 </v>
      </c>
      <c r="AO139" s="14" t="str">
        <f t="shared" si="260"/>
        <v xml:space="preserve"> </v>
      </c>
      <c r="AP139" s="14" t="str">
        <f t="shared" si="261"/>
        <v xml:space="preserve"> </v>
      </c>
      <c r="AQ139" s="14" t="str">
        <f t="shared" si="262"/>
        <v xml:space="preserve">fun-ness(1), spaciousness(2.1), reputation(3), organizational rules and manuals(2.1), team building(2.1),  </v>
      </c>
      <c r="AR139" s="14" t="str">
        <f t="shared" si="263"/>
        <v xml:space="preserve">fun-ness(-1,6.25%), reputation(-1,6.25%), efficiency(-1,6.25%),  </v>
      </c>
      <c r="AS139" s="27" t="str">
        <f t="shared" si="482"/>
        <v xml:space="preserve">fun-ness(6.25),reputation(6.25),efficiency(6.25), </v>
      </c>
      <c r="AT139" s="14" t="str">
        <f t="shared" si="265"/>
        <v xml:space="preserve"> </v>
      </c>
      <c r="AU139" s="14" t="str">
        <f t="shared" si="266"/>
        <v xml:space="preserve"> </v>
      </c>
      <c r="AV139" s="14" t="str">
        <f t="shared" si="267"/>
        <v xml:space="preserve"> </v>
      </c>
      <c r="AW139" s="14" t="str">
        <f t="shared" si="268"/>
        <v xml:space="preserve">attention to details(3.1), fun-ness(3.1), seriousness(3.1), initiative(2.1), leader(2.1), community manager(2.1), user rules and manuals(2.1), team building(2.1),  </v>
      </c>
      <c r="AX139" s="14" t="str">
        <f t="shared" si="269"/>
        <v xml:space="preserve"> </v>
      </c>
      <c r="AY139" s="27" t="str">
        <f t="shared" si="482"/>
        <v xml:space="preserve"> </v>
      </c>
      <c r="AZ139" s="14" t="str">
        <f t="shared" si="271"/>
        <v xml:space="preserve"> </v>
      </c>
      <c r="BA139" s="14" t="str">
        <f t="shared" si="272"/>
        <v xml:space="preserve">attention to details(1,12.5%), fun-ness(-1,12.5%), seriousness(1,12.5%), efficiency(-1,12.5%), user rules and manuals(1,25%),  </v>
      </c>
      <c r="BB139" s="14" t="str">
        <f t="shared" si="273"/>
        <v xml:space="preserve">attention to details(12.5)
fun-ness(12.5)
seriousness(12.5)
efficiency(12.5)
user rules and manuals(25)
 </v>
      </c>
      <c r="BC139" s="14" t="str">
        <f t="shared" si="274"/>
        <v xml:space="preserve">attention to details(1.1), seriousness(1.1), community manager(1.1), administrator(1.1), user rules and manuals(2.1), organizational rules and manuals(2.1),  </v>
      </c>
      <c r="BD139" s="14" t="str">
        <f t="shared" si="275"/>
        <v xml:space="preserve">reputation(-1,6.25%),  </v>
      </c>
      <c r="BE139" s="27" t="str">
        <f t="shared" si="482"/>
        <v xml:space="preserve">reputation(6.25), </v>
      </c>
      <c r="BF139" s="14" t="str">
        <f t="shared" si="277"/>
        <v xml:space="preserve"> </v>
      </c>
      <c r="BG139" s="14" t="str">
        <f t="shared" si="278"/>
        <v xml:space="preserve">attention to details(1,25%), fun-ness(-1,25%), seriousness(1,25%), user rules and manuals(1,25%), organizational rules and manuals(1,25%),  </v>
      </c>
      <c r="BH139" s="14" t="str">
        <f t="shared" si="279"/>
        <v xml:space="preserve">attention to details(25)
fun-ness(25)
seriousness(25)
user rules and manuals(25)
organizational rules and manuals(25)
 </v>
      </c>
      <c r="BI139" s="14" t="str">
        <f t="shared" si="280"/>
        <v xml:space="preserve">fun-ness(1), seriousness(2.1), community manager(1.1), administrator(1.1),  </v>
      </c>
      <c r="BJ139" s="14" t="str">
        <f t="shared" si="281"/>
        <v xml:space="preserve">reputation(-1,6.25%), efficiency(-1,25%),  </v>
      </c>
      <c r="BK139" s="27" t="str">
        <f t="shared" si="482"/>
        <v xml:space="preserve">reputation(6.25),efficiency(25), </v>
      </c>
      <c r="BL139" s="14" t="str">
        <f t="shared" si="283"/>
        <v xml:space="preserve">local biz(1)
ease of access(1)
reputation(1)
aesthetics(1)
 </v>
      </c>
      <c r="BM139" s="14" t="str">
        <f t="shared" si="284"/>
        <v xml:space="preserve">biz enhancement(1,%),  </v>
      </c>
      <c r="BN139" s="14" t="str">
        <f t="shared" si="285"/>
        <v xml:space="preserve"> </v>
      </c>
      <c r="BO139" s="14" t="str">
        <f t="shared" si="286"/>
        <v xml:space="preserve">attention to details(2), initiative(1), community manager(1), PR(1), administrator(2), ease of access(2), reputation(3), efficiency(2), user rules and manuals(1), marketing(1), negotiation(1), aesthetics(2), functions(1), safety(1),  </v>
      </c>
      <c r="BP139" s="14" t="str">
        <f t="shared" si="287"/>
        <v xml:space="preserve">local biz(1,6.25%),  </v>
      </c>
      <c r="BQ139" s="27" t="str">
        <f t="shared" si="482"/>
        <v xml:space="preserve">local biz(6.25), </v>
      </c>
      <c r="BR139" s="14" t="str">
        <f t="shared" si="289"/>
        <v xml:space="preserve">local biz(1)
ease of access(1)
reputation(1)
aesthetics(1)
 </v>
      </c>
      <c r="BS139" s="14" t="str">
        <f t="shared" si="290"/>
        <v xml:space="preserve">biz project(1,%),  </v>
      </c>
      <c r="BT139" s="14" t="str">
        <f t="shared" si="291"/>
        <v xml:space="preserve"> </v>
      </c>
      <c r="BU139" s="14" t="str">
        <f t="shared" si="292"/>
        <v xml:space="preserve">attention to details(2), initiative(1), community manager(1), PR(1), administrator(2), ease of access(2), reputation(3), efficiency(2), user rules and manuals(1), marketing(1), negotiation(1), wood processing(1), aesthetics(2),  </v>
      </c>
      <c r="BV139" s="14" t="str">
        <f t="shared" si="293"/>
        <v xml:space="preserve">local biz(1,6.25%),  </v>
      </c>
      <c r="BW139" s="27" t="str">
        <f t="shared" si="482"/>
        <v xml:space="preserve">local biz(6.25), </v>
      </c>
      <c r="BX139" s="14" t="str">
        <f t="shared" si="295"/>
        <v xml:space="preserve">local biz(1)
ease of access(1)
reputation(1)
aesthetics(1)
interaction(1)
 </v>
      </c>
      <c r="BY139" s="14" t="str">
        <f t="shared" si="296"/>
        <v xml:space="preserve">biz project(1,%),  </v>
      </c>
      <c r="BZ139" s="14" t="str">
        <f t="shared" si="297"/>
        <v xml:space="preserve"> </v>
      </c>
      <c r="CA139" s="14" t="str">
        <f t="shared" si="298"/>
        <v xml:space="preserve">attention to details(2), initiative(1), community manager(1), PR(1), administrator(2), ease of access(2), reputation(3), efficiency(2), user rules and manuals(1), marketing(1), team building(1), social media(1), negotiation(1), web(2), infrastructrue(2), database(2), security(3), aesthetics(2), functions(1), interaction(2),  </v>
      </c>
      <c r="CB139" s="14" t="str">
        <f t="shared" si="299"/>
        <v xml:space="preserve">local biz(1,6.25%),  </v>
      </c>
      <c r="CC139" s="27" t="str">
        <f t="shared" si="483"/>
        <v xml:space="preserve">local biz(6.25), </v>
      </c>
      <c r="CD139" s="14" t="str">
        <f t="shared" si="301"/>
        <v xml:space="preserve">ease of access(1)
reputation(1)
aesthetics(1)
 </v>
      </c>
      <c r="CE139" s="14" t="str">
        <f t="shared" si="302"/>
        <v xml:space="preserve">biz project(1,%),  </v>
      </c>
      <c r="CF139" s="14" t="str">
        <f t="shared" si="303"/>
        <v xml:space="preserve"> </v>
      </c>
      <c r="CG139" s="14" t="str">
        <f t="shared" si="304"/>
        <v xml:space="preserve">initiative(1), community manager(1), PR(1), administrator(2), ease of access(2), efficiency(2), user rules and manuals(1), marketing(1), team building(1), negotiation(1), infrastructrue(1), database(2), mobile apps(2), security(3), aesthetics(2), functions(1), interaction(2),  </v>
      </c>
      <c r="CH139" s="14" t="str">
        <f t="shared" si="305"/>
        <v xml:space="preserve">local biz(1,6.25%),  </v>
      </c>
      <c r="CI139" s="27" t="str">
        <f t="shared" si="483"/>
        <v xml:space="preserve">local biz(6.25), </v>
      </c>
      <c r="CJ139" s="14" t="str">
        <f t="shared" si="307"/>
        <v xml:space="preserve">ease of access(1)
reputation(1)
aesthetics(1)
 </v>
      </c>
      <c r="CK139" s="14" t="str">
        <f t="shared" si="308"/>
        <v xml:space="preserve">biz project(1,%),  </v>
      </c>
      <c r="CL139" s="14" t="str">
        <f t="shared" si="309"/>
        <v xml:space="preserve"> </v>
      </c>
      <c r="CM139" s="14" t="str">
        <f t="shared" si="310"/>
        <v xml:space="preserve">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39" s="14" t="str">
        <f t="shared" si="311"/>
        <v xml:space="preserve">local biz(1,6.25%),  </v>
      </c>
      <c r="CO139" s="27" t="str">
        <f t="shared" si="483"/>
        <v xml:space="preserve">local biz(6.25), </v>
      </c>
      <c r="CP139" s="14" t="str">
        <f t="shared" si="313"/>
        <v xml:space="preserve">local biz(1)
metal processing(1)
functions(1)
 </v>
      </c>
      <c r="CQ139" s="14" t="str">
        <f t="shared" si="314"/>
        <v xml:space="preserve">local biz(1,50%), biz enhancement(1,50%),  </v>
      </c>
      <c r="CR139" s="14" t="str">
        <f t="shared" si="315"/>
        <v xml:space="preserve">local biz(50)
biz enhancement(50)
 </v>
      </c>
      <c r="CS139" s="14" t="str">
        <f t="shared" si="316"/>
        <v xml:space="preserve">attention to details(2), initiative(1), community manager(1), ease of access(2), reputation(3), efficiency(2), metal processing(2), electronics(2), aesthetics(2), functions(2), safety(2),  </v>
      </c>
      <c r="CT139" s="14" t="str">
        <f t="shared" si="317"/>
        <v xml:space="preserve">reputation(1,6.25%),  </v>
      </c>
      <c r="CU139" s="27" t="str">
        <f t="shared" si="483"/>
        <v xml:space="preserve">reputation(6.25), </v>
      </c>
      <c r="CV139" s="14" t="str">
        <f t="shared" si="319"/>
        <v xml:space="preserve">non-profits(1)
wood processing(1)
aesthetics(1)
interaction(1)
 </v>
      </c>
      <c r="CW139" s="14" t="str">
        <f t="shared" si="320"/>
        <v xml:space="preserve">non-profits(1,50%), social project(1,50%),  </v>
      </c>
      <c r="CX139" s="14" t="str">
        <f t="shared" si="321"/>
        <v xml:space="preserve">non-profits(50)
social project(50)
 </v>
      </c>
      <c r="CY139" s="14" t="str">
        <f t="shared" si="322"/>
        <v xml:space="preserve">ambition(4), attention to details(2), fun-ness(2), administrator(2), ease of access(2), efficiency(3), sensors(2), wood processing(2), plastic processing(2), electronics(2), aesthetics(2), functions(1), safety(1), interaction(2),  </v>
      </c>
      <c r="CZ139" s="14" t="str">
        <f t="shared" si="323"/>
        <v xml:space="preserve">media(1,6.25%), reputation(1,6.25%), portfolio(1,6.25%),  </v>
      </c>
      <c r="DA139" s="27" t="str">
        <f t="shared" si="483"/>
        <v xml:space="preserve">media(6.25),reputation(6.25),portfolio(6.25), </v>
      </c>
      <c r="DB139" s="14" t="str">
        <f t="shared" si="325"/>
        <v xml:space="preserve">non-profits(1)
aesthetics(1)
interaction(1)
 </v>
      </c>
      <c r="DC139" s="14" t="str">
        <f t="shared" si="326"/>
        <v xml:space="preserve">non-profits(1,50%), social project(1,50%),  </v>
      </c>
      <c r="DD139" s="14" t="str">
        <f t="shared" si="327"/>
        <v xml:space="preserve">non-profits(50)
social project(50)
 </v>
      </c>
      <c r="DE139" s="14" t="str">
        <f t="shared" si="328"/>
        <v xml:space="preserve">ambition(4), attention to details(2), fun-ness(2), administrator(2), ease of access(2), efficiency(3), VR&amp;AR(2),  </v>
      </c>
      <c r="DF139" s="14" t="str">
        <f t="shared" si="329"/>
        <v xml:space="preserve">media(1,6.25%), reputation(1,6.25%), portfolio(1,6.25%),  </v>
      </c>
      <c r="DG139" s="27" t="str">
        <f t="shared" si="483"/>
        <v xml:space="preserve">media(6.25),reputation(6.25),portfolio(6.25), </v>
      </c>
      <c r="DH139" s="14" t="str">
        <f t="shared" si="331"/>
        <v xml:space="preserve">wood processing(1)
aesthetics(1)
safety(1)
 </v>
      </c>
      <c r="DI139" s="14" t="str">
        <f t="shared" si="332"/>
        <v xml:space="preserve">social project(1,100%),  </v>
      </c>
      <c r="DJ139" s="14" t="str">
        <f t="shared" si="333"/>
        <v xml:space="preserve">social project(100)
 </v>
      </c>
      <c r="DK139" s="14" t="str">
        <f t="shared" si="334"/>
        <v xml:space="preserve">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39" s="14" t="str">
        <f t="shared" si="335"/>
        <v xml:space="preserve">fun-ness(1,6.25%), reputation(1,6.25%), portfolio(1,6.25%), team building(1,6.25%),  </v>
      </c>
      <c r="DM139" s="27" t="str">
        <f t="shared" si="483"/>
        <v xml:space="preserve">fun-ness(6.25),reputation(6.25),portfolio(6.25),team building(6.25), </v>
      </c>
      <c r="DN139" s="14" t="str">
        <f t="shared" si="337"/>
        <v xml:space="preserve">attention to details(2)
fun-ness(2)
initiative(1)
community manager(1)
fame(1)
network(2)
suppliers(2)
spaciousness(1)
ease of access(2)
reputation(3)
project management(2)
wood processing(1)
plastic processing(1)
electronics(1)
aesthetics(2)
functions(1)
safety(1)
biz project(1)
 </v>
      </c>
      <c r="DO139" s="14" t="str">
        <f t="shared" si="338"/>
        <v xml:space="preserve">reputation(1,25%), portfolio(1,50%),  </v>
      </c>
      <c r="DP139" s="14" t="str">
        <f t="shared" si="339"/>
        <v xml:space="preserve">reputation(25)
portfolio(50)
 </v>
      </c>
      <c r="DQ139" s="14" t="str">
        <f t="shared" si="340"/>
        <v xml:space="preserve">ambition(1), attention to details(3), fun-ness(3), administrator(1), media(3), suppliers(3), social media(2), wood processing(2), plastic processing(2), electronics(2), aesthetics(2),  </v>
      </c>
      <c r="DR139" s="14" t="str">
        <f t="shared" si="341"/>
        <v xml:space="preserve">suppliers(1,6.25%), reputation(1,6.25%),  </v>
      </c>
      <c r="DS139" s="27" t="str">
        <f t="shared" si="483"/>
        <v xml:space="preserve">suppliers(6.25),reputation(6.25), </v>
      </c>
      <c r="DT139" s="14" t="str">
        <f t="shared" si="343"/>
        <v xml:space="preserve">attention to details(2)
leader(1)
fame(1)
network(2)
reputation(3)
portfolio(2)
 </v>
      </c>
      <c r="DU139" s="14" t="str">
        <f t="shared" si="344"/>
        <v xml:space="preserve">fame(1,25%), govt(1,25%), non-profits(1,50%), reputation(1,25%),  </v>
      </c>
      <c r="DV139" s="14" t="str">
        <f t="shared" si="345"/>
        <v xml:space="preserve">fame(25)
govt(25)
non-profits(50)
reputation(25)
 </v>
      </c>
      <c r="DW139" s="14" t="str">
        <f t="shared" si="346"/>
        <v xml:space="preserve">ambition(2), attention to details(2), PR(1), administrator(1), social media(2),  </v>
      </c>
      <c r="DX139" s="14" t="str">
        <f t="shared" si="347"/>
        <v xml:space="preserve">ambition(1,6.25%), fame(1,6.25%), reputation(1,6.25%),  </v>
      </c>
      <c r="DY139" s="27" t="str">
        <f t="shared" si="483"/>
        <v xml:space="preserve">ambition(6.25),fame(6.25),reputation(6.25), </v>
      </c>
      <c r="DZ139" s="14" t="str">
        <f t="shared" si="349"/>
        <v xml:space="preserve"> </v>
      </c>
      <c r="EA139" s="14" t="str">
        <f t="shared" si="350"/>
        <v xml:space="preserve"> </v>
      </c>
      <c r="EB139" s="14" t="str">
        <f t="shared" si="351"/>
        <v xml:space="preserve"> </v>
      </c>
      <c r="EC139" s="14" t="str">
        <f t="shared" si="352"/>
        <v xml:space="preserve"> </v>
      </c>
      <c r="ED139" s="14" t="str">
        <f t="shared" si="353"/>
        <v xml:space="preserve"> </v>
      </c>
      <c r="EE139" s="27" t="str">
        <f t="shared" si="483"/>
        <v xml:space="preserve"> </v>
      </c>
      <c r="EF139" s="14" t="str">
        <f t="shared" si="355"/>
        <v xml:space="preserve"> </v>
      </c>
      <c r="EG139" s="14" t="str">
        <f t="shared" si="356"/>
        <v xml:space="preserve"> </v>
      </c>
      <c r="EH139" s="14" t="str">
        <f t="shared" si="357"/>
        <v xml:space="preserve"> </v>
      </c>
      <c r="EI139" s="14" t="str">
        <f t="shared" si="358"/>
        <v xml:space="preserve"> </v>
      </c>
      <c r="EJ139" s="14" t="str">
        <f t="shared" si="359"/>
        <v xml:space="preserve"> </v>
      </c>
      <c r="EK139" s="27" t="str">
        <f t="shared" si="483"/>
        <v xml:space="preserve"> </v>
      </c>
      <c r="EL139" s="14" t="str">
        <f t="shared" si="361"/>
        <v xml:space="preserve"> </v>
      </c>
      <c r="EM139" s="14" t="str">
        <f t="shared" si="362"/>
        <v xml:space="preserve"> </v>
      </c>
      <c r="EN139" s="14" t="str">
        <f t="shared" si="363"/>
        <v xml:space="preserve"> </v>
      </c>
      <c r="EO139" s="14" t="str">
        <f t="shared" si="364"/>
        <v xml:space="preserve"> </v>
      </c>
      <c r="EP139" s="14" t="str">
        <f t="shared" si="365"/>
        <v xml:space="preserve"> </v>
      </c>
      <c r="EQ139" s="27" t="str">
        <f t="shared" si="484"/>
        <v xml:space="preserve"> </v>
      </c>
      <c r="ER139" s="14" t="str">
        <f t="shared" si="367"/>
        <v xml:space="preserve"> </v>
      </c>
      <c r="ES139" s="14" t="str">
        <f t="shared" si="368"/>
        <v xml:space="preserve"> </v>
      </c>
      <c r="ET139" s="14" t="str">
        <f t="shared" si="369"/>
        <v xml:space="preserve"> </v>
      </c>
      <c r="EU139" s="14" t="str">
        <f t="shared" si="370"/>
        <v xml:space="preserve"> </v>
      </c>
      <c r="EV139" s="14" t="str">
        <f t="shared" si="371"/>
        <v xml:space="preserve"> </v>
      </c>
      <c r="EW139" s="27" t="str">
        <f t="shared" si="484"/>
        <v xml:space="preserve"> </v>
      </c>
      <c r="EX139" s="14" t="str">
        <f t="shared" si="373"/>
        <v xml:space="preserve"> </v>
      </c>
      <c r="EY139" s="14" t="str">
        <f t="shared" si="374"/>
        <v xml:space="preserve"> </v>
      </c>
      <c r="EZ139" s="14" t="str">
        <f t="shared" si="375"/>
        <v xml:space="preserve"> </v>
      </c>
      <c r="FA139" s="14" t="str">
        <f t="shared" si="376"/>
        <v xml:space="preserve"> </v>
      </c>
      <c r="FB139" s="14" t="str">
        <f t="shared" si="377"/>
        <v xml:space="preserve"> </v>
      </c>
      <c r="FC139" s="27" t="str">
        <f t="shared" si="484"/>
        <v xml:space="preserve"> </v>
      </c>
      <c r="FD139" s="14" t="str">
        <f t="shared" si="379"/>
        <v xml:space="preserve"> </v>
      </c>
      <c r="FE139" s="14" t="str">
        <f t="shared" si="380"/>
        <v xml:space="preserve"> </v>
      </c>
      <c r="FF139" s="14" t="str">
        <f t="shared" si="381"/>
        <v xml:space="preserve"> </v>
      </c>
      <c r="FG139" s="14" t="str">
        <f t="shared" si="382"/>
        <v xml:space="preserve"> </v>
      </c>
      <c r="FH139" s="14" t="str">
        <f t="shared" si="383"/>
        <v xml:space="preserve"> </v>
      </c>
      <c r="FI139" s="27" t="str">
        <f t="shared" si="484"/>
        <v xml:space="preserve"> </v>
      </c>
      <c r="FJ139" s="14" t="str">
        <f t="shared" si="385"/>
        <v xml:space="preserve"> </v>
      </c>
      <c r="FK139" s="14" t="str">
        <f t="shared" si="386"/>
        <v xml:space="preserve"> </v>
      </c>
      <c r="FL139" s="14" t="str">
        <f t="shared" si="387"/>
        <v xml:space="preserve"> </v>
      </c>
      <c r="FM139" s="14" t="str">
        <f t="shared" si="388"/>
        <v xml:space="preserve"> </v>
      </c>
      <c r="FN139" s="14" t="str">
        <f t="shared" si="389"/>
        <v xml:space="preserve"> </v>
      </c>
      <c r="FO139" s="27" t="str">
        <f t="shared" si="484"/>
        <v xml:space="preserve"> </v>
      </c>
      <c r="FP139" s="14" t="str">
        <f t="shared" si="391"/>
        <v xml:space="preserve"> </v>
      </c>
      <c r="FQ139" s="14" t="str">
        <f t="shared" si="392"/>
        <v xml:space="preserve"> </v>
      </c>
      <c r="FR139" s="14" t="str">
        <f t="shared" si="393"/>
        <v xml:space="preserve"> </v>
      </c>
      <c r="FS139" s="14" t="str">
        <f t="shared" si="394"/>
        <v xml:space="preserve"> </v>
      </c>
      <c r="FT139" s="14" t="str">
        <f t="shared" si="395"/>
        <v xml:space="preserve"> </v>
      </c>
      <c r="FU139" s="27" t="str">
        <f t="shared" si="484"/>
        <v xml:space="preserve"> </v>
      </c>
      <c r="FV139" s="14" t="str">
        <f t="shared" si="397"/>
        <v xml:space="preserve"> </v>
      </c>
      <c r="FW139" s="14" t="str">
        <f t="shared" si="398"/>
        <v xml:space="preserve"> </v>
      </c>
      <c r="FX139" s="14" t="str">
        <f t="shared" si="399"/>
        <v xml:space="preserve"> </v>
      </c>
      <c r="FY139" s="14" t="str">
        <f t="shared" si="400"/>
        <v xml:space="preserve"> </v>
      </c>
      <c r="FZ139" s="14" t="str">
        <f t="shared" si="401"/>
        <v xml:space="preserve"> </v>
      </c>
      <c r="GA139" s="27" t="str">
        <f t="shared" si="484"/>
        <v xml:space="preserve"> </v>
      </c>
      <c r="GB139" s="14" t="str">
        <f t="shared" si="403"/>
        <v xml:space="preserve"> </v>
      </c>
      <c r="GC139" s="14" t="str">
        <f t="shared" si="404"/>
        <v xml:space="preserve"> </v>
      </c>
      <c r="GD139" s="14" t="str">
        <f t="shared" si="405"/>
        <v xml:space="preserve"> </v>
      </c>
      <c r="GE139" s="14" t="str">
        <f t="shared" si="406"/>
        <v xml:space="preserve"> </v>
      </c>
      <c r="GF139" s="14" t="str">
        <f t="shared" si="407"/>
        <v xml:space="preserve"> </v>
      </c>
      <c r="GG139" s="27" t="str">
        <f t="shared" si="484"/>
        <v xml:space="preserve"> </v>
      </c>
      <c r="GH139" s="14" t="str">
        <f t="shared" si="409"/>
        <v xml:space="preserve"> </v>
      </c>
      <c r="GI139" s="14" t="str">
        <f t="shared" si="410"/>
        <v xml:space="preserve"> </v>
      </c>
      <c r="GJ139" s="14" t="str">
        <f t="shared" si="411"/>
        <v xml:space="preserve"> </v>
      </c>
      <c r="GK139" s="14" t="str">
        <f t="shared" si="412"/>
        <v xml:space="preserve"> </v>
      </c>
      <c r="GL139" s="14" t="str">
        <f t="shared" si="413"/>
        <v xml:space="preserve"> </v>
      </c>
      <c r="GM139" s="27" t="str">
        <f t="shared" si="484"/>
        <v xml:space="preserve"> </v>
      </c>
      <c r="GN139" s="14" t="str">
        <f t="shared" si="415"/>
        <v xml:space="preserve"> </v>
      </c>
      <c r="GO139" s="14" t="str">
        <f t="shared" si="416"/>
        <v xml:space="preserve"> </v>
      </c>
      <c r="GP139" s="14" t="str">
        <f t="shared" si="417"/>
        <v xml:space="preserve"> </v>
      </c>
      <c r="GQ139" s="14" t="str">
        <f t="shared" si="418"/>
        <v xml:space="preserve"> </v>
      </c>
      <c r="GR139" s="14" t="str">
        <f t="shared" si="419"/>
        <v xml:space="preserve"> </v>
      </c>
      <c r="GS139" s="27" t="str">
        <f t="shared" si="484"/>
        <v xml:space="preserve"> </v>
      </c>
      <c r="GT139" s="14" t="str">
        <f t="shared" si="421"/>
        <v xml:space="preserve"> </v>
      </c>
      <c r="GU139" s="14" t="str">
        <f t="shared" si="422"/>
        <v xml:space="preserve"> </v>
      </c>
      <c r="GV139" s="14" t="str">
        <f t="shared" si="423"/>
        <v xml:space="preserve"> </v>
      </c>
      <c r="GW139" s="14" t="str">
        <f t="shared" si="424"/>
        <v xml:space="preserve"> </v>
      </c>
      <c r="GX139" s="14" t="str">
        <f t="shared" si="425"/>
        <v xml:space="preserve"> </v>
      </c>
      <c r="GY139" s="27" t="str">
        <f t="shared" si="484"/>
        <v xml:space="preserve"> </v>
      </c>
      <c r="GZ139" s="14" t="str">
        <f t="shared" si="427"/>
        <v xml:space="preserve"> </v>
      </c>
      <c r="HA139" s="14" t="str">
        <f t="shared" si="428"/>
        <v xml:space="preserve"> </v>
      </c>
      <c r="HB139" s="14" t="str">
        <f t="shared" si="429"/>
        <v xml:space="preserve"> </v>
      </c>
      <c r="HC139" s="14" t="str">
        <f t="shared" si="430"/>
        <v xml:space="preserve"> </v>
      </c>
      <c r="HD139" s="14" t="str">
        <f t="shared" si="431"/>
        <v xml:space="preserve"> </v>
      </c>
      <c r="HE139" s="27" t="str">
        <f t="shared" si="485"/>
        <v xml:space="preserve"> </v>
      </c>
      <c r="HF139" s="14" t="str">
        <f t="shared" si="433"/>
        <v xml:space="preserve"> </v>
      </c>
      <c r="HG139" s="14" t="str">
        <f t="shared" si="434"/>
        <v xml:space="preserve"> </v>
      </c>
      <c r="HH139" s="14" t="str">
        <f t="shared" si="435"/>
        <v xml:space="preserve"> </v>
      </c>
      <c r="HI139" s="14" t="str">
        <f t="shared" si="436"/>
        <v xml:space="preserve"> </v>
      </c>
      <c r="HJ139" s="14" t="str">
        <f t="shared" si="437"/>
        <v xml:space="preserve"> </v>
      </c>
      <c r="HK139" s="27" t="str">
        <f t="shared" si="485"/>
        <v xml:space="preserve"> </v>
      </c>
      <c r="HL139" s="14" t="str">
        <f t="shared" si="439"/>
        <v xml:space="preserve"> </v>
      </c>
      <c r="HM139" s="14" t="str">
        <f t="shared" si="440"/>
        <v xml:space="preserve"> </v>
      </c>
      <c r="HN139" s="14" t="str">
        <f t="shared" si="441"/>
        <v xml:space="preserve"> </v>
      </c>
      <c r="HO139" s="14" t="str">
        <f t="shared" si="442"/>
        <v xml:space="preserve"> </v>
      </c>
      <c r="HP139" s="14" t="str">
        <f t="shared" si="443"/>
        <v xml:space="preserve"> </v>
      </c>
      <c r="HQ139" s="27" t="str">
        <f t="shared" si="485"/>
        <v xml:space="preserve"> </v>
      </c>
    </row>
    <row r="140" spans="1:225" ht="15.75" customHeight="1">
      <c r="A140" s="7">
        <f t="shared" ref="A140:C140" si="506">A32</f>
        <v>0</v>
      </c>
      <c r="B140" s="7">
        <f t="shared" si="506"/>
        <v>0</v>
      </c>
      <c r="C140" s="7" t="str">
        <f t="shared" si="506"/>
        <v>attention to details</v>
      </c>
      <c r="D140" s="14" t="str">
        <f t="shared" si="446"/>
        <v xml:space="preserve"> </v>
      </c>
      <c r="E140" s="14" t="str">
        <f t="shared" si="447"/>
        <v xml:space="preserve"> </v>
      </c>
      <c r="F140" s="14" t="str">
        <f t="shared" si="448"/>
        <v xml:space="preserve"> </v>
      </c>
      <c r="G140" s="14" t="str">
        <f t="shared" si="449"/>
        <v xml:space="preserve">attention to details(1.1), efficiency(1), user rules and manuals(2.1), organizational rules and manuals(2.1),  </v>
      </c>
      <c r="H140" s="14" t="str">
        <f t="shared" si="450"/>
        <v xml:space="preserve">efficiency(-1,6.25%),  </v>
      </c>
      <c r="I140" s="27" t="str">
        <f t="shared" ref="I140" si="507">IF(I32="",I141,$C140&amp;"("&amp;I32&amp;"),"&amp;I141)</f>
        <v xml:space="preserve">efficiency(6.25), </v>
      </c>
      <c r="J140" s="14" t="str">
        <f t="shared" si="229"/>
        <v xml:space="preserve"> </v>
      </c>
      <c r="K140" s="14" t="str">
        <f t="shared" si="230"/>
        <v xml:space="preserve"> </v>
      </c>
      <c r="L140" s="14" t="str">
        <f t="shared" si="231"/>
        <v xml:space="preserve"> </v>
      </c>
      <c r="M140" s="14" t="str">
        <f t="shared" si="232"/>
        <v xml:space="preserve">efficiency(0.1), organizational rules and manuals(1.1),  </v>
      </c>
      <c r="N140" s="14" t="str">
        <f t="shared" si="233"/>
        <v xml:space="preserve">fun-ness(-1,6.75%), initiative(-1,6.75%),  </v>
      </c>
      <c r="O140" s="27" t="str">
        <f t="shared" si="482"/>
        <v xml:space="preserve">fun-ness(6.75),initiative(6.75), </v>
      </c>
      <c r="P140" s="14" t="str">
        <f t="shared" si="235"/>
        <v xml:space="preserve"> </v>
      </c>
      <c r="Q140" s="14" t="str">
        <f t="shared" si="236"/>
        <v xml:space="preserve"> </v>
      </c>
      <c r="R140" s="14" t="str">
        <f t="shared" si="237"/>
        <v xml:space="preserve"> </v>
      </c>
      <c r="S140" s="14" t="str">
        <f t="shared" si="238"/>
        <v xml:space="preserve">attention to details(0.1), community manager(0.1), team building(0.1),  </v>
      </c>
      <c r="T140" s="14" t="str">
        <f t="shared" si="239"/>
        <v xml:space="preserve">business model(-1,6.25%), web(-1,6.25%), mobile apps(-1,6.25%), aesthetics(-1,6.25%),  </v>
      </c>
      <c r="U140" s="27" t="str">
        <f t="shared" si="482"/>
        <v xml:space="preserve">business model(6.25),web(6.25),mobile apps(6.25),aesthetics(6.25), </v>
      </c>
      <c r="V140" s="14" t="str">
        <f t="shared" si="241"/>
        <v xml:space="preserve"> </v>
      </c>
      <c r="W140" s="14" t="str">
        <f t="shared" si="242"/>
        <v xml:space="preserve">efficiency(-1,25%),  </v>
      </c>
      <c r="X140" s="14" t="str">
        <f t="shared" si="243"/>
        <v xml:space="preserve">efficiency(25)
 </v>
      </c>
      <c r="Y140" s="14" t="str">
        <f t="shared" si="244"/>
        <v xml:space="preserve">community manager(0.1), administrator(0.1), spaciousness(1), ease of access(3), reputation(2), user rules and manuals(0.1), project management(0.1), negotiation(0.1),  </v>
      </c>
      <c r="Z140" s="14" t="str">
        <f t="shared" si="245"/>
        <v xml:space="preserve">reputation(-1,%),  </v>
      </c>
      <c r="AA140" s="27" t="str">
        <f t="shared" si="482"/>
        <v xml:space="preserve"> </v>
      </c>
      <c r="AB140" s="14" t="str">
        <f t="shared" si="247"/>
        <v xml:space="preserve"> </v>
      </c>
      <c r="AC140" s="14" t="str">
        <f t="shared" si="248"/>
        <v xml:space="preserve"> </v>
      </c>
      <c r="AD140" s="14" t="str">
        <f t="shared" si="249"/>
        <v xml:space="preserve"> </v>
      </c>
      <c r="AE140" s="14" t="str">
        <f t="shared" si="250"/>
        <v xml:space="preserve">attention to details(0.1), seriousness(0.1), initiative(0.1), spaciousness(1), user rules and manuals(1.1), organizational rules and manuals(1.1),  </v>
      </c>
      <c r="AF140" s="14" t="str">
        <f t="shared" si="251"/>
        <v xml:space="preserve">local biz(-1,6.25%), investors(-1,6.25%), non-profits(-1,6.25%), efficiency(-1,6.25%),  </v>
      </c>
      <c r="AG140" s="27" t="str">
        <f t="shared" si="482"/>
        <v xml:space="preserve">local biz(6.25),investors(6.25),non-profits(6.25),efficiency(6.25), </v>
      </c>
      <c r="AH140" s="14" t="str">
        <f t="shared" si="253"/>
        <v xml:space="preserve">fun-ness(1)
ease of access(1)
reputation(1)
 </v>
      </c>
      <c r="AI140" s="14" t="str">
        <f t="shared" si="254"/>
        <v xml:space="preserve"> </v>
      </c>
      <c r="AJ140" s="14" t="str">
        <f t="shared" si="255"/>
        <v xml:space="preserve"> </v>
      </c>
      <c r="AK140" s="14" t="str">
        <f t="shared" si="256"/>
        <v xml:space="preserve">attention to details(2.1), seriousness(2.1), community manager(2.1), administrator(2.1), spaciousness(1), ease of access(1), reputation(2), user rules and manuals(2.1), organizational rules and manuals(2.1), law(1.1), negotiation(1.1),  </v>
      </c>
      <c r="AL140" s="14" t="str">
        <f t="shared" si="257"/>
        <v xml:space="preserve">govt(-1,6.25%), non-profits(-1,6.25%), reputation(-1,6.25%),  </v>
      </c>
      <c r="AM140" s="27" t="str">
        <f t="shared" si="482"/>
        <v xml:space="preserve">govt(6.25),non-profits(6.25),reputation(6.25), </v>
      </c>
      <c r="AN140" s="14" t="str">
        <f t="shared" si="259"/>
        <v xml:space="preserve">fun-ness(1)
seriousness(1)
 </v>
      </c>
      <c r="AO140" s="14" t="str">
        <f t="shared" si="260"/>
        <v xml:space="preserve"> </v>
      </c>
      <c r="AP140" s="14" t="str">
        <f t="shared" si="261"/>
        <v xml:space="preserve"> </v>
      </c>
      <c r="AQ140" s="14" t="str">
        <f t="shared" si="262"/>
        <v xml:space="preserve">fun-ness(1), spaciousness(2.1), reputation(3), organizational rules and manuals(2.1), team building(2.1),  </v>
      </c>
      <c r="AR140" s="14" t="str">
        <f t="shared" si="263"/>
        <v xml:space="preserve">fun-ness(-1,6.25%), reputation(-1,6.25%), efficiency(-1,6.25%),  </v>
      </c>
      <c r="AS140" s="27" t="str">
        <f t="shared" si="482"/>
        <v xml:space="preserve">fun-ness(6.25),reputation(6.25),efficiency(6.25), </v>
      </c>
      <c r="AT140" s="14" t="str">
        <f t="shared" si="265"/>
        <v xml:space="preserve"> </v>
      </c>
      <c r="AU140" s="14" t="str">
        <f t="shared" si="266"/>
        <v xml:space="preserve"> </v>
      </c>
      <c r="AV140" s="14" t="str">
        <f t="shared" si="267"/>
        <v xml:space="preserve"> </v>
      </c>
      <c r="AW140" s="14" t="str">
        <f t="shared" si="268"/>
        <v xml:space="preserve">attention to details(3.1), fun-ness(3.1), seriousness(3.1), initiative(2.1), leader(2.1), community manager(2.1), user rules and manuals(2.1), team building(2.1),  </v>
      </c>
      <c r="AX140" s="14" t="str">
        <f t="shared" si="269"/>
        <v xml:space="preserve"> </v>
      </c>
      <c r="AY140" s="27" t="str">
        <f t="shared" si="482"/>
        <v xml:space="preserve"> </v>
      </c>
      <c r="AZ140" s="14" t="str">
        <f t="shared" si="271"/>
        <v xml:space="preserve"> </v>
      </c>
      <c r="BA140" s="14" t="str">
        <f t="shared" si="272"/>
        <v xml:space="preserve">attention to details(1,12.5%), fun-ness(-1,12.5%), seriousness(1,12.5%), efficiency(-1,12.5%), user rules and manuals(1,25%),  </v>
      </c>
      <c r="BB140" s="14" t="str">
        <f t="shared" si="273"/>
        <v xml:space="preserve">attention to details(12.5)
fun-ness(12.5)
seriousness(12.5)
efficiency(12.5)
user rules and manuals(25)
 </v>
      </c>
      <c r="BC140" s="14" t="str">
        <f t="shared" si="274"/>
        <v xml:space="preserve">attention to details(1.1), seriousness(1.1), community manager(1.1), administrator(1.1), user rules and manuals(2.1), organizational rules and manuals(2.1),  </v>
      </c>
      <c r="BD140" s="14" t="str">
        <f t="shared" si="275"/>
        <v xml:space="preserve">reputation(-1,6.25%),  </v>
      </c>
      <c r="BE140" s="27" t="str">
        <f t="shared" si="482"/>
        <v xml:space="preserve">reputation(6.25), </v>
      </c>
      <c r="BF140" s="14" t="str">
        <f t="shared" si="277"/>
        <v xml:space="preserve"> </v>
      </c>
      <c r="BG140" s="14" t="str">
        <f t="shared" si="278"/>
        <v xml:space="preserve">attention to details(1,25%), fun-ness(-1,25%), seriousness(1,25%), user rules and manuals(1,25%), organizational rules and manuals(1,25%),  </v>
      </c>
      <c r="BH140" s="14" t="str">
        <f t="shared" si="279"/>
        <v xml:space="preserve">attention to details(25)
fun-ness(25)
seriousness(25)
user rules and manuals(25)
organizational rules and manuals(25)
 </v>
      </c>
      <c r="BI140" s="14" t="str">
        <f t="shared" si="280"/>
        <v xml:space="preserve">fun-ness(1), seriousness(2.1), community manager(1.1), administrator(1.1),  </v>
      </c>
      <c r="BJ140" s="14" t="str">
        <f t="shared" si="281"/>
        <v xml:space="preserve">reputation(-1,6.25%), efficiency(-1,25%),  </v>
      </c>
      <c r="BK140" s="27" t="str">
        <f t="shared" si="482"/>
        <v xml:space="preserve">reputation(6.25),efficiency(25), </v>
      </c>
      <c r="BL140" s="14" t="str">
        <f t="shared" si="283"/>
        <v xml:space="preserve">local biz(1)
ease of access(1)
reputation(1)
aesthetics(1)
 </v>
      </c>
      <c r="BM140" s="14" t="str">
        <f t="shared" si="284"/>
        <v xml:space="preserve">biz enhancement(1,%),  </v>
      </c>
      <c r="BN140" s="14" t="str">
        <f t="shared" si="285"/>
        <v xml:space="preserve"> </v>
      </c>
      <c r="BO140" s="14" t="str">
        <f t="shared" si="286"/>
        <v xml:space="preserve">attention to details(2), initiative(1), community manager(1), PR(1), administrator(2), ease of access(2), reputation(3), efficiency(2), user rules and manuals(1), marketing(1), negotiation(1), aesthetics(2), functions(1), safety(1),  </v>
      </c>
      <c r="BP140" s="14" t="str">
        <f t="shared" si="287"/>
        <v xml:space="preserve">local biz(1,6.25%),  </v>
      </c>
      <c r="BQ140" s="27" t="str">
        <f t="shared" si="482"/>
        <v xml:space="preserve">local biz(6.25), </v>
      </c>
      <c r="BR140" s="14" t="str">
        <f t="shared" si="289"/>
        <v xml:space="preserve">local biz(1)
ease of access(1)
reputation(1)
aesthetics(1)
 </v>
      </c>
      <c r="BS140" s="14" t="str">
        <f t="shared" si="290"/>
        <v xml:space="preserve">biz project(1,%),  </v>
      </c>
      <c r="BT140" s="14" t="str">
        <f t="shared" si="291"/>
        <v xml:space="preserve"> </v>
      </c>
      <c r="BU140" s="14" t="str">
        <f t="shared" si="292"/>
        <v xml:space="preserve">attention to details(2), initiative(1), community manager(1), PR(1), administrator(2), ease of access(2), reputation(3), efficiency(2), user rules and manuals(1), marketing(1), negotiation(1), wood processing(1), aesthetics(2),  </v>
      </c>
      <c r="BV140" s="14" t="str">
        <f t="shared" si="293"/>
        <v xml:space="preserve">local biz(1,6.25%),  </v>
      </c>
      <c r="BW140" s="27" t="str">
        <f t="shared" si="482"/>
        <v xml:space="preserve">local biz(6.25), </v>
      </c>
      <c r="BX140" s="14" t="str">
        <f t="shared" si="295"/>
        <v xml:space="preserve">local biz(1)
ease of access(1)
reputation(1)
aesthetics(1)
interaction(1)
 </v>
      </c>
      <c r="BY140" s="14" t="str">
        <f t="shared" si="296"/>
        <v xml:space="preserve">biz project(1,%),  </v>
      </c>
      <c r="BZ140" s="14" t="str">
        <f t="shared" si="297"/>
        <v xml:space="preserve"> </v>
      </c>
      <c r="CA140" s="14" t="str">
        <f t="shared" si="298"/>
        <v xml:space="preserve">attention to details(2), initiative(1), community manager(1), PR(1), administrator(2), ease of access(2), reputation(3), efficiency(2), user rules and manuals(1), marketing(1), team building(1), social media(1), negotiation(1), web(2), infrastructrue(2), database(2), security(3), aesthetics(2), functions(1), interaction(2),  </v>
      </c>
      <c r="CB140" s="14" t="str">
        <f t="shared" si="299"/>
        <v xml:space="preserve">local biz(1,6.25%),  </v>
      </c>
      <c r="CC140" s="27" t="str">
        <f t="shared" si="483"/>
        <v xml:space="preserve">local biz(6.25), </v>
      </c>
      <c r="CD140" s="14" t="str">
        <f t="shared" si="301"/>
        <v xml:space="preserve">ease of access(1)
reputation(1)
aesthetics(1)
 </v>
      </c>
      <c r="CE140" s="14" t="str">
        <f t="shared" si="302"/>
        <v xml:space="preserve">biz project(1,%),  </v>
      </c>
      <c r="CF140" s="14" t="str">
        <f t="shared" si="303"/>
        <v xml:space="preserve"> </v>
      </c>
      <c r="CG140" s="14" t="str">
        <f t="shared" si="304"/>
        <v xml:space="preserve">initiative(1), community manager(1), PR(1), administrator(2), ease of access(2), efficiency(2), user rules and manuals(1), marketing(1), team building(1), negotiation(1), infrastructrue(1), database(2), mobile apps(2), security(3), aesthetics(2), functions(1), interaction(2),  </v>
      </c>
      <c r="CH140" s="14" t="str">
        <f t="shared" si="305"/>
        <v xml:space="preserve">local biz(1,6.25%),  </v>
      </c>
      <c r="CI140" s="27" t="str">
        <f t="shared" si="483"/>
        <v xml:space="preserve">local biz(6.25), </v>
      </c>
      <c r="CJ140" s="14" t="str">
        <f t="shared" si="307"/>
        <v xml:space="preserve">ease of access(1)
reputation(1)
aesthetics(1)
 </v>
      </c>
      <c r="CK140" s="14" t="str">
        <f t="shared" si="308"/>
        <v xml:space="preserve">biz project(1,%),  </v>
      </c>
      <c r="CL140" s="14" t="str">
        <f t="shared" si="309"/>
        <v xml:space="preserve"> </v>
      </c>
      <c r="CM140" s="14" t="str">
        <f t="shared" si="310"/>
        <v xml:space="preserve">attention to details(2), initiative(1), community manager(1), PR(1), administrator(2), ease of access(2), reputation(3), efficiency(2), user rules and manuals(1), marketing(2), team building(1), social media(2), negotiation(1), web(2), infrastructrue(2), database(2), mobile apps(2), security(2), aesthetics(2), functions(1), interaction(2),  </v>
      </c>
      <c r="CN140" s="14" t="str">
        <f t="shared" si="311"/>
        <v xml:space="preserve">local biz(1,6.25%),  </v>
      </c>
      <c r="CO140" s="27" t="str">
        <f t="shared" si="483"/>
        <v xml:space="preserve">local biz(6.25), </v>
      </c>
      <c r="CP140" s="14" t="str">
        <f t="shared" si="313"/>
        <v xml:space="preserve">local biz(1)
metal processing(1)
functions(1)
 </v>
      </c>
      <c r="CQ140" s="14" t="str">
        <f t="shared" si="314"/>
        <v xml:space="preserve">local biz(1,50%), biz enhancement(1,50%),  </v>
      </c>
      <c r="CR140" s="14" t="str">
        <f t="shared" si="315"/>
        <v xml:space="preserve">local biz(50)
biz enhancement(50)
 </v>
      </c>
      <c r="CS140" s="14" t="str">
        <f t="shared" si="316"/>
        <v xml:space="preserve">attention to details(2), initiative(1), community manager(1), ease of access(2), reputation(3), efficiency(2), metal processing(2), electronics(2), aesthetics(2), functions(2), safety(2),  </v>
      </c>
      <c r="CT140" s="14" t="str">
        <f t="shared" si="317"/>
        <v xml:space="preserve">reputation(1,6.25%),  </v>
      </c>
      <c r="CU140" s="27" t="str">
        <f t="shared" si="483"/>
        <v xml:space="preserve">reputation(6.25), </v>
      </c>
      <c r="CV140" s="14" t="str">
        <f t="shared" si="319"/>
        <v xml:space="preserve">non-profits(1)
wood processing(1)
aesthetics(1)
interaction(1)
 </v>
      </c>
      <c r="CW140" s="14" t="str">
        <f t="shared" si="320"/>
        <v xml:space="preserve">non-profits(1,50%), social project(1,50%),  </v>
      </c>
      <c r="CX140" s="14" t="str">
        <f t="shared" si="321"/>
        <v xml:space="preserve">non-profits(50)
social project(50)
 </v>
      </c>
      <c r="CY140" s="14" t="str">
        <f t="shared" si="322"/>
        <v xml:space="preserve">attention to details(2), fun-ness(2), administrator(2), ease of access(2), efficiency(3), sensors(2), wood processing(2), plastic processing(2), electronics(2), aesthetics(2), functions(1), safety(1), interaction(2),  </v>
      </c>
      <c r="CZ140" s="14" t="str">
        <f t="shared" si="323"/>
        <v xml:space="preserve">media(1,6.25%), reputation(1,6.25%), portfolio(1,6.25%),  </v>
      </c>
      <c r="DA140" s="27" t="str">
        <f t="shared" si="483"/>
        <v xml:space="preserve">media(6.25),reputation(6.25),portfolio(6.25), </v>
      </c>
      <c r="DB140" s="14" t="str">
        <f t="shared" si="325"/>
        <v xml:space="preserve">non-profits(1)
aesthetics(1)
interaction(1)
 </v>
      </c>
      <c r="DC140" s="14" t="str">
        <f t="shared" si="326"/>
        <v xml:space="preserve">non-profits(1,50%), social project(1,50%),  </v>
      </c>
      <c r="DD140" s="14" t="str">
        <f t="shared" si="327"/>
        <v xml:space="preserve">non-profits(50)
social project(50)
 </v>
      </c>
      <c r="DE140" s="14" t="str">
        <f t="shared" si="328"/>
        <v xml:space="preserve">attention to details(2), fun-ness(2), administrator(2), ease of access(2), efficiency(3), VR&amp;AR(2),  </v>
      </c>
      <c r="DF140" s="14" t="str">
        <f t="shared" si="329"/>
        <v xml:space="preserve">media(1,6.25%), reputation(1,6.25%), portfolio(1,6.25%),  </v>
      </c>
      <c r="DG140" s="27" t="str">
        <f t="shared" si="483"/>
        <v xml:space="preserve">media(6.25),reputation(6.25),portfolio(6.25), </v>
      </c>
      <c r="DH140" s="14" t="str">
        <f t="shared" si="331"/>
        <v xml:space="preserve">wood processing(1)
aesthetics(1)
safety(1)
 </v>
      </c>
      <c r="DI140" s="14" t="str">
        <f t="shared" si="332"/>
        <v xml:space="preserve">social project(1,100%),  </v>
      </c>
      <c r="DJ140" s="14" t="str">
        <f t="shared" si="333"/>
        <v xml:space="preserve">social project(100)
 </v>
      </c>
      <c r="DK140" s="14" t="str">
        <f t="shared" si="334"/>
        <v xml:space="preserve">attention to details(3), 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0" s="14" t="str">
        <f t="shared" si="335"/>
        <v xml:space="preserve">fun-ness(1,6.25%), reputation(1,6.25%), portfolio(1,6.25%), team building(1,6.25%),  </v>
      </c>
      <c r="DM140" s="27" t="str">
        <f t="shared" si="483"/>
        <v xml:space="preserve">fun-ness(6.25),reputation(6.25),portfolio(6.25),team building(6.25), </v>
      </c>
      <c r="DN140" s="14" t="str">
        <f t="shared" si="337"/>
        <v xml:space="preserve">attention to details(2)
fun-ness(2)
initiative(1)
community manager(1)
fame(1)
network(2)
suppliers(2)
spaciousness(1)
ease of access(2)
reputation(3)
project management(2)
wood processing(1)
plastic processing(1)
electronics(1)
aesthetics(2)
functions(1)
safety(1)
biz project(1)
 </v>
      </c>
      <c r="DO140" s="14" t="str">
        <f t="shared" si="338"/>
        <v xml:space="preserve">reputation(1,25%), portfolio(1,50%),  </v>
      </c>
      <c r="DP140" s="14" t="str">
        <f t="shared" si="339"/>
        <v xml:space="preserve">reputation(25)
portfolio(50)
 </v>
      </c>
      <c r="DQ140" s="14" t="str">
        <f t="shared" si="340"/>
        <v xml:space="preserve">attention to details(3), fun-ness(3), administrator(1), media(3), suppliers(3), social media(2), wood processing(2), plastic processing(2), electronics(2), aesthetics(2),  </v>
      </c>
      <c r="DR140" s="14" t="str">
        <f t="shared" si="341"/>
        <v xml:space="preserve">suppliers(1,6.25%), reputation(1,6.25%),  </v>
      </c>
      <c r="DS140" s="27" t="str">
        <f t="shared" si="483"/>
        <v xml:space="preserve">suppliers(6.25),reputation(6.25), </v>
      </c>
      <c r="DT140" s="14" t="str">
        <f t="shared" si="343"/>
        <v xml:space="preserve">attention to details(2)
leader(1)
fame(1)
network(2)
reputation(3)
portfolio(2)
 </v>
      </c>
      <c r="DU140" s="14" t="str">
        <f t="shared" si="344"/>
        <v xml:space="preserve">fame(1,25%), govt(1,25%), non-profits(1,50%), reputation(1,25%),  </v>
      </c>
      <c r="DV140" s="14" t="str">
        <f t="shared" si="345"/>
        <v xml:space="preserve">fame(25)
govt(25)
non-profits(50)
reputation(25)
 </v>
      </c>
      <c r="DW140" s="14" t="str">
        <f t="shared" si="346"/>
        <v xml:space="preserve">attention to details(2), PR(1), administrator(1), social media(2),  </v>
      </c>
      <c r="DX140" s="14" t="str">
        <f t="shared" si="347"/>
        <v xml:space="preserve">fame(1,6.25%), reputation(1,6.25%),  </v>
      </c>
      <c r="DY140" s="27" t="str">
        <f t="shared" si="483"/>
        <v xml:space="preserve">fame(6.25),reputation(6.25), </v>
      </c>
      <c r="DZ140" s="14" t="str">
        <f t="shared" si="349"/>
        <v xml:space="preserve"> </v>
      </c>
      <c r="EA140" s="14" t="str">
        <f t="shared" si="350"/>
        <v xml:space="preserve"> </v>
      </c>
      <c r="EB140" s="14" t="str">
        <f t="shared" si="351"/>
        <v xml:space="preserve"> </v>
      </c>
      <c r="EC140" s="14" t="str">
        <f t="shared" si="352"/>
        <v xml:space="preserve"> </v>
      </c>
      <c r="ED140" s="14" t="str">
        <f t="shared" si="353"/>
        <v xml:space="preserve"> </v>
      </c>
      <c r="EE140" s="27" t="str">
        <f t="shared" si="483"/>
        <v xml:space="preserve"> </v>
      </c>
      <c r="EF140" s="14" t="str">
        <f t="shared" si="355"/>
        <v xml:space="preserve"> </v>
      </c>
      <c r="EG140" s="14" t="str">
        <f t="shared" si="356"/>
        <v xml:space="preserve"> </v>
      </c>
      <c r="EH140" s="14" t="str">
        <f t="shared" si="357"/>
        <v xml:space="preserve"> </v>
      </c>
      <c r="EI140" s="14" t="str">
        <f t="shared" si="358"/>
        <v xml:space="preserve"> </v>
      </c>
      <c r="EJ140" s="14" t="str">
        <f t="shared" si="359"/>
        <v xml:space="preserve"> </v>
      </c>
      <c r="EK140" s="27" t="str">
        <f t="shared" si="483"/>
        <v xml:space="preserve"> </v>
      </c>
      <c r="EL140" s="14" t="str">
        <f t="shared" si="361"/>
        <v xml:space="preserve"> </v>
      </c>
      <c r="EM140" s="14" t="str">
        <f t="shared" si="362"/>
        <v xml:space="preserve"> </v>
      </c>
      <c r="EN140" s="14" t="str">
        <f t="shared" si="363"/>
        <v xml:space="preserve"> </v>
      </c>
      <c r="EO140" s="14" t="str">
        <f t="shared" si="364"/>
        <v xml:space="preserve"> </v>
      </c>
      <c r="EP140" s="14" t="str">
        <f t="shared" si="365"/>
        <v xml:space="preserve"> </v>
      </c>
      <c r="EQ140" s="27" t="str">
        <f t="shared" si="484"/>
        <v xml:space="preserve"> </v>
      </c>
      <c r="ER140" s="14" t="str">
        <f t="shared" si="367"/>
        <v xml:space="preserve"> </v>
      </c>
      <c r="ES140" s="14" t="str">
        <f t="shared" si="368"/>
        <v xml:space="preserve"> </v>
      </c>
      <c r="ET140" s="14" t="str">
        <f t="shared" si="369"/>
        <v xml:space="preserve"> </v>
      </c>
      <c r="EU140" s="14" t="str">
        <f t="shared" si="370"/>
        <v xml:space="preserve"> </v>
      </c>
      <c r="EV140" s="14" t="str">
        <f t="shared" si="371"/>
        <v xml:space="preserve"> </v>
      </c>
      <c r="EW140" s="27" t="str">
        <f t="shared" si="484"/>
        <v xml:space="preserve"> </v>
      </c>
      <c r="EX140" s="14" t="str">
        <f t="shared" si="373"/>
        <v xml:space="preserve"> </v>
      </c>
      <c r="EY140" s="14" t="str">
        <f t="shared" si="374"/>
        <v xml:space="preserve"> </v>
      </c>
      <c r="EZ140" s="14" t="str">
        <f t="shared" si="375"/>
        <v xml:space="preserve"> </v>
      </c>
      <c r="FA140" s="14" t="str">
        <f t="shared" si="376"/>
        <v xml:space="preserve"> </v>
      </c>
      <c r="FB140" s="14" t="str">
        <f t="shared" si="377"/>
        <v xml:space="preserve"> </v>
      </c>
      <c r="FC140" s="27" t="str">
        <f t="shared" si="484"/>
        <v xml:space="preserve"> </v>
      </c>
      <c r="FD140" s="14" t="str">
        <f t="shared" si="379"/>
        <v xml:space="preserve"> </v>
      </c>
      <c r="FE140" s="14" t="str">
        <f t="shared" si="380"/>
        <v xml:space="preserve"> </v>
      </c>
      <c r="FF140" s="14" t="str">
        <f t="shared" si="381"/>
        <v xml:space="preserve"> </v>
      </c>
      <c r="FG140" s="14" t="str">
        <f t="shared" si="382"/>
        <v xml:space="preserve"> </v>
      </c>
      <c r="FH140" s="14" t="str">
        <f t="shared" si="383"/>
        <v xml:space="preserve"> </v>
      </c>
      <c r="FI140" s="27" t="str">
        <f t="shared" si="484"/>
        <v xml:space="preserve"> </v>
      </c>
      <c r="FJ140" s="14" t="str">
        <f t="shared" si="385"/>
        <v xml:space="preserve"> </v>
      </c>
      <c r="FK140" s="14" t="str">
        <f t="shared" si="386"/>
        <v xml:space="preserve"> </v>
      </c>
      <c r="FL140" s="14" t="str">
        <f t="shared" si="387"/>
        <v xml:space="preserve"> </v>
      </c>
      <c r="FM140" s="14" t="str">
        <f t="shared" si="388"/>
        <v xml:space="preserve"> </v>
      </c>
      <c r="FN140" s="14" t="str">
        <f t="shared" si="389"/>
        <v xml:space="preserve"> </v>
      </c>
      <c r="FO140" s="27" t="str">
        <f t="shared" si="484"/>
        <v xml:space="preserve"> </v>
      </c>
      <c r="FP140" s="14" t="str">
        <f t="shared" si="391"/>
        <v xml:space="preserve"> </v>
      </c>
      <c r="FQ140" s="14" t="str">
        <f t="shared" si="392"/>
        <v xml:space="preserve"> </v>
      </c>
      <c r="FR140" s="14" t="str">
        <f t="shared" si="393"/>
        <v xml:space="preserve"> </v>
      </c>
      <c r="FS140" s="14" t="str">
        <f t="shared" si="394"/>
        <v xml:space="preserve"> </v>
      </c>
      <c r="FT140" s="14" t="str">
        <f t="shared" si="395"/>
        <v xml:space="preserve"> </v>
      </c>
      <c r="FU140" s="27" t="str">
        <f t="shared" si="484"/>
        <v xml:space="preserve"> </v>
      </c>
      <c r="FV140" s="14" t="str">
        <f t="shared" si="397"/>
        <v xml:space="preserve"> </v>
      </c>
      <c r="FW140" s="14" t="str">
        <f t="shared" si="398"/>
        <v xml:space="preserve"> </v>
      </c>
      <c r="FX140" s="14" t="str">
        <f t="shared" si="399"/>
        <v xml:space="preserve"> </v>
      </c>
      <c r="FY140" s="14" t="str">
        <f t="shared" si="400"/>
        <v xml:space="preserve"> </v>
      </c>
      <c r="FZ140" s="14" t="str">
        <f t="shared" si="401"/>
        <v xml:space="preserve"> </v>
      </c>
      <c r="GA140" s="27" t="str">
        <f t="shared" si="484"/>
        <v xml:space="preserve"> </v>
      </c>
      <c r="GB140" s="14" t="str">
        <f t="shared" si="403"/>
        <v xml:space="preserve"> </v>
      </c>
      <c r="GC140" s="14" t="str">
        <f t="shared" si="404"/>
        <v xml:space="preserve"> </v>
      </c>
      <c r="GD140" s="14" t="str">
        <f t="shared" si="405"/>
        <v xml:space="preserve"> </v>
      </c>
      <c r="GE140" s="14" t="str">
        <f t="shared" si="406"/>
        <v xml:space="preserve"> </v>
      </c>
      <c r="GF140" s="14" t="str">
        <f t="shared" si="407"/>
        <v xml:space="preserve"> </v>
      </c>
      <c r="GG140" s="27" t="str">
        <f t="shared" si="484"/>
        <v xml:space="preserve"> </v>
      </c>
      <c r="GH140" s="14" t="str">
        <f t="shared" si="409"/>
        <v xml:space="preserve"> </v>
      </c>
      <c r="GI140" s="14" t="str">
        <f t="shared" si="410"/>
        <v xml:space="preserve"> </v>
      </c>
      <c r="GJ140" s="14" t="str">
        <f t="shared" si="411"/>
        <v xml:space="preserve"> </v>
      </c>
      <c r="GK140" s="14" t="str">
        <f t="shared" si="412"/>
        <v xml:space="preserve"> </v>
      </c>
      <c r="GL140" s="14" t="str">
        <f t="shared" si="413"/>
        <v xml:space="preserve"> </v>
      </c>
      <c r="GM140" s="27" t="str">
        <f t="shared" si="484"/>
        <v xml:space="preserve"> </v>
      </c>
      <c r="GN140" s="14" t="str">
        <f t="shared" si="415"/>
        <v xml:space="preserve"> </v>
      </c>
      <c r="GO140" s="14" t="str">
        <f t="shared" si="416"/>
        <v xml:space="preserve"> </v>
      </c>
      <c r="GP140" s="14" t="str">
        <f t="shared" si="417"/>
        <v xml:space="preserve"> </v>
      </c>
      <c r="GQ140" s="14" t="str">
        <f t="shared" si="418"/>
        <v xml:space="preserve"> </v>
      </c>
      <c r="GR140" s="14" t="str">
        <f t="shared" si="419"/>
        <v xml:space="preserve"> </v>
      </c>
      <c r="GS140" s="27" t="str">
        <f t="shared" si="484"/>
        <v xml:space="preserve"> </v>
      </c>
      <c r="GT140" s="14" t="str">
        <f t="shared" si="421"/>
        <v xml:space="preserve"> </v>
      </c>
      <c r="GU140" s="14" t="str">
        <f t="shared" si="422"/>
        <v xml:space="preserve"> </v>
      </c>
      <c r="GV140" s="14" t="str">
        <f t="shared" si="423"/>
        <v xml:space="preserve"> </v>
      </c>
      <c r="GW140" s="14" t="str">
        <f t="shared" si="424"/>
        <v xml:space="preserve"> </v>
      </c>
      <c r="GX140" s="14" t="str">
        <f t="shared" si="425"/>
        <v xml:space="preserve"> </v>
      </c>
      <c r="GY140" s="27" t="str">
        <f t="shared" si="484"/>
        <v xml:space="preserve"> </v>
      </c>
      <c r="GZ140" s="14" t="str">
        <f t="shared" si="427"/>
        <v xml:space="preserve"> </v>
      </c>
      <c r="HA140" s="14" t="str">
        <f t="shared" si="428"/>
        <v xml:space="preserve"> </v>
      </c>
      <c r="HB140" s="14" t="str">
        <f t="shared" si="429"/>
        <v xml:space="preserve"> </v>
      </c>
      <c r="HC140" s="14" t="str">
        <f t="shared" si="430"/>
        <v xml:space="preserve"> </v>
      </c>
      <c r="HD140" s="14" t="str">
        <f t="shared" si="431"/>
        <v xml:space="preserve"> </v>
      </c>
      <c r="HE140" s="27" t="str">
        <f t="shared" si="485"/>
        <v xml:space="preserve"> </v>
      </c>
      <c r="HF140" s="14" t="str">
        <f t="shared" si="433"/>
        <v xml:space="preserve"> </v>
      </c>
      <c r="HG140" s="14" t="str">
        <f t="shared" si="434"/>
        <v xml:space="preserve"> </v>
      </c>
      <c r="HH140" s="14" t="str">
        <f t="shared" si="435"/>
        <v xml:space="preserve"> </v>
      </c>
      <c r="HI140" s="14" t="str">
        <f t="shared" si="436"/>
        <v xml:space="preserve"> </v>
      </c>
      <c r="HJ140" s="14" t="str">
        <f t="shared" si="437"/>
        <v xml:space="preserve"> </v>
      </c>
      <c r="HK140" s="27" t="str">
        <f t="shared" si="485"/>
        <v xml:space="preserve"> </v>
      </c>
      <c r="HL140" s="14" t="str">
        <f t="shared" si="439"/>
        <v xml:space="preserve"> </v>
      </c>
      <c r="HM140" s="14" t="str">
        <f t="shared" si="440"/>
        <v xml:space="preserve"> </v>
      </c>
      <c r="HN140" s="14" t="str">
        <f t="shared" si="441"/>
        <v xml:space="preserve"> </v>
      </c>
      <c r="HO140" s="14" t="str">
        <f t="shared" si="442"/>
        <v xml:space="preserve"> </v>
      </c>
      <c r="HP140" s="14" t="str">
        <f t="shared" si="443"/>
        <v xml:space="preserve"> </v>
      </c>
      <c r="HQ140" s="27" t="str">
        <f t="shared" si="485"/>
        <v xml:space="preserve"> </v>
      </c>
    </row>
    <row r="141" spans="1:225" ht="15.75" customHeight="1">
      <c r="A141" s="7">
        <f t="shared" ref="A141:C141" si="508">A33</f>
        <v>0</v>
      </c>
      <c r="B141" s="7">
        <f t="shared" si="508"/>
        <v>0</v>
      </c>
      <c r="C141" s="7" t="str">
        <f t="shared" si="508"/>
        <v>fun-ness</v>
      </c>
      <c r="D141" s="14" t="str">
        <f t="shared" si="446"/>
        <v xml:space="preserve"> </v>
      </c>
      <c r="E141" s="14" t="str">
        <f t="shared" si="447"/>
        <v xml:space="preserve"> </v>
      </c>
      <c r="F141" s="14" t="str">
        <f t="shared" si="448"/>
        <v xml:space="preserve"> </v>
      </c>
      <c r="G141" s="14" t="str">
        <f t="shared" si="449"/>
        <v xml:space="preserve">efficiency(1), user rules and manuals(2.1), organizational rules and manuals(2.1),  </v>
      </c>
      <c r="H141" s="14" t="str">
        <f t="shared" si="450"/>
        <v xml:space="preserve">efficiency(-1,6.25%),  </v>
      </c>
      <c r="I141" s="27" t="str">
        <f t="shared" ref="I141" si="509">IF(I33="",I142,$C141&amp;"("&amp;I33&amp;"),"&amp;I142)</f>
        <v xml:space="preserve">efficiency(6.25), </v>
      </c>
      <c r="J141" s="14" t="str">
        <f t="shared" si="229"/>
        <v xml:space="preserve"> </v>
      </c>
      <c r="K141" s="14" t="str">
        <f t="shared" si="230"/>
        <v xml:space="preserve"> </v>
      </c>
      <c r="L141" s="14" t="str">
        <f t="shared" si="231"/>
        <v xml:space="preserve"> </v>
      </c>
      <c r="M141" s="14" t="str">
        <f t="shared" si="232"/>
        <v xml:space="preserve">efficiency(0.1), organizational rules and manuals(1.1),  </v>
      </c>
      <c r="N141" s="14" t="str">
        <f t="shared" si="233"/>
        <v xml:space="preserve">fun-ness(-1,6.75%), initiative(-1,6.75%),  </v>
      </c>
      <c r="O141" s="27" t="str">
        <f t="shared" si="482"/>
        <v xml:space="preserve">fun-ness(6.75),initiative(6.75), </v>
      </c>
      <c r="P141" s="14" t="str">
        <f t="shared" si="235"/>
        <v xml:space="preserve"> </v>
      </c>
      <c r="Q141" s="14" t="str">
        <f t="shared" si="236"/>
        <v xml:space="preserve"> </v>
      </c>
      <c r="R141" s="14" t="str">
        <f t="shared" si="237"/>
        <v xml:space="preserve"> </v>
      </c>
      <c r="S141" s="14" t="str">
        <f t="shared" si="238"/>
        <v xml:space="preserve">community manager(0.1), team building(0.1),  </v>
      </c>
      <c r="T141" s="14" t="str">
        <f t="shared" si="239"/>
        <v xml:space="preserve">business model(-1,6.25%), web(-1,6.25%), mobile apps(-1,6.25%), aesthetics(-1,6.25%),  </v>
      </c>
      <c r="U141" s="27" t="str">
        <f t="shared" si="482"/>
        <v xml:space="preserve">business model(6.25),web(6.25),mobile apps(6.25),aesthetics(6.25), </v>
      </c>
      <c r="V141" s="14" t="str">
        <f t="shared" si="241"/>
        <v xml:space="preserve"> </v>
      </c>
      <c r="W141" s="14" t="str">
        <f t="shared" si="242"/>
        <v xml:space="preserve">efficiency(-1,25%),  </v>
      </c>
      <c r="X141" s="14" t="str">
        <f t="shared" si="243"/>
        <v xml:space="preserve">efficiency(25)
 </v>
      </c>
      <c r="Y141" s="14" t="str">
        <f t="shared" si="244"/>
        <v xml:space="preserve">community manager(0.1), administrator(0.1), spaciousness(1), ease of access(3), reputation(2), user rules and manuals(0.1), project management(0.1), negotiation(0.1),  </v>
      </c>
      <c r="Z141" s="14" t="str">
        <f t="shared" si="245"/>
        <v xml:space="preserve">reputation(-1,%),  </v>
      </c>
      <c r="AA141" s="27" t="str">
        <f t="shared" si="482"/>
        <v xml:space="preserve"> </v>
      </c>
      <c r="AB141" s="14" t="str">
        <f t="shared" si="247"/>
        <v xml:space="preserve"> </v>
      </c>
      <c r="AC141" s="14" t="str">
        <f t="shared" si="248"/>
        <v xml:space="preserve"> </v>
      </c>
      <c r="AD141" s="14" t="str">
        <f t="shared" si="249"/>
        <v xml:space="preserve"> </v>
      </c>
      <c r="AE141" s="14" t="str">
        <f t="shared" si="250"/>
        <v xml:space="preserve">seriousness(0.1), initiative(0.1), spaciousness(1), user rules and manuals(1.1), organizational rules and manuals(1.1),  </v>
      </c>
      <c r="AF141" s="14" t="str">
        <f t="shared" si="251"/>
        <v xml:space="preserve">local biz(-1,6.25%), investors(-1,6.25%), non-profits(-1,6.25%), efficiency(-1,6.25%),  </v>
      </c>
      <c r="AG141" s="27" t="str">
        <f t="shared" si="482"/>
        <v xml:space="preserve">local biz(6.25),investors(6.25),non-profits(6.25),efficiency(6.25), </v>
      </c>
      <c r="AH141" s="14" t="str">
        <f t="shared" si="253"/>
        <v xml:space="preserve">fun-ness(1)
ease of access(1)
reputation(1)
 </v>
      </c>
      <c r="AI141" s="14" t="str">
        <f t="shared" si="254"/>
        <v xml:space="preserve"> </v>
      </c>
      <c r="AJ141" s="14" t="str">
        <f t="shared" si="255"/>
        <v xml:space="preserve"> </v>
      </c>
      <c r="AK141" s="14" t="str">
        <f t="shared" si="256"/>
        <v xml:space="preserve">seriousness(2.1), community manager(2.1), administrator(2.1), spaciousness(1), ease of access(1), reputation(2), user rules and manuals(2.1), organizational rules and manuals(2.1), law(1.1), negotiation(1.1),  </v>
      </c>
      <c r="AL141" s="14" t="str">
        <f t="shared" si="257"/>
        <v xml:space="preserve">govt(-1,6.25%), non-profits(-1,6.25%), reputation(-1,6.25%),  </v>
      </c>
      <c r="AM141" s="27" t="str">
        <f t="shared" si="482"/>
        <v xml:space="preserve">govt(6.25),non-profits(6.25),reputation(6.25), </v>
      </c>
      <c r="AN141" s="14" t="str">
        <f t="shared" si="259"/>
        <v xml:space="preserve">fun-ness(1)
seriousness(1)
 </v>
      </c>
      <c r="AO141" s="14" t="str">
        <f t="shared" si="260"/>
        <v xml:space="preserve"> </v>
      </c>
      <c r="AP141" s="14" t="str">
        <f t="shared" si="261"/>
        <v xml:space="preserve"> </v>
      </c>
      <c r="AQ141" s="14" t="str">
        <f t="shared" si="262"/>
        <v xml:space="preserve">fun-ness(1), spaciousness(2.1), reputation(3), organizational rules and manuals(2.1), team building(2.1),  </v>
      </c>
      <c r="AR141" s="14" t="str">
        <f t="shared" si="263"/>
        <v xml:space="preserve">fun-ness(-1,6.25%), reputation(-1,6.25%), efficiency(-1,6.25%),  </v>
      </c>
      <c r="AS141" s="27" t="str">
        <f t="shared" si="482"/>
        <v xml:space="preserve">fun-ness(6.25),reputation(6.25),efficiency(6.25), </v>
      </c>
      <c r="AT141" s="14" t="str">
        <f t="shared" si="265"/>
        <v xml:space="preserve"> </v>
      </c>
      <c r="AU141" s="14" t="str">
        <f t="shared" si="266"/>
        <v xml:space="preserve"> </v>
      </c>
      <c r="AV141" s="14" t="str">
        <f t="shared" si="267"/>
        <v xml:space="preserve"> </v>
      </c>
      <c r="AW141" s="14" t="str">
        <f t="shared" si="268"/>
        <v xml:space="preserve">fun-ness(3.1), seriousness(3.1), initiative(2.1), leader(2.1), community manager(2.1), user rules and manuals(2.1), team building(2.1),  </v>
      </c>
      <c r="AX141" s="14" t="str">
        <f t="shared" si="269"/>
        <v xml:space="preserve"> </v>
      </c>
      <c r="AY141" s="27" t="str">
        <f t="shared" si="482"/>
        <v xml:space="preserve"> </v>
      </c>
      <c r="AZ141" s="14" t="str">
        <f t="shared" si="271"/>
        <v xml:space="preserve"> </v>
      </c>
      <c r="BA141" s="14" t="str">
        <f t="shared" si="272"/>
        <v xml:space="preserve">fun-ness(-1,12.5%), seriousness(1,12.5%), efficiency(-1,12.5%), user rules and manuals(1,25%),  </v>
      </c>
      <c r="BB141" s="14" t="str">
        <f t="shared" si="273"/>
        <v xml:space="preserve">fun-ness(12.5)
seriousness(12.5)
efficiency(12.5)
user rules and manuals(25)
 </v>
      </c>
      <c r="BC141" s="14" t="str">
        <f t="shared" si="274"/>
        <v xml:space="preserve">seriousness(1.1), community manager(1.1), administrator(1.1), user rules and manuals(2.1), organizational rules and manuals(2.1),  </v>
      </c>
      <c r="BD141" s="14" t="str">
        <f t="shared" si="275"/>
        <v xml:space="preserve">reputation(-1,6.25%),  </v>
      </c>
      <c r="BE141" s="27" t="str">
        <f t="shared" si="482"/>
        <v xml:space="preserve">reputation(6.25), </v>
      </c>
      <c r="BF141" s="14" t="str">
        <f t="shared" si="277"/>
        <v xml:space="preserve"> </v>
      </c>
      <c r="BG141" s="14" t="str">
        <f t="shared" si="278"/>
        <v xml:space="preserve">fun-ness(-1,25%), seriousness(1,25%), user rules and manuals(1,25%), organizational rules and manuals(1,25%),  </v>
      </c>
      <c r="BH141" s="14" t="str">
        <f t="shared" si="279"/>
        <v xml:space="preserve">fun-ness(25)
seriousness(25)
user rules and manuals(25)
organizational rules and manuals(25)
 </v>
      </c>
      <c r="BI141" s="14" t="str">
        <f t="shared" si="280"/>
        <v xml:space="preserve">fun-ness(1), seriousness(2.1), community manager(1.1), administrator(1.1),  </v>
      </c>
      <c r="BJ141" s="14" t="str">
        <f t="shared" si="281"/>
        <v xml:space="preserve">reputation(-1,6.25%), efficiency(-1,25%),  </v>
      </c>
      <c r="BK141" s="27" t="str">
        <f t="shared" si="482"/>
        <v xml:space="preserve">reputation(6.25),efficiency(25), </v>
      </c>
      <c r="BL141" s="14" t="str">
        <f t="shared" si="283"/>
        <v xml:space="preserve">local biz(1)
ease of access(1)
reputation(1)
aesthetics(1)
 </v>
      </c>
      <c r="BM141" s="14" t="str">
        <f t="shared" si="284"/>
        <v xml:space="preserve">biz enhancement(1,%),  </v>
      </c>
      <c r="BN141" s="14" t="str">
        <f t="shared" si="285"/>
        <v xml:space="preserve"> </v>
      </c>
      <c r="BO141" s="14" t="str">
        <f t="shared" si="286"/>
        <v xml:space="preserve">initiative(1), community manager(1), PR(1), administrator(2), ease of access(2), reputation(3), efficiency(2), user rules and manuals(1), marketing(1), negotiation(1), aesthetics(2), functions(1), safety(1),  </v>
      </c>
      <c r="BP141" s="14" t="str">
        <f t="shared" si="287"/>
        <v xml:space="preserve">local biz(1,6.25%),  </v>
      </c>
      <c r="BQ141" s="27" t="str">
        <f t="shared" si="482"/>
        <v xml:space="preserve">local biz(6.25), </v>
      </c>
      <c r="BR141" s="14" t="str">
        <f t="shared" si="289"/>
        <v xml:space="preserve">local biz(1)
ease of access(1)
reputation(1)
aesthetics(1)
 </v>
      </c>
      <c r="BS141" s="14" t="str">
        <f t="shared" si="290"/>
        <v xml:space="preserve">biz project(1,%),  </v>
      </c>
      <c r="BT141" s="14" t="str">
        <f t="shared" si="291"/>
        <v xml:space="preserve"> </v>
      </c>
      <c r="BU141" s="14" t="str">
        <f t="shared" si="292"/>
        <v xml:space="preserve">initiative(1), community manager(1), PR(1), administrator(2), ease of access(2), reputation(3), efficiency(2), user rules and manuals(1), marketing(1), negotiation(1), wood processing(1), aesthetics(2),  </v>
      </c>
      <c r="BV141" s="14" t="str">
        <f t="shared" si="293"/>
        <v xml:space="preserve">local biz(1,6.25%),  </v>
      </c>
      <c r="BW141" s="27" t="str">
        <f t="shared" si="482"/>
        <v xml:space="preserve">local biz(6.25), </v>
      </c>
      <c r="BX141" s="14" t="str">
        <f t="shared" si="295"/>
        <v xml:space="preserve">local biz(1)
ease of access(1)
reputation(1)
aesthetics(1)
interaction(1)
 </v>
      </c>
      <c r="BY141" s="14" t="str">
        <f t="shared" si="296"/>
        <v xml:space="preserve">biz project(1,%),  </v>
      </c>
      <c r="BZ141" s="14" t="str">
        <f t="shared" si="297"/>
        <v xml:space="preserve"> </v>
      </c>
      <c r="CA141" s="14" t="str">
        <f t="shared" si="298"/>
        <v xml:space="preserve">initiative(1), community manager(1), PR(1), administrator(2), ease of access(2), reputation(3), efficiency(2), user rules and manuals(1), marketing(1), team building(1), social media(1), negotiation(1), web(2), infrastructrue(2), database(2), security(3), aesthetics(2), functions(1), interaction(2),  </v>
      </c>
      <c r="CB141" s="14" t="str">
        <f t="shared" si="299"/>
        <v xml:space="preserve">local biz(1,6.25%),  </v>
      </c>
      <c r="CC141" s="27" t="str">
        <f t="shared" si="483"/>
        <v xml:space="preserve">local biz(6.25), </v>
      </c>
      <c r="CD141" s="14" t="str">
        <f t="shared" si="301"/>
        <v xml:space="preserve">ease of access(1)
reputation(1)
aesthetics(1)
 </v>
      </c>
      <c r="CE141" s="14" t="str">
        <f t="shared" si="302"/>
        <v xml:space="preserve">biz project(1,%),  </v>
      </c>
      <c r="CF141" s="14" t="str">
        <f t="shared" si="303"/>
        <v xml:space="preserve"> </v>
      </c>
      <c r="CG141" s="14" t="str">
        <f t="shared" si="304"/>
        <v xml:space="preserve">initiative(1), community manager(1), PR(1), administrator(2), ease of access(2), efficiency(2), user rules and manuals(1), marketing(1), team building(1), negotiation(1), infrastructrue(1), database(2), mobile apps(2), security(3), aesthetics(2), functions(1), interaction(2),  </v>
      </c>
      <c r="CH141" s="14" t="str">
        <f t="shared" si="305"/>
        <v xml:space="preserve">local biz(1,6.25%),  </v>
      </c>
      <c r="CI141" s="27" t="str">
        <f t="shared" si="483"/>
        <v xml:space="preserve">local biz(6.25), </v>
      </c>
      <c r="CJ141" s="14" t="str">
        <f t="shared" si="307"/>
        <v xml:space="preserve">ease of access(1)
reputation(1)
aesthetics(1)
 </v>
      </c>
      <c r="CK141" s="14" t="str">
        <f t="shared" si="308"/>
        <v xml:space="preserve">biz project(1,%),  </v>
      </c>
      <c r="CL141" s="14" t="str">
        <f t="shared" si="309"/>
        <v xml:space="preserve"> </v>
      </c>
      <c r="CM141" s="14" t="str">
        <f t="shared" si="310"/>
        <v xml:space="preserve">initiative(1), community manager(1), PR(1), administrator(2), ease of access(2), reputation(3), efficiency(2), user rules and manuals(1), marketing(2), team building(1), social media(2), negotiation(1), web(2), infrastructrue(2), database(2), mobile apps(2), security(2), aesthetics(2), functions(1), interaction(2),  </v>
      </c>
      <c r="CN141" s="14" t="str">
        <f t="shared" si="311"/>
        <v xml:space="preserve">local biz(1,6.25%),  </v>
      </c>
      <c r="CO141" s="27" t="str">
        <f t="shared" si="483"/>
        <v xml:space="preserve">local biz(6.25), </v>
      </c>
      <c r="CP141" s="14" t="str">
        <f t="shared" si="313"/>
        <v xml:space="preserve">local biz(1)
metal processing(1)
functions(1)
 </v>
      </c>
      <c r="CQ141" s="14" t="str">
        <f t="shared" si="314"/>
        <v xml:space="preserve">local biz(1,50%), biz enhancement(1,50%),  </v>
      </c>
      <c r="CR141" s="14" t="str">
        <f t="shared" si="315"/>
        <v xml:space="preserve">local biz(50)
biz enhancement(50)
 </v>
      </c>
      <c r="CS141" s="14" t="str">
        <f t="shared" si="316"/>
        <v xml:space="preserve">initiative(1), community manager(1), ease of access(2), reputation(3), efficiency(2), metal processing(2), electronics(2), aesthetics(2), functions(2), safety(2),  </v>
      </c>
      <c r="CT141" s="14" t="str">
        <f t="shared" si="317"/>
        <v xml:space="preserve">reputation(1,6.25%),  </v>
      </c>
      <c r="CU141" s="27" t="str">
        <f t="shared" si="483"/>
        <v xml:space="preserve">reputation(6.25), </v>
      </c>
      <c r="CV141" s="14" t="str">
        <f t="shared" si="319"/>
        <v xml:space="preserve">non-profits(1)
wood processing(1)
aesthetics(1)
interaction(1)
 </v>
      </c>
      <c r="CW141" s="14" t="str">
        <f t="shared" si="320"/>
        <v xml:space="preserve">non-profits(1,50%), social project(1,50%),  </v>
      </c>
      <c r="CX141" s="14" t="str">
        <f t="shared" si="321"/>
        <v xml:space="preserve">non-profits(50)
social project(50)
 </v>
      </c>
      <c r="CY141" s="14" t="str">
        <f t="shared" si="322"/>
        <v xml:space="preserve">fun-ness(2), administrator(2), ease of access(2), efficiency(3), sensors(2), wood processing(2), plastic processing(2), electronics(2), aesthetics(2), functions(1), safety(1), interaction(2),  </v>
      </c>
      <c r="CZ141" s="14" t="str">
        <f t="shared" si="323"/>
        <v xml:space="preserve">media(1,6.25%), reputation(1,6.25%), portfolio(1,6.25%),  </v>
      </c>
      <c r="DA141" s="27" t="str">
        <f t="shared" si="483"/>
        <v xml:space="preserve">media(6.25),reputation(6.25),portfolio(6.25), </v>
      </c>
      <c r="DB141" s="14" t="str">
        <f t="shared" si="325"/>
        <v xml:space="preserve">non-profits(1)
aesthetics(1)
interaction(1)
 </v>
      </c>
      <c r="DC141" s="14" t="str">
        <f t="shared" si="326"/>
        <v xml:space="preserve">non-profits(1,50%), social project(1,50%),  </v>
      </c>
      <c r="DD141" s="14" t="str">
        <f t="shared" si="327"/>
        <v xml:space="preserve">non-profits(50)
social project(50)
 </v>
      </c>
      <c r="DE141" s="14" t="str">
        <f t="shared" si="328"/>
        <v xml:space="preserve">fun-ness(2), administrator(2), ease of access(2), efficiency(3), VR&amp;AR(2),  </v>
      </c>
      <c r="DF141" s="14" t="str">
        <f t="shared" si="329"/>
        <v xml:space="preserve">media(1,6.25%), reputation(1,6.25%), portfolio(1,6.25%),  </v>
      </c>
      <c r="DG141" s="27" t="str">
        <f t="shared" si="483"/>
        <v xml:space="preserve">media(6.25),reputation(6.25),portfolio(6.25), </v>
      </c>
      <c r="DH141" s="14" t="str">
        <f t="shared" si="331"/>
        <v xml:space="preserve">wood processing(1)
aesthetics(1)
safety(1)
 </v>
      </c>
      <c r="DI141" s="14" t="str">
        <f t="shared" si="332"/>
        <v xml:space="preserve">social project(1,100%),  </v>
      </c>
      <c r="DJ141" s="14" t="str">
        <f t="shared" si="333"/>
        <v xml:space="preserve">social project(100)
 </v>
      </c>
      <c r="DK141" s="14" t="str">
        <f t="shared" si="334"/>
        <v xml:space="preserve">fun-ness(2), 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1" s="14" t="str">
        <f t="shared" si="335"/>
        <v xml:space="preserve">fun-ness(1,6.25%), reputation(1,6.25%), portfolio(1,6.25%), team building(1,6.25%),  </v>
      </c>
      <c r="DM141" s="27" t="str">
        <f t="shared" si="483"/>
        <v xml:space="preserve">fun-ness(6.25),reputation(6.25),portfolio(6.25),team building(6.25), </v>
      </c>
      <c r="DN141" s="14" t="str">
        <f t="shared" si="337"/>
        <v xml:space="preserve">fun-ness(2)
initiative(1)
community manager(1)
fame(1)
network(2)
suppliers(2)
spaciousness(1)
ease of access(2)
reputation(3)
project management(2)
wood processing(1)
plastic processing(1)
electronics(1)
aesthetics(2)
functions(1)
safety(1)
biz project(1)
 </v>
      </c>
      <c r="DO141" s="14" t="str">
        <f t="shared" si="338"/>
        <v xml:space="preserve">reputation(1,25%), portfolio(1,50%),  </v>
      </c>
      <c r="DP141" s="14" t="str">
        <f t="shared" si="339"/>
        <v xml:space="preserve">reputation(25)
portfolio(50)
 </v>
      </c>
      <c r="DQ141" s="14" t="str">
        <f t="shared" si="340"/>
        <v xml:space="preserve">fun-ness(3), administrator(1), media(3), suppliers(3), social media(2), wood processing(2), plastic processing(2), electronics(2), aesthetics(2),  </v>
      </c>
      <c r="DR141" s="14" t="str">
        <f t="shared" si="341"/>
        <v xml:space="preserve">suppliers(1,6.25%), reputation(1,6.25%),  </v>
      </c>
      <c r="DS141" s="27" t="str">
        <f t="shared" si="483"/>
        <v xml:space="preserve">suppliers(6.25),reputation(6.25), </v>
      </c>
      <c r="DT141" s="14" t="str">
        <f t="shared" si="343"/>
        <v xml:space="preserve">leader(1)
fame(1)
network(2)
reputation(3)
portfolio(2)
 </v>
      </c>
      <c r="DU141" s="14" t="str">
        <f t="shared" si="344"/>
        <v xml:space="preserve">fame(1,25%), govt(1,25%), non-profits(1,50%), reputation(1,25%),  </v>
      </c>
      <c r="DV141" s="14" t="str">
        <f t="shared" si="345"/>
        <v xml:space="preserve">fame(25)
govt(25)
non-profits(50)
reputation(25)
 </v>
      </c>
      <c r="DW141" s="14" t="str">
        <f t="shared" si="346"/>
        <v xml:space="preserve">PR(1), administrator(1), social media(2),  </v>
      </c>
      <c r="DX141" s="14" t="str">
        <f t="shared" si="347"/>
        <v xml:space="preserve">fame(1,6.25%), reputation(1,6.25%),  </v>
      </c>
      <c r="DY141" s="27" t="str">
        <f t="shared" si="483"/>
        <v xml:space="preserve">fame(6.25),reputation(6.25), </v>
      </c>
      <c r="DZ141" s="14" t="str">
        <f t="shared" si="349"/>
        <v xml:space="preserve"> </v>
      </c>
      <c r="EA141" s="14" t="str">
        <f t="shared" si="350"/>
        <v xml:space="preserve"> </v>
      </c>
      <c r="EB141" s="14" t="str">
        <f t="shared" si="351"/>
        <v xml:space="preserve"> </v>
      </c>
      <c r="EC141" s="14" t="str">
        <f t="shared" si="352"/>
        <v xml:space="preserve"> </v>
      </c>
      <c r="ED141" s="14" t="str">
        <f t="shared" si="353"/>
        <v xml:space="preserve"> </v>
      </c>
      <c r="EE141" s="27" t="str">
        <f t="shared" si="483"/>
        <v xml:space="preserve"> </v>
      </c>
      <c r="EF141" s="14" t="str">
        <f t="shared" si="355"/>
        <v xml:space="preserve"> </v>
      </c>
      <c r="EG141" s="14" t="str">
        <f t="shared" si="356"/>
        <v xml:space="preserve"> </v>
      </c>
      <c r="EH141" s="14" t="str">
        <f t="shared" si="357"/>
        <v xml:space="preserve"> </v>
      </c>
      <c r="EI141" s="14" t="str">
        <f t="shared" si="358"/>
        <v xml:space="preserve"> </v>
      </c>
      <c r="EJ141" s="14" t="str">
        <f t="shared" si="359"/>
        <v xml:space="preserve"> </v>
      </c>
      <c r="EK141" s="27" t="str">
        <f t="shared" si="483"/>
        <v xml:space="preserve"> </v>
      </c>
      <c r="EL141" s="14" t="str">
        <f t="shared" si="361"/>
        <v xml:space="preserve"> </v>
      </c>
      <c r="EM141" s="14" t="str">
        <f t="shared" si="362"/>
        <v xml:space="preserve"> </v>
      </c>
      <c r="EN141" s="14" t="str">
        <f t="shared" si="363"/>
        <v xml:space="preserve"> </v>
      </c>
      <c r="EO141" s="14" t="str">
        <f t="shared" si="364"/>
        <v xml:space="preserve"> </v>
      </c>
      <c r="EP141" s="14" t="str">
        <f t="shared" si="365"/>
        <v xml:space="preserve"> </v>
      </c>
      <c r="EQ141" s="27" t="str">
        <f t="shared" si="484"/>
        <v xml:space="preserve"> </v>
      </c>
      <c r="ER141" s="14" t="str">
        <f t="shared" si="367"/>
        <v xml:space="preserve"> </v>
      </c>
      <c r="ES141" s="14" t="str">
        <f t="shared" si="368"/>
        <v xml:space="preserve"> </v>
      </c>
      <c r="ET141" s="14" t="str">
        <f t="shared" si="369"/>
        <v xml:space="preserve"> </v>
      </c>
      <c r="EU141" s="14" t="str">
        <f t="shared" si="370"/>
        <v xml:space="preserve"> </v>
      </c>
      <c r="EV141" s="14" t="str">
        <f t="shared" si="371"/>
        <v xml:space="preserve"> </v>
      </c>
      <c r="EW141" s="27" t="str">
        <f t="shared" si="484"/>
        <v xml:space="preserve"> </v>
      </c>
      <c r="EX141" s="14" t="str">
        <f t="shared" si="373"/>
        <v xml:space="preserve"> </v>
      </c>
      <c r="EY141" s="14" t="str">
        <f t="shared" si="374"/>
        <v xml:space="preserve"> </v>
      </c>
      <c r="EZ141" s="14" t="str">
        <f t="shared" si="375"/>
        <v xml:space="preserve"> </v>
      </c>
      <c r="FA141" s="14" t="str">
        <f t="shared" si="376"/>
        <v xml:space="preserve"> </v>
      </c>
      <c r="FB141" s="14" t="str">
        <f t="shared" si="377"/>
        <v xml:space="preserve"> </v>
      </c>
      <c r="FC141" s="27" t="str">
        <f t="shared" si="484"/>
        <v xml:space="preserve"> </v>
      </c>
      <c r="FD141" s="14" t="str">
        <f t="shared" si="379"/>
        <v xml:space="preserve"> </v>
      </c>
      <c r="FE141" s="14" t="str">
        <f t="shared" si="380"/>
        <v xml:space="preserve"> </v>
      </c>
      <c r="FF141" s="14" t="str">
        <f t="shared" si="381"/>
        <v xml:space="preserve"> </v>
      </c>
      <c r="FG141" s="14" t="str">
        <f t="shared" si="382"/>
        <v xml:space="preserve"> </v>
      </c>
      <c r="FH141" s="14" t="str">
        <f t="shared" si="383"/>
        <v xml:space="preserve"> </v>
      </c>
      <c r="FI141" s="27" t="str">
        <f t="shared" si="484"/>
        <v xml:space="preserve"> </v>
      </c>
      <c r="FJ141" s="14" t="str">
        <f t="shared" si="385"/>
        <v xml:space="preserve"> </v>
      </c>
      <c r="FK141" s="14" t="str">
        <f t="shared" si="386"/>
        <v xml:space="preserve"> </v>
      </c>
      <c r="FL141" s="14" t="str">
        <f t="shared" si="387"/>
        <v xml:space="preserve"> </v>
      </c>
      <c r="FM141" s="14" t="str">
        <f t="shared" si="388"/>
        <v xml:space="preserve"> </v>
      </c>
      <c r="FN141" s="14" t="str">
        <f t="shared" si="389"/>
        <v xml:space="preserve"> </v>
      </c>
      <c r="FO141" s="27" t="str">
        <f t="shared" si="484"/>
        <v xml:space="preserve"> </v>
      </c>
      <c r="FP141" s="14" t="str">
        <f t="shared" si="391"/>
        <v xml:space="preserve"> </v>
      </c>
      <c r="FQ141" s="14" t="str">
        <f t="shared" si="392"/>
        <v xml:space="preserve"> </v>
      </c>
      <c r="FR141" s="14" t="str">
        <f t="shared" si="393"/>
        <v xml:space="preserve"> </v>
      </c>
      <c r="FS141" s="14" t="str">
        <f t="shared" si="394"/>
        <v xml:space="preserve"> </v>
      </c>
      <c r="FT141" s="14" t="str">
        <f t="shared" si="395"/>
        <v xml:space="preserve"> </v>
      </c>
      <c r="FU141" s="27" t="str">
        <f t="shared" si="484"/>
        <v xml:space="preserve"> </v>
      </c>
      <c r="FV141" s="14" t="str">
        <f t="shared" si="397"/>
        <v xml:space="preserve"> </v>
      </c>
      <c r="FW141" s="14" t="str">
        <f t="shared" si="398"/>
        <v xml:space="preserve"> </v>
      </c>
      <c r="FX141" s="14" t="str">
        <f t="shared" si="399"/>
        <v xml:space="preserve"> </v>
      </c>
      <c r="FY141" s="14" t="str">
        <f t="shared" si="400"/>
        <v xml:space="preserve"> </v>
      </c>
      <c r="FZ141" s="14" t="str">
        <f t="shared" si="401"/>
        <v xml:space="preserve"> </v>
      </c>
      <c r="GA141" s="27" t="str">
        <f t="shared" si="484"/>
        <v xml:space="preserve"> </v>
      </c>
      <c r="GB141" s="14" t="str">
        <f t="shared" si="403"/>
        <v xml:space="preserve"> </v>
      </c>
      <c r="GC141" s="14" t="str">
        <f t="shared" si="404"/>
        <v xml:space="preserve"> </v>
      </c>
      <c r="GD141" s="14" t="str">
        <f t="shared" si="405"/>
        <v xml:space="preserve"> </v>
      </c>
      <c r="GE141" s="14" t="str">
        <f t="shared" si="406"/>
        <v xml:space="preserve"> </v>
      </c>
      <c r="GF141" s="14" t="str">
        <f t="shared" si="407"/>
        <v xml:space="preserve"> </v>
      </c>
      <c r="GG141" s="27" t="str">
        <f t="shared" si="484"/>
        <v xml:space="preserve"> </v>
      </c>
      <c r="GH141" s="14" t="str">
        <f t="shared" si="409"/>
        <v xml:space="preserve"> </v>
      </c>
      <c r="GI141" s="14" t="str">
        <f t="shared" si="410"/>
        <v xml:space="preserve"> </v>
      </c>
      <c r="GJ141" s="14" t="str">
        <f t="shared" si="411"/>
        <v xml:space="preserve"> </v>
      </c>
      <c r="GK141" s="14" t="str">
        <f t="shared" si="412"/>
        <v xml:space="preserve"> </v>
      </c>
      <c r="GL141" s="14" t="str">
        <f t="shared" si="413"/>
        <v xml:space="preserve"> </v>
      </c>
      <c r="GM141" s="27" t="str">
        <f t="shared" si="484"/>
        <v xml:space="preserve"> </v>
      </c>
      <c r="GN141" s="14" t="str">
        <f t="shared" si="415"/>
        <v xml:space="preserve"> </v>
      </c>
      <c r="GO141" s="14" t="str">
        <f t="shared" si="416"/>
        <v xml:space="preserve"> </v>
      </c>
      <c r="GP141" s="14" t="str">
        <f t="shared" si="417"/>
        <v xml:space="preserve"> </v>
      </c>
      <c r="GQ141" s="14" t="str">
        <f t="shared" si="418"/>
        <v xml:space="preserve"> </v>
      </c>
      <c r="GR141" s="14" t="str">
        <f t="shared" si="419"/>
        <v xml:space="preserve"> </v>
      </c>
      <c r="GS141" s="27" t="str">
        <f t="shared" si="484"/>
        <v xml:space="preserve"> </v>
      </c>
      <c r="GT141" s="14" t="str">
        <f t="shared" si="421"/>
        <v xml:space="preserve"> </v>
      </c>
      <c r="GU141" s="14" t="str">
        <f t="shared" si="422"/>
        <v xml:space="preserve"> </v>
      </c>
      <c r="GV141" s="14" t="str">
        <f t="shared" si="423"/>
        <v xml:space="preserve"> </v>
      </c>
      <c r="GW141" s="14" t="str">
        <f t="shared" si="424"/>
        <v xml:space="preserve"> </v>
      </c>
      <c r="GX141" s="14" t="str">
        <f t="shared" si="425"/>
        <v xml:space="preserve"> </v>
      </c>
      <c r="GY141" s="27" t="str">
        <f t="shared" si="484"/>
        <v xml:space="preserve"> </v>
      </c>
      <c r="GZ141" s="14" t="str">
        <f t="shared" si="427"/>
        <v xml:space="preserve"> </v>
      </c>
      <c r="HA141" s="14" t="str">
        <f t="shared" si="428"/>
        <v xml:space="preserve"> </v>
      </c>
      <c r="HB141" s="14" t="str">
        <f t="shared" si="429"/>
        <v xml:space="preserve"> </v>
      </c>
      <c r="HC141" s="14" t="str">
        <f t="shared" si="430"/>
        <v xml:space="preserve"> </v>
      </c>
      <c r="HD141" s="14" t="str">
        <f t="shared" si="431"/>
        <v xml:space="preserve"> </v>
      </c>
      <c r="HE141" s="27" t="str">
        <f t="shared" si="485"/>
        <v xml:space="preserve"> </v>
      </c>
      <c r="HF141" s="14" t="str">
        <f t="shared" si="433"/>
        <v xml:space="preserve"> </v>
      </c>
      <c r="HG141" s="14" t="str">
        <f t="shared" si="434"/>
        <v xml:space="preserve"> </v>
      </c>
      <c r="HH141" s="14" t="str">
        <f t="shared" si="435"/>
        <v xml:space="preserve"> </v>
      </c>
      <c r="HI141" s="14" t="str">
        <f t="shared" si="436"/>
        <v xml:space="preserve"> </v>
      </c>
      <c r="HJ141" s="14" t="str">
        <f t="shared" si="437"/>
        <v xml:space="preserve"> </v>
      </c>
      <c r="HK141" s="27" t="str">
        <f t="shared" si="485"/>
        <v xml:space="preserve"> </v>
      </c>
      <c r="HL141" s="14" t="str">
        <f t="shared" si="439"/>
        <v xml:space="preserve"> </v>
      </c>
      <c r="HM141" s="14" t="str">
        <f t="shared" si="440"/>
        <v xml:space="preserve"> </v>
      </c>
      <c r="HN141" s="14" t="str">
        <f t="shared" si="441"/>
        <v xml:space="preserve"> </v>
      </c>
      <c r="HO141" s="14" t="str">
        <f t="shared" si="442"/>
        <v xml:space="preserve"> </v>
      </c>
      <c r="HP141" s="14" t="str">
        <f t="shared" si="443"/>
        <v xml:space="preserve"> </v>
      </c>
      <c r="HQ141" s="27" t="str">
        <f t="shared" si="485"/>
        <v xml:space="preserve"> </v>
      </c>
    </row>
    <row r="142" spans="1:225" ht="15.75" customHeight="1">
      <c r="A142" s="7">
        <f t="shared" ref="A142:C142" si="510">A34</f>
        <v>0</v>
      </c>
      <c r="B142" s="7">
        <f t="shared" si="510"/>
        <v>0</v>
      </c>
      <c r="C142" s="7" t="str">
        <f t="shared" si="510"/>
        <v>seriousness</v>
      </c>
      <c r="D142" s="14" t="str">
        <f t="shared" si="446"/>
        <v xml:space="preserve"> </v>
      </c>
      <c r="E142" s="14" t="str">
        <f t="shared" si="447"/>
        <v xml:space="preserve"> </v>
      </c>
      <c r="F142" s="14" t="str">
        <f t="shared" si="448"/>
        <v xml:space="preserve"> </v>
      </c>
      <c r="G142" s="14" t="str">
        <f t="shared" si="449"/>
        <v xml:space="preserve">efficiency(1), user rules and manuals(2.1), organizational rules and manuals(2.1),  </v>
      </c>
      <c r="H142" s="14" t="str">
        <f t="shared" si="450"/>
        <v xml:space="preserve">efficiency(-1,6.25%),  </v>
      </c>
      <c r="I142" s="27" t="str">
        <f t="shared" ref="I142" si="511">IF(I34="",I143,$C142&amp;"("&amp;I34&amp;"),"&amp;I143)</f>
        <v xml:space="preserve">efficiency(6.25), </v>
      </c>
      <c r="J142" s="14" t="str">
        <f t="shared" si="229"/>
        <v xml:space="preserve"> </v>
      </c>
      <c r="K142" s="14" t="str">
        <f t="shared" si="230"/>
        <v xml:space="preserve"> </v>
      </c>
      <c r="L142" s="14" t="str">
        <f t="shared" si="231"/>
        <v xml:space="preserve"> </v>
      </c>
      <c r="M142" s="14" t="str">
        <f t="shared" si="232"/>
        <v xml:space="preserve">efficiency(0.1), organizational rules and manuals(1.1),  </v>
      </c>
      <c r="N142" s="14" t="str">
        <f t="shared" si="233"/>
        <v xml:space="preserve">initiative(-1,6.75%),  </v>
      </c>
      <c r="O142" s="27" t="str">
        <f t="shared" si="482"/>
        <v xml:space="preserve">initiative(6.75), </v>
      </c>
      <c r="P142" s="14" t="str">
        <f t="shared" si="235"/>
        <v xml:space="preserve"> </v>
      </c>
      <c r="Q142" s="14" t="str">
        <f t="shared" si="236"/>
        <v xml:space="preserve"> </v>
      </c>
      <c r="R142" s="14" t="str">
        <f t="shared" si="237"/>
        <v xml:space="preserve"> </v>
      </c>
      <c r="S142" s="14" t="str">
        <f t="shared" si="238"/>
        <v xml:space="preserve">community manager(0.1), team building(0.1),  </v>
      </c>
      <c r="T142" s="14" t="str">
        <f t="shared" si="239"/>
        <v xml:space="preserve">business model(-1,6.25%), web(-1,6.25%), mobile apps(-1,6.25%), aesthetics(-1,6.25%),  </v>
      </c>
      <c r="U142" s="27" t="str">
        <f t="shared" si="482"/>
        <v xml:space="preserve">business model(6.25),web(6.25),mobile apps(6.25),aesthetics(6.25), </v>
      </c>
      <c r="V142" s="14" t="str">
        <f t="shared" si="241"/>
        <v xml:space="preserve"> </v>
      </c>
      <c r="W142" s="14" t="str">
        <f t="shared" si="242"/>
        <v xml:space="preserve">efficiency(-1,25%),  </v>
      </c>
      <c r="X142" s="14" t="str">
        <f t="shared" si="243"/>
        <v xml:space="preserve">efficiency(25)
 </v>
      </c>
      <c r="Y142" s="14" t="str">
        <f t="shared" si="244"/>
        <v xml:space="preserve">community manager(0.1), administrator(0.1), spaciousness(1), ease of access(3), reputation(2), user rules and manuals(0.1), project management(0.1), negotiation(0.1),  </v>
      </c>
      <c r="Z142" s="14" t="str">
        <f t="shared" si="245"/>
        <v xml:space="preserve">reputation(-1,%),  </v>
      </c>
      <c r="AA142" s="27" t="str">
        <f t="shared" si="482"/>
        <v xml:space="preserve"> </v>
      </c>
      <c r="AB142" s="14" t="str">
        <f t="shared" si="247"/>
        <v xml:space="preserve"> </v>
      </c>
      <c r="AC142" s="14" t="str">
        <f t="shared" si="248"/>
        <v xml:space="preserve"> </v>
      </c>
      <c r="AD142" s="14" t="str">
        <f t="shared" si="249"/>
        <v xml:space="preserve"> </v>
      </c>
      <c r="AE142" s="14" t="str">
        <f t="shared" si="250"/>
        <v xml:space="preserve">seriousness(0.1), initiative(0.1), spaciousness(1), user rules and manuals(1.1), organizational rules and manuals(1.1),  </v>
      </c>
      <c r="AF142" s="14" t="str">
        <f t="shared" si="251"/>
        <v xml:space="preserve">local biz(-1,6.25%), investors(-1,6.25%), non-profits(-1,6.25%), efficiency(-1,6.25%),  </v>
      </c>
      <c r="AG142" s="27" t="str">
        <f t="shared" si="482"/>
        <v xml:space="preserve">local biz(6.25),investors(6.25),non-profits(6.25),efficiency(6.25), </v>
      </c>
      <c r="AH142" s="14" t="str">
        <f t="shared" si="253"/>
        <v xml:space="preserve">ease of access(1)
reputation(1)
 </v>
      </c>
      <c r="AI142" s="14" t="str">
        <f t="shared" si="254"/>
        <v xml:space="preserve"> </v>
      </c>
      <c r="AJ142" s="14" t="str">
        <f t="shared" si="255"/>
        <v xml:space="preserve"> </v>
      </c>
      <c r="AK142" s="14" t="str">
        <f t="shared" si="256"/>
        <v xml:space="preserve">seriousness(2.1), community manager(2.1), administrator(2.1), spaciousness(1), ease of access(1), reputation(2), user rules and manuals(2.1), organizational rules and manuals(2.1), law(1.1), negotiation(1.1),  </v>
      </c>
      <c r="AL142" s="14" t="str">
        <f t="shared" si="257"/>
        <v xml:space="preserve">govt(-1,6.25%), non-profits(-1,6.25%), reputation(-1,6.25%),  </v>
      </c>
      <c r="AM142" s="27" t="str">
        <f t="shared" si="482"/>
        <v xml:space="preserve">govt(6.25),non-profits(6.25),reputation(6.25), </v>
      </c>
      <c r="AN142" s="14" t="str">
        <f t="shared" si="259"/>
        <v xml:space="preserve">seriousness(1)
 </v>
      </c>
      <c r="AO142" s="14" t="str">
        <f t="shared" si="260"/>
        <v xml:space="preserve"> </v>
      </c>
      <c r="AP142" s="14" t="str">
        <f t="shared" si="261"/>
        <v xml:space="preserve"> </v>
      </c>
      <c r="AQ142" s="14" t="str">
        <f t="shared" si="262"/>
        <v xml:space="preserve">spaciousness(2.1), reputation(3), organizational rules and manuals(2.1), team building(2.1),  </v>
      </c>
      <c r="AR142" s="14" t="str">
        <f t="shared" si="263"/>
        <v xml:space="preserve">reputation(-1,6.25%), efficiency(-1,6.25%),  </v>
      </c>
      <c r="AS142" s="27" t="str">
        <f t="shared" si="482"/>
        <v xml:space="preserve">reputation(6.25),efficiency(6.25), </v>
      </c>
      <c r="AT142" s="14" t="str">
        <f t="shared" si="265"/>
        <v xml:space="preserve"> </v>
      </c>
      <c r="AU142" s="14" t="str">
        <f t="shared" si="266"/>
        <v xml:space="preserve"> </v>
      </c>
      <c r="AV142" s="14" t="str">
        <f t="shared" si="267"/>
        <v xml:space="preserve"> </v>
      </c>
      <c r="AW142" s="14" t="str">
        <f t="shared" si="268"/>
        <v xml:space="preserve">seriousness(3.1), initiative(2.1), leader(2.1), community manager(2.1), user rules and manuals(2.1), team building(2.1),  </v>
      </c>
      <c r="AX142" s="14" t="str">
        <f t="shared" si="269"/>
        <v xml:space="preserve"> </v>
      </c>
      <c r="AY142" s="27" t="str">
        <f t="shared" si="482"/>
        <v xml:space="preserve"> </v>
      </c>
      <c r="AZ142" s="14" t="str">
        <f t="shared" si="271"/>
        <v xml:space="preserve"> </v>
      </c>
      <c r="BA142" s="14" t="str">
        <f t="shared" si="272"/>
        <v xml:space="preserve">seriousness(1,12.5%), efficiency(-1,12.5%), user rules and manuals(1,25%),  </v>
      </c>
      <c r="BB142" s="14" t="str">
        <f t="shared" si="273"/>
        <v xml:space="preserve">seriousness(12.5)
efficiency(12.5)
user rules and manuals(25)
 </v>
      </c>
      <c r="BC142" s="14" t="str">
        <f t="shared" si="274"/>
        <v xml:space="preserve">seriousness(1.1), community manager(1.1), administrator(1.1), user rules and manuals(2.1), organizational rules and manuals(2.1),  </v>
      </c>
      <c r="BD142" s="14" t="str">
        <f t="shared" si="275"/>
        <v xml:space="preserve">reputation(-1,6.25%),  </v>
      </c>
      <c r="BE142" s="27" t="str">
        <f t="shared" si="482"/>
        <v xml:space="preserve">reputation(6.25), </v>
      </c>
      <c r="BF142" s="14" t="str">
        <f t="shared" si="277"/>
        <v xml:space="preserve"> </v>
      </c>
      <c r="BG142" s="14" t="str">
        <f t="shared" si="278"/>
        <v xml:space="preserve">seriousness(1,25%), user rules and manuals(1,25%), organizational rules and manuals(1,25%),  </v>
      </c>
      <c r="BH142" s="14" t="str">
        <f t="shared" si="279"/>
        <v xml:space="preserve">seriousness(25)
user rules and manuals(25)
organizational rules and manuals(25)
 </v>
      </c>
      <c r="BI142" s="14" t="str">
        <f t="shared" si="280"/>
        <v xml:space="preserve">seriousness(2.1), community manager(1.1), administrator(1.1),  </v>
      </c>
      <c r="BJ142" s="14" t="str">
        <f t="shared" si="281"/>
        <v xml:space="preserve">reputation(-1,6.25%), efficiency(-1,25%),  </v>
      </c>
      <c r="BK142" s="27" t="str">
        <f t="shared" si="482"/>
        <v xml:space="preserve">reputation(6.25),efficiency(25), </v>
      </c>
      <c r="BL142" s="14" t="str">
        <f t="shared" si="283"/>
        <v xml:space="preserve">local biz(1)
ease of access(1)
reputation(1)
aesthetics(1)
 </v>
      </c>
      <c r="BM142" s="14" t="str">
        <f t="shared" si="284"/>
        <v xml:space="preserve">biz enhancement(1,%),  </v>
      </c>
      <c r="BN142" s="14" t="str">
        <f t="shared" si="285"/>
        <v xml:space="preserve"> </v>
      </c>
      <c r="BO142" s="14" t="str">
        <f t="shared" si="286"/>
        <v xml:space="preserve">initiative(1), community manager(1), PR(1), administrator(2), ease of access(2), reputation(3), efficiency(2), user rules and manuals(1), marketing(1), negotiation(1), aesthetics(2), functions(1), safety(1),  </v>
      </c>
      <c r="BP142" s="14" t="str">
        <f t="shared" si="287"/>
        <v xml:space="preserve">local biz(1,6.25%),  </v>
      </c>
      <c r="BQ142" s="27" t="str">
        <f t="shared" si="482"/>
        <v xml:space="preserve">local biz(6.25), </v>
      </c>
      <c r="BR142" s="14" t="str">
        <f t="shared" si="289"/>
        <v xml:space="preserve">local biz(1)
ease of access(1)
reputation(1)
aesthetics(1)
 </v>
      </c>
      <c r="BS142" s="14" t="str">
        <f t="shared" si="290"/>
        <v xml:space="preserve">biz project(1,%),  </v>
      </c>
      <c r="BT142" s="14" t="str">
        <f t="shared" si="291"/>
        <v xml:space="preserve"> </v>
      </c>
      <c r="BU142" s="14" t="str">
        <f t="shared" si="292"/>
        <v xml:space="preserve">initiative(1), community manager(1), PR(1), administrator(2), ease of access(2), reputation(3), efficiency(2), user rules and manuals(1), marketing(1), negotiation(1), wood processing(1), aesthetics(2),  </v>
      </c>
      <c r="BV142" s="14" t="str">
        <f t="shared" si="293"/>
        <v xml:space="preserve">local biz(1,6.25%),  </v>
      </c>
      <c r="BW142" s="27" t="str">
        <f t="shared" si="482"/>
        <v xml:space="preserve">local biz(6.25), </v>
      </c>
      <c r="BX142" s="14" t="str">
        <f t="shared" si="295"/>
        <v xml:space="preserve">local biz(1)
ease of access(1)
reputation(1)
aesthetics(1)
interaction(1)
 </v>
      </c>
      <c r="BY142" s="14" t="str">
        <f t="shared" si="296"/>
        <v xml:space="preserve">biz project(1,%),  </v>
      </c>
      <c r="BZ142" s="14" t="str">
        <f t="shared" si="297"/>
        <v xml:space="preserve"> </v>
      </c>
      <c r="CA142" s="14" t="str">
        <f t="shared" si="298"/>
        <v xml:space="preserve">initiative(1), community manager(1), PR(1), administrator(2), ease of access(2), reputation(3), efficiency(2), user rules and manuals(1), marketing(1), team building(1), social media(1), negotiation(1), web(2), infrastructrue(2), database(2), security(3), aesthetics(2), functions(1), interaction(2),  </v>
      </c>
      <c r="CB142" s="14" t="str">
        <f t="shared" si="299"/>
        <v xml:space="preserve">local biz(1,6.25%),  </v>
      </c>
      <c r="CC142" s="27" t="str">
        <f t="shared" si="483"/>
        <v xml:space="preserve">local biz(6.25), </v>
      </c>
      <c r="CD142" s="14" t="str">
        <f t="shared" si="301"/>
        <v xml:space="preserve">ease of access(1)
reputation(1)
aesthetics(1)
 </v>
      </c>
      <c r="CE142" s="14" t="str">
        <f t="shared" si="302"/>
        <v xml:space="preserve">biz project(1,%),  </v>
      </c>
      <c r="CF142" s="14" t="str">
        <f t="shared" si="303"/>
        <v xml:space="preserve"> </v>
      </c>
      <c r="CG142" s="14" t="str">
        <f t="shared" si="304"/>
        <v xml:space="preserve">initiative(1), community manager(1), PR(1), administrator(2), ease of access(2), efficiency(2), user rules and manuals(1), marketing(1), team building(1), negotiation(1), infrastructrue(1), database(2), mobile apps(2), security(3), aesthetics(2), functions(1), interaction(2),  </v>
      </c>
      <c r="CH142" s="14" t="str">
        <f t="shared" si="305"/>
        <v xml:space="preserve">local biz(1,6.25%),  </v>
      </c>
      <c r="CI142" s="27" t="str">
        <f t="shared" si="483"/>
        <v xml:space="preserve">local biz(6.25), </v>
      </c>
      <c r="CJ142" s="14" t="str">
        <f t="shared" si="307"/>
        <v xml:space="preserve">ease of access(1)
reputation(1)
aesthetics(1)
 </v>
      </c>
      <c r="CK142" s="14" t="str">
        <f t="shared" si="308"/>
        <v xml:space="preserve">biz project(1,%),  </v>
      </c>
      <c r="CL142" s="14" t="str">
        <f t="shared" si="309"/>
        <v xml:space="preserve"> </v>
      </c>
      <c r="CM142" s="14" t="str">
        <f t="shared" si="310"/>
        <v xml:space="preserve">initiative(1), community manager(1), PR(1), administrator(2), ease of access(2), reputation(3), efficiency(2), user rules and manuals(1), marketing(2), team building(1), social media(2), negotiation(1), web(2), infrastructrue(2), database(2), mobile apps(2), security(2), aesthetics(2), functions(1), interaction(2),  </v>
      </c>
      <c r="CN142" s="14" t="str">
        <f t="shared" si="311"/>
        <v xml:space="preserve">local biz(1,6.25%),  </v>
      </c>
      <c r="CO142" s="27" t="str">
        <f t="shared" si="483"/>
        <v xml:space="preserve">local biz(6.25), </v>
      </c>
      <c r="CP142" s="14" t="str">
        <f t="shared" si="313"/>
        <v xml:space="preserve">local biz(1)
metal processing(1)
functions(1)
 </v>
      </c>
      <c r="CQ142" s="14" t="str">
        <f t="shared" si="314"/>
        <v xml:space="preserve">local biz(1,50%), biz enhancement(1,50%),  </v>
      </c>
      <c r="CR142" s="14" t="str">
        <f t="shared" si="315"/>
        <v xml:space="preserve">local biz(50)
biz enhancement(50)
 </v>
      </c>
      <c r="CS142" s="14" t="str">
        <f t="shared" si="316"/>
        <v xml:space="preserve">initiative(1), community manager(1), ease of access(2), reputation(3), efficiency(2), metal processing(2), electronics(2), aesthetics(2), functions(2), safety(2),  </v>
      </c>
      <c r="CT142" s="14" t="str">
        <f t="shared" si="317"/>
        <v xml:space="preserve">reputation(1,6.25%),  </v>
      </c>
      <c r="CU142" s="27" t="str">
        <f t="shared" si="483"/>
        <v xml:space="preserve">reputation(6.25), </v>
      </c>
      <c r="CV142" s="14" t="str">
        <f t="shared" si="319"/>
        <v xml:space="preserve">non-profits(1)
wood processing(1)
aesthetics(1)
interaction(1)
 </v>
      </c>
      <c r="CW142" s="14" t="str">
        <f t="shared" si="320"/>
        <v xml:space="preserve">non-profits(1,50%), social project(1,50%),  </v>
      </c>
      <c r="CX142" s="14" t="str">
        <f t="shared" si="321"/>
        <v xml:space="preserve">non-profits(50)
social project(50)
 </v>
      </c>
      <c r="CY142" s="14" t="str">
        <f t="shared" si="322"/>
        <v xml:space="preserve">administrator(2), ease of access(2), efficiency(3), sensors(2), wood processing(2), plastic processing(2), electronics(2), aesthetics(2), functions(1), safety(1), interaction(2),  </v>
      </c>
      <c r="CZ142" s="14" t="str">
        <f t="shared" si="323"/>
        <v xml:space="preserve">media(1,6.25%), reputation(1,6.25%), portfolio(1,6.25%),  </v>
      </c>
      <c r="DA142" s="27" t="str">
        <f t="shared" si="483"/>
        <v xml:space="preserve">media(6.25),reputation(6.25),portfolio(6.25), </v>
      </c>
      <c r="DB142" s="14" t="str">
        <f t="shared" si="325"/>
        <v xml:space="preserve">non-profits(1)
aesthetics(1)
interaction(1)
 </v>
      </c>
      <c r="DC142" s="14" t="str">
        <f t="shared" si="326"/>
        <v xml:space="preserve">non-profits(1,50%), social project(1,50%),  </v>
      </c>
      <c r="DD142" s="14" t="str">
        <f t="shared" si="327"/>
        <v xml:space="preserve">non-profits(50)
social project(50)
 </v>
      </c>
      <c r="DE142" s="14" t="str">
        <f t="shared" si="328"/>
        <v xml:space="preserve">administrator(2), ease of access(2), efficiency(3), VR&amp;AR(2),  </v>
      </c>
      <c r="DF142" s="14" t="str">
        <f t="shared" si="329"/>
        <v xml:space="preserve">media(1,6.25%), reputation(1,6.25%), portfolio(1,6.25%),  </v>
      </c>
      <c r="DG142" s="27" t="str">
        <f t="shared" si="483"/>
        <v xml:space="preserve">media(6.25),reputation(6.25),portfolio(6.25), </v>
      </c>
      <c r="DH142" s="14" t="str">
        <f t="shared" si="331"/>
        <v xml:space="preserve">wood processing(1)
aesthetics(1)
safety(1)
 </v>
      </c>
      <c r="DI142" s="14" t="str">
        <f t="shared" si="332"/>
        <v xml:space="preserve">social project(1,100%),  </v>
      </c>
      <c r="DJ142" s="14" t="str">
        <f t="shared" si="333"/>
        <v xml:space="preserve">social project(100)
 </v>
      </c>
      <c r="DK142" s="14" t="str">
        <f t="shared" si="334"/>
        <v xml:space="preserve">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2" s="14" t="str">
        <f t="shared" si="335"/>
        <v xml:space="preserve">reputation(1,6.25%), portfolio(1,6.25%), team building(1,6.25%),  </v>
      </c>
      <c r="DM142" s="27" t="str">
        <f t="shared" si="483"/>
        <v xml:space="preserve">reputation(6.25),portfolio(6.25),team building(6.25), </v>
      </c>
      <c r="DN142" s="14" t="str">
        <f t="shared" si="337"/>
        <v xml:space="preserve">initiative(1)
community manager(1)
fame(1)
network(2)
suppliers(2)
spaciousness(1)
ease of access(2)
reputation(3)
project management(2)
wood processing(1)
plastic processing(1)
electronics(1)
aesthetics(2)
functions(1)
safety(1)
biz project(1)
 </v>
      </c>
      <c r="DO142" s="14" t="str">
        <f t="shared" si="338"/>
        <v xml:space="preserve">reputation(1,25%), portfolio(1,50%),  </v>
      </c>
      <c r="DP142" s="14" t="str">
        <f t="shared" si="339"/>
        <v xml:space="preserve">reputation(25)
portfolio(50)
 </v>
      </c>
      <c r="DQ142" s="14" t="str">
        <f t="shared" si="340"/>
        <v xml:space="preserve">administrator(1), media(3), suppliers(3), social media(2), wood processing(2), plastic processing(2), electronics(2), aesthetics(2),  </v>
      </c>
      <c r="DR142" s="14" t="str">
        <f t="shared" si="341"/>
        <v xml:space="preserve">suppliers(1,6.25%), reputation(1,6.25%),  </v>
      </c>
      <c r="DS142" s="27" t="str">
        <f t="shared" si="483"/>
        <v xml:space="preserve">suppliers(6.25),reputation(6.25), </v>
      </c>
      <c r="DT142" s="14" t="str">
        <f t="shared" si="343"/>
        <v xml:space="preserve">leader(1)
fame(1)
network(2)
reputation(3)
portfolio(2)
 </v>
      </c>
      <c r="DU142" s="14" t="str">
        <f t="shared" si="344"/>
        <v xml:space="preserve">fame(1,25%), govt(1,25%), non-profits(1,50%), reputation(1,25%),  </v>
      </c>
      <c r="DV142" s="14" t="str">
        <f t="shared" si="345"/>
        <v xml:space="preserve">fame(25)
govt(25)
non-profits(50)
reputation(25)
 </v>
      </c>
      <c r="DW142" s="14" t="str">
        <f t="shared" si="346"/>
        <v xml:space="preserve">PR(1), administrator(1), social media(2),  </v>
      </c>
      <c r="DX142" s="14" t="str">
        <f t="shared" si="347"/>
        <v xml:space="preserve">fame(1,6.25%), reputation(1,6.25%),  </v>
      </c>
      <c r="DY142" s="27" t="str">
        <f t="shared" si="483"/>
        <v xml:space="preserve">fame(6.25),reputation(6.25), </v>
      </c>
      <c r="DZ142" s="14" t="str">
        <f t="shared" si="349"/>
        <v xml:space="preserve"> </v>
      </c>
      <c r="EA142" s="14" t="str">
        <f t="shared" si="350"/>
        <v xml:space="preserve"> </v>
      </c>
      <c r="EB142" s="14" t="str">
        <f t="shared" si="351"/>
        <v xml:space="preserve"> </v>
      </c>
      <c r="EC142" s="14" t="str">
        <f t="shared" si="352"/>
        <v xml:space="preserve"> </v>
      </c>
      <c r="ED142" s="14" t="str">
        <f t="shared" si="353"/>
        <v xml:space="preserve"> </v>
      </c>
      <c r="EE142" s="27" t="str">
        <f t="shared" si="483"/>
        <v xml:space="preserve"> </v>
      </c>
      <c r="EF142" s="14" t="str">
        <f t="shared" si="355"/>
        <v xml:space="preserve"> </v>
      </c>
      <c r="EG142" s="14" t="str">
        <f t="shared" si="356"/>
        <v xml:space="preserve"> </v>
      </c>
      <c r="EH142" s="14" t="str">
        <f t="shared" si="357"/>
        <v xml:space="preserve"> </v>
      </c>
      <c r="EI142" s="14" t="str">
        <f t="shared" si="358"/>
        <v xml:space="preserve"> </v>
      </c>
      <c r="EJ142" s="14" t="str">
        <f t="shared" si="359"/>
        <v xml:space="preserve"> </v>
      </c>
      <c r="EK142" s="27" t="str">
        <f t="shared" si="483"/>
        <v xml:space="preserve"> </v>
      </c>
      <c r="EL142" s="14" t="str">
        <f t="shared" si="361"/>
        <v xml:space="preserve"> </v>
      </c>
      <c r="EM142" s="14" t="str">
        <f t="shared" si="362"/>
        <v xml:space="preserve"> </v>
      </c>
      <c r="EN142" s="14" t="str">
        <f t="shared" si="363"/>
        <v xml:space="preserve"> </v>
      </c>
      <c r="EO142" s="14" t="str">
        <f t="shared" si="364"/>
        <v xml:space="preserve"> </v>
      </c>
      <c r="EP142" s="14" t="str">
        <f t="shared" si="365"/>
        <v xml:space="preserve"> </v>
      </c>
      <c r="EQ142" s="27" t="str">
        <f t="shared" si="484"/>
        <v xml:space="preserve"> </v>
      </c>
      <c r="ER142" s="14" t="str">
        <f t="shared" si="367"/>
        <v xml:space="preserve"> </v>
      </c>
      <c r="ES142" s="14" t="str">
        <f t="shared" si="368"/>
        <v xml:space="preserve"> </v>
      </c>
      <c r="ET142" s="14" t="str">
        <f t="shared" si="369"/>
        <v xml:space="preserve"> </v>
      </c>
      <c r="EU142" s="14" t="str">
        <f t="shared" si="370"/>
        <v xml:space="preserve"> </v>
      </c>
      <c r="EV142" s="14" t="str">
        <f t="shared" si="371"/>
        <v xml:space="preserve"> </v>
      </c>
      <c r="EW142" s="27" t="str">
        <f t="shared" si="484"/>
        <v xml:space="preserve"> </v>
      </c>
      <c r="EX142" s="14" t="str">
        <f t="shared" si="373"/>
        <v xml:space="preserve"> </v>
      </c>
      <c r="EY142" s="14" t="str">
        <f t="shared" si="374"/>
        <v xml:space="preserve"> </v>
      </c>
      <c r="EZ142" s="14" t="str">
        <f t="shared" si="375"/>
        <v xml:space="preserve"> </v>
      </c>
      <c r="FA142" s="14" t="str">
        <f t="shared" si="376"/>
        <v xml:space="preserve"> </v>
      </c>
      <c r="FB142" s="14" t="str">
        <f t="shared" si="377"/>
        <v xml:space="preserve"> </v>
      </c>
      <c r="FC142" s="27" t="str">
        <f t="shared" si="484"/>
        <v xml:space="preserve"> </v>
      </c>
      <c r="FD142" s="14" t="str">
        <f t="shared" si="379"/>
        <v xml:space="preserve"> </v>
      </c>
      <c r="FE142" s="14" t="str">
        <f t="shared" si="380"/>
        <v xml:space="preserve"> </v>
      </c>
      <c r="FF142" s="14" t="str">
        <f t="shared" si="381"/>
        <v xml:space="preserve"> </v>
      </c>
      <c r="FG142" s="14" t="str">
        <f t="shared" si="382"/>
        <v xml:space="preserve"> </v>
      </c>
      <c r="FH142" s="14" t="str">
        <f t="shared" si="383"/>
        <v xml:space="preserve"> </v>
      </c>
      <c r="FI142" s="27" t="str">
        <f t="shared" si="484"/>
        <v xml:space="preserve"> </v>
      </c>
      <c r="FJ142" s="14" t="str">
        <f t="shared" si="385"/>
        <v xml:space="preserve"> </v>
      </c>
      <c r="FK142" s="14" t="str">
        <f t="shared" si="386"/>
        <v xml:space="preserve"> </v>
      </c>
      <c r="FL142" s="14" t="str">
        <f t="shared" si="387"/>
        <v xml:space="preserve"> </v>
      </c>
      <c r="FM142" s="14" t="str">
        <f t="shared" si="388"/>
        <v xml:space="preserve"> </v>
      </c>
      <c r="FN142" s="14" t="str">
        <f t="shared" si="389"/>
        <v xml:space="preserve"> </v>
      </c>
      <c r="FO142" s="27" t="str">
        <f t="shared" si="484"/>
        <v xml:space="preserve"> </v>
      </c>
      <c r="FP142" s="14" t="str">
        <f t="shared" si="391"/>
        <v xml:space="preserve"> </v>
      </c>
      <c r="FQ142" s="14" t="str">
        <f t="shared" si="392"/>
        <v xml:space="preserve"> </v>
      </c>
      <c r="FR142" s="14" t="str">
        <f t="shared" si="393"/>
        <v xml:space="preserve"> </v>
      </c>
      <c r="FS142" s="14" t="str">
        <f t="shared" si="394"/>
        <v xml:space="preserve"> </v>
      </c>
      <c r="FT142" s="14" t="str">
        <f t="shared" si="395"/>
        <v xml:space="preserve"> </v>
      </c>
      <c r="FU142" s="27" t="str">
        <f t="shared" si="484"/>
        <v xml:space="preserve"> </v>
      </c>
      <c r="FV142" s="14" t="str">
        <f t="shared" si="397"/>
        <v xml:space="preserve"> </v>
      </c>
      <c r="FW142" s="14" t="str">
        <f t="shared" si="398"/>
        <v xml:space="preserve"> </v>
      </c>
      <c r="FX142" s="14" t="str">
        <f t="shared" si="399"/>
        <v xml:space="preserve"> </v>
      </c>
      <c r="FY142" s="14" t="str">
        <f t="shared" si="400"/>
        <v xml:space="preserve"> </v>
      </c>
      <c r="FZ142" s="14" t="str">
        <f t="shared" si="401"/>
        <v xml:space="preserve"> </v>
      </c>
      <c r="GA142" s="27" t="str">
        <f t="shared" si="484"/>
        <v xml:space="preserve"> </v>
      </c>
      <c r="GB142" s="14" t="str">
        <f t="shared" si="403"/>
        <v xml:space="preserve"> </v>
      </c>
      <c r="GC142" s="14" t="str">
        <f t="shared" si="404"/>
        <v xml:space="preserve"> </v>
      </c>
      <c r="GD142" s="14" t="str">
        <f t="shared" si="405"/>
        <v xml:space="preserve"> </v>
      </c>
      <c r="GE142" s="14" t="str">
        <f t="shared" si="406"/>
        <v xml:space="preserve"> </v>
      </c>
      <c r="GF142" s="14" t="str">
        <f t="shared" si="407"/>
        <v xml:space="preserve"> </v>
      </c>
      <c r="GG142" s="27" t="str">
        <f t="shared" si="484"/>
        <v xml:space="preserve"> </v>
      </c>
      <c r="GH142" s="14" t="str">
        <f t="shared" si="409"/>
        <v xml:space="preserve"> </v>
      </c>
      <c r="GI142" s="14" t="str">
        <f t="shared" si="410"/>
        <v xml:space="preserve"> </v>
      </c>
      <c r="GJ142" s="14" t="str">
        <f t="shared" si="411"/>
        <v xml:space="preserve"> </v>
      </c>
      <c r="GK142" s="14" t="str">
        <f t="shared" si="412"/>
        <v xml:space="preserve"> </v>
      </c>
      <c r="GL142" s="14" t="str">
        <f t="shared" si="413"/>
        <v xml:space="preserve"> </v>
      </c>
      <c r="GM142" s="27" t="str">
        <f t="shared" si="484"/>
        <v xml:space="preserve"> </v>
      </c>
      <c r="GN142" s="14" t="str">
        <f t="shared" si="415"/>
        <v xml:space="preserve"> </v>
      </c>
      <c r="GO142" s="14" t="str">
        <f t="shared" si="416"/>
        <v xml:space="preserve"> </v>
      </c>
      <c r="GP142" s="14" t="str">
        <f t="shared" si="417"/>
        <v xml:space="preserve"> </v>
      </c>
      <c r="GQ142" s="14" t="str">
        <f t="shared" si="418"/>
        <v xml:space="preserve"> </v>
      </c>
      <c r="GR142" s="14" t="str">
        <f t="shared" si="419"/>
        <v xml:space="preserve"> </v>
      </c>
      <c r="GS142" s="27" t="str">
        <f t="shared" si="484"/>
        <v xml:space="preserve"> </v>
      </c>
      <c r="GT142" s="14" t="str">
        <f t="shared" si="421"/>
        <v xml:space="preserve"> </v>
      </c>
      <c r="GU142" s="14" t="str">
        <f t="shared" si="422"/>
        <v xml:space="preserve"> </v>
      </c>
      <c r="GV142" s="14" t="str">
        <f t="shared" si="423"/>
        <v xml:space="preserve"> </v>
      </c>
      <c r="GW142" s="14" t="str">
        <f t="shared" si="424"/>
        <v xml:space="preserve"> </v>
      </c>
      <c r="GX142" s="14" t="str">
        <f t="shared" si="425"/>
        <v xml:space="preserve"> </v>
      </c>
      <c r="GY142" s="27" t="str">
        <f t="shared" si="484"/>
        <v xml:space="preserve"> </v>
      </c>
      <c r="GZ142" s="14" t="str">
        <f t="shared" si="427"/>
        <v xml:space="preserve"> </v>
      </c>
      <c r="HA142" s="14" t="str">
        <f t="shared" si="428"/>
        <v xml:space="preserve"> </v>
      </c>
      <c r="HB142" s="14" t="str">
        <f t="shared" si="429"/>
        <v xml:space="preserve"> </v>
      </c>
      <c r="HC142" s="14" t="str">
        <f t="shared" si="430"/>
        <v xml:space="preserve"> </v>
      </c>
      <c r="HD142" s="14" t="str">
        <f t="shared" si="431"/>
        <v xml:space="preserve"> </v>
      </c>
      <c r="HE142" s="27" t="str">
        <f t="shared" si="485"/>
        <v xml:space="preserve"> </v>
      </c>
      <c r="HF142" s="14" t="str">
        <f t="shared" si="433"/>
        <v xml:space="preserve"> </v>
      </c>
      <c r="HG142" s="14" t="str">
        <f t="shared" si="434"/>
        <v xml:space="preserve"> </v>
      </c>
      <c r="HH142" s="14" t="str">
        <f t="shared" si="435"/>
        <v xml:space="preserve"> </v>
      </c>
      <c r="HI142" s="14" t="str">
        <f t="shared" si="436"/>
        <v xml:space="preserve"> </v>
      </c>
      <c r="HJ142" s="14" t="str">
        <f t="shared" si="437"/>
        <v xml:space="preserve"> </v>
      </c>
      <c r="HK142" s="27" t="str">
        <f t="shared" si="485"/>
        <v xml:space="preserve"> </v>
      </c>
      <c r="HL142" s="14" t="str">
        <f t="shared" si="439"/>
        <v xml:space="preserve"> </v>
      </c>
      <c r="HM142" s="14" t="str">
        <f t="shared" si="440"/>
        <v xml:space="preserve"> </v>
      </c>
      <c r="HN142" s="14" t="str">
        <f t="shared" si="441"/>
        <v xml:space="preserve"> </v>
      </c>
      <c r="HO142" s="14" t="str">
        <f t="shared" si="442"/>
        <v xml:space="preserve"> </v>
      </c>
      <c r="HP142" s="14" t="str">
        <f t="shared" si="443"/>
        <v xml:space="preserve"> </v>
      </c>
      <c r="HQ142" s="27" t="str">
        <f t="shared" si="485"/>
        <v xml:space="preserve"> </v>
      </c>
    </row>
    <row r="143" spans="1:225" ht="15.75" customHeight="1">
      <c r="A143" s="7">
        <f t="shared" ref="A143:C143" si="512">A35</f>
        <v>0</v>
      </c>
      <c r="B143" s="7">
        <f t="shared" si="512"/>
        <v>0</v>
      </c>
      <c r="C143" s="7" t="str">
        <f t="shared" si="512"/>
        <v>initiative</v>
      </c>
      <c r="D143" s="14" t="str">
        <f t="shared" si="446"/>
        <v xml:space="preserve"> </v>
      </c>
      <c r="E143" s="14" t="str">
        <f t="shared" si="447"/>
        <v xml:space="preserve"> </v>
      </c>
      <c r="F143" s="14" t="str">
        <f t="shared" si="448"/>
        <v xml:space="preserve"> </v>
      </c>
      <c r="G143" s="14" t="str">
        <f t="shared" si="449"/>
        <v xml:space="preserve">efficiency(1), user rules and manuals(2.1), organizational rules and manuals(2.1),  </v>
      </c>
      <c r="H143" s="14" t="str">
        <f t="shared" si="450"/>
        <v xml:space="preserve">efficiency(-1,6.25%),  </v>
      </c>
      <c r="I143" s="27" t="str">
        <f t="shared" ref="I143" si="513">IF(I35="",I144,$C143&amp;"("&amp;I35&amp;"),"&amp;I144)</f>
        <v xml:space="preserve">efficiency(6.25), </v>
      </c>
      <c r="J143" s="14" t="str">
        <f t="shared" si="229"/>
        <v xml:space="preserve"> </v>
      </c>
      <c r="K143" s="14" t="str">
        <f t="shared" si="230"/>
        <v xml:space="preserve"> </v>
      </c>
      <c r="L143" s="14" t="str">
        <f t="shared" si="231"/>
        <v xml:space="preserve"> </v>
      </c>
      <c r="M143" s="14" t="str">
        <f t="shared" si="232"/>
        <v xml:space="preserve">efficiency(0.1), organizational rules and manuals(1.1),  </v>
      </c>
      <c r="N143" s="14" t="str">
        <f t="shared" si="233"/>
        <v xml:space="preserve">initiative(-1,6.75%),  </v>
      </c>
      <c r="O143" s="27" t="str">
        <f t="shared" si="482"/>
        <v xml:space="preserve">initiative(6.75), </v>
      </c>
      <c r="P143" s="14" t="str">
        <f t="shared" si="235"/>
        <v xml:space="preserve"> </v>
      </c>
      <c r="Q143" s="14" t="str">
        <f t="shared" si="236"/>
        <v xml:space="preserve"> </v>
      </c>
      <c r="R143" s="14" t="str">
        <f t="shared" si="237"/>
        <v xml:space="preserve"> </v>
      </c>
      <c r="S143" s="14" t="str">
        <f t="shared" si="238"/>
        <v xml:space="preserve">community manager(0.1), team building(0.1),  </v>
      </c>
      <c r="T143" s="14" t="str">
        <f t="shared" si="239"/>
        <v xml:space="preserve">business model(-1,6.25%), web(-1,6.25%), mobile apps(-1,6.25%), aesthetics(-1,6.25%),  </v>
      </c>
      <c r="U143" s="27" t="str">
        <f t="shared" si="482"/>
        <v xml:space="preserve">business model(6.25),web(6.25),mobile apps(6.25),aesthetics(6.25), </v>
      </c>
      <c r="V143" s="14" t="str">
        <f t="shared" si="241"/>
        <v xml:space="preserve"> </v>
      </c>
      <c r="W143" s="14" t="str">
        <f t="shared" si="242"/>
        <v xml:space="preserve">efficiency(-1,25%),  </v>
      </c>
      <c r="X143" s="14" t="str">
        <f t="shared" si="243"/>
        <v xml:space="preserve">efficiency(25)
 </v>
      </c>
      <c r="Y143" s="14" t="str">
        <f t="shared" si="244"/>
        <v xml:space="preserve">community manager(0.1), administrator(0.1), spaciousness(1), ease of access(3), reputation(2), user rules and manuals(0.1), project management(0.1), negotiation(0.1),  </v>
      </c>
      <c r="Z143" s="14" t="str">
        <f t="shared" si="245"/>
        <v xml:space="preserve">reputation(-1,%),  </v>
      </c>
      <c r="AA143" s="27" t="str">
        <f t="shared" si="482"/>
        <v xml:space="preserve"> </v>
      </c>
      <c r="AB143" s="14" t="str">
        <f t="shared" si="247"/>
        <v xml:space="preserve"> </v>
      </c>
      <c r="AC143" s="14" t="str">
        <f t="shared" si="248"/>
        <v xml:space="preserve"> </v>
      </c>
      <c r="AD143" s="14" t="str">
        <f t="shared" si="249"/>
        <v xml:space="preserve"> </v>
      </c>
      <c r="AE143" s="14" t="str">
        <f t="shared" si="250"/>
        <v xml:space="preserve">initiative(0.1), spaciousness(1), user rules and manuals(1.1), organizational rules and manuals(1.1),  </v>
      </c>
      <c r="AF143" s="14" t="str">
        <f t="shared" si="251"/>
        <v xml:space="preserve">local biz(-1,6.25%), investors(-1,6.25%), non-profits(-1,6.25%), efficiency(-1,6.25%),  </v>
      </c>
      <c r="AG143" s="27" t="str">
        <f t="shared" si="482"/>
        <v xml:space="preserve">local biz(6.25),investors(6.25),non-profits(6.25),efficiency(6.25), </v>
      </c>
      <c r="AH143" s="14" t="str">
        <f t="shared" si="253"/>
        <v xml:space="preserve">ease of access(1)
reputation(1)
 </v>
      </c>
      <c r="AI143" s="14" t="str">
        <f t="shared" si="254"/>
        <v xml:space="preserve"> </v>
      </c>
      <c r="AJ143" s="14" t="str">
        <f t="shared" si="255"/>
        <v xml:space="preserve"> </v>
      </c>
      <c r="AK143" s="14" t="str">
        <f t="shared" si="256"/>
        <v xml:space="preserve">community manager(2.1), administrator(2.1), spaciousness(1), ease of access(1), reputation(2), user rules and manuals(2.1), organizational rules and manuals(2.1), law(1.1), negotiation(1.1),  </v>
      </c>
      <c r="AL143" s="14" t="str">
        <f t="shared" si="257"/>
        <v xml:space="preserve">govt(-1,6.25%), non-profits(-1,6.25%), reputation(-1,6.25%),  </v>
      </c>
      <c r="AM143" s="27" t="str">
        <f t="shared" si="482"/>
        <v xml:space="preserve">govt(6.25),non-profits(6.25),reputation(6.25), </v>
      </c>
      <c r="AN143" s="14" t="str">
        <f t="shared" si="259"/>
        <v xml:space="preserve"> </v>
      </c>
      <c r="AO143" s="14" t="str">
        <f t="shared" si="260"/>
        <v xml:space="preserve"> </v>
      </c>
      <c r="AP143" s="14" t="str">
        <f t="shared" si="261"/>
        <v xml:space="preserve"> </v>
      </c>
      <c r="AQ143" s="14" t="str">
        <f t="shared" si="262"/>
        <v xml:space="preserve">spaciousness(2.1), reputation(3), organizational rules and manuals(2.1), team building(2.1),  </v>
      </c>
      <c r="AR143" s="14" t="str">
        <f t="shared" si="263"/>
        <v xml:space="preserve">reputation(-1,6.25%), efficiency(-1,6.25%),  </v>
      </c>
      <c r="AS143" s="27" t="str">
        <f t="shared" si="482"/>
        <v xml:space="preserve">reputation(6.25),efficiency(6.25), </v>
      </c>
      <c r="AT143" s="14" t="str">
        <f t="shared" si="265"/>
        <v xml:space="preserve"> </v>
      </c>
      <c r="AU143" s="14" t="str">
        <f t="shared" si="266"/>
        <v xml:space="preserve"> </v>
      </c>
      <c r="AV143" s="14" t="str">
        <f t="shared" si="267"/>
        <v xml:space="preserve"> </v>
      </c>
      <c r="AW143" s="14" t="str">
        <f t="shared" si="268"/>
        <v xml:space="preserve">initiative(2.1), leader(2.1), community manager(2.1), user rules and manuals(2.1), team building(2.1),  </v>
      </c>
      <c r="AX143" s="14" t="str">
        <f t="shared" si="269"/>
        <v xml:space="preserve"> </v>
      </c>
      <c r="AY143" s="27" t="str">
        <f t="shared" si="482"/>
        <v xml:space="preserve"> </v>
      </c>
      <c r="AZ143" s="14" t="str">
        <f t="shared" si="271"/>
        <v xml:space="preserve"> </v>
      </c>
      <c r="BA143" s="14" t="str">
        <f t="shared" si="272"/>
        <v xml:space="preserve">efficiency(-1,12.5%), user rules and manuals(1,25%),  </v>
      </c>
      <c r="BB143" s="14" t="str">
        <f t="shared" si="273"/>
        <v xml:space="preserve">efficiency(12.5)
user rules and manuals(25)
 </v>
      </c>
      <c r="BC143" s="14" t="str">
        <f t="shared" si="274"/>
        <v xml:space="preserve">community manager(1.1), administrator(1.1), user rules and manuals(2.1), organizational rules and manuals(2.1),  </v>
      </c>
      <c r="BD143" s="14" t="str">
        <f t="shared" si="275"/>
        <v xml:space="preserve">reputation(-1,6.25%),  </v>
      </c>
      <c r="BE143" s="27" t="str">
        <f t="shared" si="482"/>
        <v xml:space="preserve">reputation(6.25), </v>
      </c>
      <c r="BF143" s="14" t="str">
        <f t="shared" si="277"/>
        <v xml:space="preserve"> </v>
      </c>
      <c r="BG143" s="14" t="str">
        <f t="shared" si="278"/>
        <v xml:space="preserve">user rules and manuals(1,25%), organizational rules and manuals(1,25%),  </v>
      </c>
      <c r="BH143" s="14" t="str">
        <f t="shared" si="279"/>
        <v xml:space="preserve">user rules and manuals(25)
organizational rules and manuals(25)
 </v>
      </c>
      <c r="BI143" s="14" t="str">
        <f t="shared" si="280"/>
        <v xml:space="preserve">community manager(1.1), administrator(1.1),  </v>
      </c>
      <c r="BJ143" s="14" t="str">
        <f t="shared" si="281"/>
        <v xml:space="preserve">reputation(-1,6.25%), efficiency(-1,25%),  </v>
      </c>
      <c r="BK143" s="27" t="str">
        <f t="shared" si="482"/>
        <v xml:space="preserve">reputation(6.25),efficiency(25), </v>
      </c>
      <c r="BL143" s="14" t="str">
        <f t="shared" si="283"/>
        <v xml:space="preserve">local biz(1)
ease of access(1)
reputation(1)
aesthetics(1)
 </v>
      </c>
      <c r="BM143" s="14" t="str">
        <f t="shared" si="284"/>
        <v xml:space="preserve">biz enhancement(1,%),  </v>
      </c>
      <c r="BN143" s="14" t="str">
        <f t="shared" si="285"/>
        <v xml:space="preserve"> </v>
      </c>
      <c r="BO143" s="14" t="str">
        <f t="shared" si="286"/>
        <v xml:space="preserve">initiative(1), community manager(1), PR(1), administrator(2), ease of access(2), reputation(3), efficiency(2), user rules and manuals(1), marketing(1), negotiation(1), aesthetics(2), functions(1), safety(1),  </v>
      </c>
      <c r="BP143" s="14" t="str">
        <f t="shared" si="287"/>
        <v xml:space="preserve">local biz(1,6.25%),  </v>
      </c>
      <c r="BQ143" s="27" t="str">
        <f t="shared" si="482"/>
        <v xml:space="preserve">local biz(6.25), </v>
      </c>
      <c r="BR143" s="14" t="str">
        <f t="shared" si="289"/>
        <v xml:space="preserve">local biz(1)
ease of access(1)
reputation(1)
aesthetics(1)
 </v>
      </c>
      <c r="BS143" s="14" t="str">
        <f t="shared" si="290"/>
        <v xml:space="preserve">biz project(1,%),  </v>
      </c>
      <c r="BT143" s="14" t="str">
        <f t="shared" si="291"/>
        <v xml:space="preserve"> </v>
      </c>
      <c r="BU143" s="14" t="str">
        <f t="shared" si="292"/>
        <v xml:space="preserve">initiative(1), community manager(1), PR(1), administrator(2), ease of access(2), reputation(3), efficiency(2), user rules and manuals(1), marketing(1), negotiation(1), wood processing(1), aesthetics(2),  </v>
      </c>
      <c r="BV143" s="14" t="str">
        <f t="shared" si="293"/>
        <v xml:space="preserve">local biz(1,6.25%),  </v>
      </c>
      <c r="BW143" s="27" t="str">
        <f t="shared" si="482"/>
        <v xml:space="preserve">local biz(6.25), </v>
      </c>
      <c r="BX143" s="14" t="str">
        <f t="shared" si="295"/>
        <v xml:space="preserve">local biz(1)
ease of access(1)
reputation(1)
aesthetics(1)
interaction(1)
 </v>
      </c>
      <c r="BY143" s="14" t="str">
        <f t="shared" si="296"/>
        <v xml:space="preserve">biz project(1,%),  </v>
      </c>
      <c r="BZ143" s="14" t="str">
        <f t="shared" si="297"/>
        <v xml:space="preserve"> </v>
      </c>
      <c r="CA143" s="14" t="str">
        <f t="shared" si="298"/>
        <v xml:space="preserve">initiative(1), community manager(1), PR(1), administrator(2), ease of access(2), reputation(3), efficiency(2), user rules and manuals(1), marketing(1), team building(1), social media(1), negotiation(1), web(2), infrastructrue(2), database(2), security(3), aesthetics(2), functions(1), interaction(2),  </v>
      </c>
      <c r="CB143" s="14" t="str">
        <f t="shared" si="299"/>
        <v xml:space="preserve">local biz(1,6.25%),  </v>
      </c>
      <c r="CC143" s="27" t="str">
        <f t="shared" si="483"/>
        <v xml:space="preserve">local biz(6.25), </v>
      </c>
      <c r="CD143" s="14" t="str">
        <f t="shared" si="301"/>
        <v xml:space="preserve">ease of access(1)
reputation(1)
aesthetics(1)
 </v>
      </c>
      <c r="CE143" s="14" t="str">
        <f t="shared" si="302"/>
        <v xml:space="preserve">biz project(1,%),  </v>
      </c>
      <c r="CF143" s="14" t="str">
        <f t="shared" si="303"/>
        <v xml:space="preserve"> </v>
      </c>
      <c r="CG143" s="14" t="str">
        <f t="shared" si="304"/>
        <v xml:space="preserve">initiative(1), community manager(1), PR(1), administrator(2), ease of access(2), efficiency(2), user rules and manuals(1), marketing(1), team building(1), negotiation(1), infrastructrue(1), database(2), mobile apps(2), security(3), aesthetics(2), functions(1), interaction(2),  </v>
      </c>
      <c r="CH143" s="14" t="str">
        <f t="shared" si="305"/>
        <v xml:space="preserve">local biz(1,6.25%),  </v>
      </c>
      <c r="CI143" s="27" t="str">
        <f t="shared" si="483"/>
        <v xml:space="preserve">local biz(6.25), </v>
      </c>
      <c r="CJ143" s="14" t="str">
        <f t="shared" si="307"/>
        <v xml:space="preserve">ease of access(1)
reputation(1)
aesthetics(1)
 </v>
      </c>
      <c r="CK143" s="14" t="str">
        <f t="shared" si="308"/>
        <v xml:space="preserve">biz project(1,%),  </v>
      </c>
      <c r="CL143" s="14" t="str">
        <f t="shared" si="309"/>
        <v xml:space="preserve"> </v>
      </c>
      <c r="CM143" s="14" t="str">
        <f t="shared" si="310"/>
        <v xml:space="preserve">initiative(1), community manager(1), PR(1), administrator(2), ease of access(2), reputation(3), efficiency(2), user rules and manuals(1), marketing(2), team building(1), social media(2), negotiation(1), web(2), infrastructrue(2), database(2), mobile apps(2), security(2), aesthetics(2), functions(1), interaction(2),  </v>
      </c>
      <c r="CN143" s="14" t="str">
        <f t="shared" si="311"/>
        <v xml:space="preserve">local biz(1,6.25%),  </v>
      </c>
      <c r="CO143" s="27" t="str">
        <f t="shared" si="483"/>
        <v xml:space="preserve">local biz(6.25), </v>
      </c>
      <c r="CP143" s="14" t="str">
        <f t="shared" si="313"/>
        <v xml:space="preserve">local biz(1)
metal processing(1)
functions(1)
 </v>
      </c>
      <c r="CQ143" s="14" t="str">
        <f t="shared" si="314"/>
        <v xml:space="preserve">local biz(1,50%), biz enhancement(1,50%),  </v>
      </c>
      <c r="CR143" s="14" t="str">
        <f t="shared" si="315"/>
        <v xml:space="preserve">local biz(50)
biz enhancement(50)
 </v>
      </c>
      <c r="CS143" s="14" t="str">
        <f t="shared" si="316"/>
        <v xml:space="preserve">initiative(1), community manager(1), ease of access(2), reputation(3), efficiency(2), metal processing(2), electronics(2), aesthetics(2), functions(2), safety(2),  </v>
      </c>
      <c r="CT143" s="14" t="str">
        <f t="shared" si="317"/>
        <v xml:space="preserve">reputation(1,6.25%),  </v>
      </c>
      <c r="CU143" s="27" t="str">
        <f t="shared" si="483"/>
        <v xml:space="preserve">reputation(6.25), </v>
      </c>
      <c r="CV143" s="14" t="str">
        <f t="shared" si="319"/>
        <v xml:space="preserve">non-profits(1)
wood processing(1)
aesthetics(1)
interaction(1)
 </v>
      </c>
      <c r="CW143" s="14" t="str">
        <f t="shared" si="320"/>
        <v xml:space="preserve">non-profits(1,50%), social project(1,50%),  </v>
      </c>
      <c r="CX143" s="14" t="str">
        <f t="shared" si="321"/>
        <v xml:space="preserve">non-profits(50)
social project(50)
 </v>
      </c>
      <c r="CY143" s="14" t="str">
        <f t="shared" si="322"/>
        <v xml:space="preserve">administrator(2), ease of access(2), efficiency(3), sensors(2), wood processing(2), plastic processing(2), electronics(2), aesthetics(2), functions(1), safety(1), interaction(2),  </v>
      </c>
      <c r="CZ143" s="14" t="str">
        <f t="shared" si="323"/>
        <v xml:space="preserve">media(1,6.25%), reputation(1,6.25%), portfolio(1,6.25%),  </v>
      </c>
      <c r="DA143" s="27" t="str">
        <f t="shared" si="483"/>
        <v xml:space="preserve">media(6.25),reputation(6.25),portfolio(6.25), </v>
      </c>
      <c r="DB143" s="14" t="str">
        <f t="shared" si="325"/>
        <v xml:space="preserve">non-profits(1)
aesthetics(1)
interaction(1)
 </v>
      </c>
      <c r="DC143" s="14" t="str">
        <f t="shared" si="326"/>
        <v xml:space="preserve">non-profits(1,50%), social project(1,50%),  </v>
      </c>
      <c r="DD143" s="14" t="str">
        <f t="shared" si="327"/>
        <v xml:space="preserve">non-profits(50)
social project(50)
 </v>
      </c>
      <c r="DE143" s="14" t="str">
        <f t="shared" si="328"/>
        <v xml:space="preserve">administrator(2), ease of access(2), efficiency(3), VR&amp;AR(2),  </v>
      </c>
      <c r="DF143" s="14" t="str">
        <f t="shared" si="329"/>
        <v xml:space="preserve">media(1,6.25%), reputation(1,6.25%), portfolio(1,6.25%),  </v>
      </c>
      <c r="DG143" s="27" t="str">
        <f t="shared" si="483"/>
        <v xml:space="preserve">media(6.25),reputation(6.25),portfolio(6.25), </v>
      </c>
      <c r="DH143" s="14" t="str">
        <f t="shared" si="331"/>
        <v xml:space="preserve">wood processing(1)
aesthetics(1)
safety(1)
 </v>
      </c>
      <c r="DI143" s="14" t="str">
        <f t="shared" si="332"/>
        <v xml:space="preserve">social project(1,100%),  </v>
      </c>
      <c r="DJ143" s="14" t="str">
        <f t="shared" si="333"/>
        <v xml:space="preserve">social project(100)
 </v>
      </c>
      <c r="DK143" s="14" t="str">
        <f t="shared" si="334"/>
        <v xml:space="preserve">initiative(2), 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3" s="14" t="str">
        <f t="shared" si="335"/>
        <v xml:space="preserve">reputation(1,6.25%), portfolio(1,6.25%), team building(1,6.25%),  </v>
      </c>
      <c r="DM143" s="27" t="str">
        <f t="shared" si="483"/>
        <v xml:space="preserve">reputation(6.25),portfolio(6.25),team building(6.25), </v>
      </c>
      <c r="DN143" s="14" t="str">
        <f t="shared" si="337"/>
        <v xml:space="preserve">initiative(1)
community manager(1)
fame(1)
network(2)
suppliers(2)
spaciousness(1)
ease of access(2)
reputation(3)
project management(2)
wood processing(1)
plastic processing(1)
electronics(1)
aesthetics(2)
functions(1)
safety(1)
biz project(1)
 </v>
      </c>
      <c r="DO143" s="14" t="str">
        <f t="shared" si="338"/>
        <v xml:space="preserve">reputation(1,25%), portfolio(1,50%),  </v>
      </c>
      <c r="DP143" s="14" t="str">
        <f t="shared" si="339"/>
        <v xml:space="preserve">reputation(25)
portfolio(50)
 </v>
      </c>
      <c r="DQ143" s="14" t="str">
        <f t="shared" si="340"/>
        <v xml:space="preserve">administrator(1), media(3), suppliers(3), social media(2), wood processing(2), plastic processing(2), electronics(2), aesthetics(2),  </v>
      </c>
      <c r="DR143" s="14" t="str">
        <f t="shared" si="341"/>
        <v xml:space="preserve">suppliers(1,6.25%), reputation(1,6.25%),  </v>
      </c>
      <c r="DS143" s="27" t="str">
        <f t="shared" si="483"/>
        <v xml:space="preserve">suppliers(6.25),reputation(6.25), </v>
      </c>
      <c r="DT143" s="14" t="str">
        <f t="shared" si="343"/>
        <v xml:space="preserve">leader(1)
fame(1)
network(2)
reputation(3)
portfolio(2)
 </v>
      </c>
      <c r="DU143" s="14" t="str">
        <f t="shared" si="344"/>
        <v xml:space="preserve">fame(1,25%), govt(1,25%), non-profits(1,50%), reputation(1,25%),  </v>
      </c>
      <c r="DV143" s="14" t="str">
        <f t="shared" si="345"/>
        <v xml:space="preserve">fame(25)
govt(25)
non-profits(50)
reputation(25)
 </v>
      </c>
      <c r="DW143" s="14" t="str">
        <f t="shared" si="346"/>
        <v xml:space="preserve">PR(1), administrator(1), social media(2),  </v>
      </c>
      <c r="DX143" s="14" t="str">
        <f t="shared" si="347"/>
        <v xml:space="preserve">fame(1,6.25%), reputation(1,6.25%),  </v>
      </c>
      <c r="DY143" s="27" t="str">
        <f t="shared" si="483"/>
        <v xml:space="preserve">fame(6.25),reputation(6.25), </v>
      </c>
      <c r="DZ143" s="14" t="str">
        <f t="shared" si="349"/>
        <v xml:space="preserve"> </v>
      </c>
      <c r="EA143" s="14" t="str">
        <f t="shared" si="350"/>
        <v xml:space="preserve"> </v>
      </c>
      <c r="EB143" s="14" t="str">
        <f t="shared" si="351"/>
        <v xml:space="preserve"> </v>
      </c>
      <c r="EC143" s="14" t="str">
        <f t="shared" si="352"/>
        <v xml:space="preserve"> </v>
      </c>
      <c r="ED143" s="14" t="str">
        <f t="shared" si="353"/>
        <v xml:space="preserve"> </v>
      </c>
      <c r="EE143" s="27" t="str">
        <f t="shared" si="483"/>
        <v xml:space="preserve"> </v>
      </c>
      <c r="EF143" s="14" t="str">
        <f t="shared" si="355"/>
        <v xml:space="preserve"> </v>
      </c>
      <c r="EG143" s="14" t="str">
        <f t="shared" si="356"/>
        <v xml:space="preserve"> </v>
      </c>
      <c r="EH143" s="14" t="str">
        <f t="shared" si="357"/>
        <v xml:space="preserve"> </v>
      </c>
      <c r="EI143" s="14" t="str">
        <f t="shared" si="358"/>
        <v xml:space="preserve"> </v>
      </c>
      <c r="EJ143" s="14" t="str">
        <f t="shared" si="359"/>
        <v xml:space="preserve"> </v>
      </c>
      <c r="EK143" s="27" t="str">
        <f t="shared" si="483"/>
        <v xml:space="preserve"> </v>
      </c>
      <c r="EL143" s="14" t="str">
        <f t="shared" si="361"/>
        <v xml:space="preserve"> </v>
      </c>
      <c r="EM143" s="14" t="str">
        <f t="shared" si="362"/>
        <v xml:space="preserve"> </v>
      </c>
      <c r="EN143" s="14" t="str">
        <f t="shared" si="363"/>
        <v xml:space="preserve"> </v>
      </c>
      <c r="EO143" s="14" t="str">
        <f t="shared" si="364"/>
        <v xml:space="preserve"> </v>
      </c>
      <c r="EP143" s="14" t="str">
        <f t="shared" si="365"/>
        <v xml:space="preserve"> </v>
      </c>
      <c r="EQ143" s="27" t="str">
        <f t="shared" si="484"/>
        <v xml:space="preserve"> </v>
      </c>
      <c r="ER143" s="14" t="str">
        <f t="shared" si="367"/>
        <v xml:space="preserve"> </v>
      </c>
      <c r="ES143" s="14" t="str">
        <f t="shared" si="368"/>
        <v xml:space="preserve"> </v>
      </c>
      <c r="ET143" s="14" t="str">
        <f t="shared" si="369"/>
        <v xml:space="preserve"> </v>
      </c>
      <c r="EU143" s="14" t="str">
        <f t="shared" si="370"/>
        <v xml:space="preserve"> </v>
      </c>
      <c r="EV143" s="14" t="str">
        <f t="shared" si="371"/>
        <v xml:space="preserve"> </v>
      </c>
      <c r="EW143" s="27" t="str">
        <f t="shared" si="484"/>
        <v xml:space="preserve"> </v>
      </c>
      <c r="EX143" s="14" t="str">
        <f t="shared" si="373"/>
        <v xml:space="preserve"> </v>
      </c>
      <c r="EY143" s="14" t="str">
        <f t="shared" si="374"/>
        <v xml:space="preserve"> </v>
      </c>
      <c r="EZ143" s="14" t="str">
        <f t="shared" si="375"/>
        <v xml:space="preserve"> </v>
      </c>
      <c r="FA143" s="14" t="str">
        <f t="shared" si="376"/>
        <v xml:space="preserve"> </v>
      </c>
      <c r="FB143" s="14" t="str">
        <f t="shared" si="377"/>
        <v xml:space="preserve"> </v>
      </c>
      <c r="FC143" s="27" t="str">
        <f t="shared" si="484"/>
        <v xml:space="preserve"> </v>
      </c>
      <c r="FD143" s="14" t="str">
        <f t="shared" si="379"/>
        <v xml:space="preserve"> </v>
      </c>
      <c r="FE143" s="14" t="str">
        <f t="shared" si="380"/>
        <v xml:space="preserve"> </v>
      </c>
      <c r="FF143" s="14" t="str">
        <f t="shared" si="381"/>
        <v xml:space="preserve"> </v>
      </c>
      <c r="FG143" s="14" t="str">
        <f t="shared" si="382"/>
        <v xml:space="preserve"> </v>
      </c>
      <c r="FH143" s="14" t="str">
        <f t="shared" si="383"/>
        <v xml:space="preserve"> </v>
      </c>
      <c r="FI143" s="27" t="str">
        <f t="shared" si="484"/>
        <v xml:space="preserve"> </v>
      </c>
      <c r="FJ143" s="14" t="str">
        <f t="shared" si="385"/>
        <v xml:space="preserve"> </v>
      </c>
      <c r="FK143" s="14" t="str">
        <f t="shared" si="386"/>
        <v xml:space="preserve"> </v>
      </c>
      <c r="FL143" s="14" t="str">
        <f t="shared" si="387"/>
        <v xml:space="preserve"> </v>
      </c>
      <c r="FM143" s="14" t="str">
        <f t="shared" si="388"/>
        <v xml:space="preserve"> </v>
      </c>
      <c r="FN143" s="14" t="str">
        <f t="shared" si="389"/>
        <v xml:space="preserve"> </v>
      </c>
      <c r="FO143" s="27" t="str">
        <f t="shared" si="484"/>
        <v xml:space="preserve"> </v>
      </c>
      <c r="FP143" s="14" t="str">
        <f t="shared" si="391"/>
        <v xml:space="preserve"> </v>
      </c>
      <c r="FQ143" s="14" t="str">
        <f t="shared" si="392"/>
        <v xml:space="preserve"> </v>
      </c>
      <c r="FR143" s="14" t="str">
        <f t="shared" si="393"/>
        <v xml:space="preserve"> </v>
      </c>
      <c r="FS143" s="14" t="str">
        <f t="shared" si="394"/>
        <v xml:space="preserve"> </v>
      </c>
      <c r="FT143" s="14" t="str">
        <f t="shared" si="395"/>
        <v xml:space="preserve"> </v>
      </c>
      <c r="FU143" s="27" t="str">
        <f t="shared" si="484"/>
        <v xml:space="preserve"> </v>
      </c>
      <c r="FV143" s="14" t="str">
        <f t="shared" si="397"/>
        <v xml:space="preserve"> </v>
      </c>
      <c r="FW143" s="14" t="str">
        <f t="shared" si="398"/>
        <v xml:space="preserve"> </v>
      </c>
      <c r="FX143" s="14" t="str">
        <f t="shared" si="399"/>
        <v xml:space="preserve"> </v>
      </c>
      <c r="FY143" s="14" t="str">
        <f t="shared" si="400"/>
        <v xml:space="preserve"> </v>
      </c>
      <c r="FZ143" s="14" t="str">
        <f t="shared" si="401"/>
        <v xml:space="preserve"> </v>
      </c>
      <c r="GA143" s="27" t="str">
        <f t="shared" si="484"/>
        <v xml:space="preserve"> </v>
      </c>
      <c r="GB143" s="14" t="str">
        <f t="shared" si="403"/>
        <v xml:space="preserve"> </v>
      </c>
      <c r="GC143" s="14" t="str">
        <f t="shared" si="404"/>
        <v xml:space="preserve"> </v>
      </c>
      <c r="GD143" s="14" t="str">
        <f t="shared" si="405"/>
        <v xml:space="preserve"> </v>
      </c>
      <c r="GE143" s="14" t="str">
        <f t="shared" si="406"/>
        <v xml:space="preserve"> </v>
      </c>
      <c r="GF143" s="14" t="str">
        <f t="shared" si="407"/>
        <v xml:space="preserve"> </v>
      </c>
      <c r="GG143" s="27" t="str">
        <f t="shared" si="484"/>
        <v xml:space="preserve"> </v>
      </c>
      <c r="GH143" s="14" t="str">
        <f t="shared" si="409"/>
        <v xml:space="preserve"> </v>
      </c>
      <c r="GI143" s="14" t="str">
        <f t="shared" si="410"/>
        <v xml:space="preserve"> </v>
      </c>
      <c r="GJ143" s="14" t="str">
        <f t="shared" si="411"/>
        <v xml:space="preserve"> </v>
      </c>
      <c r="GK143" s="14" t="str">
        <f t="shared" si="412"/>
        <v xml:space="preserve"> </v>
      </c>
      <c r="GL143" s="14" t="str">
        <f t="shared" si="413"/>
        <v xml:space="preserve"> </v>
      </c>
      <c r="GM143" s="27" t="str">
        <f t="shared" si="484"/>
        <v xml:space="preserve"> </v>
      </c>
      <c r="GN143" s="14" t="str">
        <f t="shared" si="415"/>
        <v xml:space="preserve"> </v>
      </c>
      <c r="GO143" s="14" t="str">
        <f t="shared" si="416"/>
        <v xml:space="preserve"> </v>
      </c>
      <c r="GP143" s="14" t="str">
        <f t="shared" si="417"/>
        <v xml:space="preserve"> </v>
      </c>
      <c r="GQ143" s="14" t="str">
        <f t="shared" si="418"/>
        <v xml:space="preserve"> </v>
      </c>
      <c r="GR143" s="14" t="str">
        <f t="shared" si="419"/>
        <v xml:space="preserve"> </v>
      </c>
      <c r="GS143" s="27" t="str">
        <f t="shared" si="484"/>
        <v xml:space="preserve"> </v>
      </c>
      <c r="GT143" s="14" t="str">
        <f t="shared" si="421"/>
        <v xml:space="preserve"> </v>
      </c>
      <c r="GU143" s="14" t="str">
        <f t="shared" si="422"/>
        <v xml:space="preserve"> </v>
      </c>
      <c r="GV143" s="14" t="str">
        <f t="shared" si="423"/>
        <v xml:space="preserve"> </v>
      </c>
      <c r="GW143" s="14" t="str">
        <f t="shared" si="424"/>
        <v xml:space="preserve"> </v>
      </c>
      <c r="GX143" s="14" t="str">
        <f t="shared" si="425"/>
        <v xml:space="preserve"> </v>
      </c>
      <c r="GY143" s="27" t="str">
        <f t="shared" si="484"/>
        <v xml:space="preserve"> </v>
      </c>
      <c r="GZ143" s="14" t="str">
        <f t="shared" si="427"/>
        <v xml:space="preserve"> </v>
      </c>
      <c r="HA143" s="14" t="str">
        <f t="shared" si="428"/>
        <v xml:space="preserve"> </v>
      </c>
      <c r="HB143" s="14" t="str">
        <f t="shared" si="429"/>
        <v xml:space="preserve"> </v>
      </c>
      <c r="HC143" s="14" t="str">
        <f t="shared" si="430"/>
        <v xml:space="preserve"> </v>
      </c>
      <c r="HD143" s="14" t="str">
        <f t="shared" si="431"/>
        <v xml:space="preserve"> </v>
      </c>
      <c r="HE143" s="27" t="str">
        <f t="shared" si="485"/>
        <v xml:space="preserve"> </v>
      </c>
      <c r="HF143" s="14" t="str">
        <f t="shared" si="433"/>
        <v xml:space="preserve"> </v>
      </c>
      <c r="HG143" s="14" t="str">
        <f t="shared" si="434"/>
        <v xml:space="preserve"> </v>
      </c>
      <c r="HH143" s="14" t="str">
        <f t="shared" si="435"/>
        <v xml:space="preserve"> </v>
      </c>
      <c r="HI143" s="14" t="str">
        <f t="shared" si="436"/>
        <v xml:space="preserve"> </v>
      </c>
      <c r="HJ143" s="14" t="str">
        <f t="shared" si="437"/>
        <v xml:space="preserve"> </v>
      </c>
      <c r="HK143" s="27" t="str">
        <f t="shared" si="485"/>
        <v xml:space="preserve"> </v>
      </c>
      <c r="HL143" s="14" t="str">
        <f t="shared" si="439"/>
        <v xml:space="preserve"> </v>
      </c>
      <c r="HM143" s="14" t="str">
        <f t="shared" si="440"/>
        <v xml:space="preserve"> </v>
      </c>
      <c r="HN143" s="14" t="str">
        <f t="shared" si="441"/>
        <v xml:space="preserve"> </v>
      </c>
      <c r="HO143" s="14" t="str">
        <f t="shared" si="442"/>
        <v xml:space="preserve"> </v>
      </c>
      <c r="HP143" s="14" t="str">
        <f t="shared" si="443"/>
        <v xml:space="preserve"> </v>
      </c>
      <c r="HQ143" s="27" t="str">
        <f t="shared" si="485"/>
        <v xml:space="preserve"> </v>
      </c>
    </row>
    <row r="144" spans="1:225" ht="15.75" customHeight="1">
      <c r="A144" s="7">
        <f t="shared" ref="A144:C144" si="514">A36</f>
        <v>0</v>
      </c>
      <c r="B144" s="7">
        <f t="shared" si="514"/>
        <v>0</v>
      </c>
      <c r="C144" s="7" t="str">
        <f t="shared" si="514"/>
        <v>leader</v>
      </c>
      <c r="D144" s="14" t="str">
        <f t="shared" si="446"/>
        <v xml:space="preserve"> </v>
      </c>
      <c r="E144" s="14" t="str">
        <f t="shared" si="447"/>
        <v xml:space="preserve"> </v>
      </c>
      <c r="F144" s="14" t="str">
        <f t="shared" si="448"/>
        <v xml:space="preserve"> </v>
      </c>
      <c r="G144" s="14" t="str">
        <f t="shared" si="449"/>
        <v xml:space="preserve">efficiency(1), user rules and manuals(2.1), organizational rules and manuals(2.1),  </v>
      </c>
      <c r="H144" s="14" t="str">
        <f t="shared" si="450"/>
        <v xml:space="preserve">efficiency(-1,6.25%),  </v>
      </c>
      <c r="I144" s="27" t="str">
        <f t="shared" ref="I144" si="515">IF(I36="",I145,$C144&amp;"("&amp;I36&amp;"),"&amp;I145)</f>
        <v xml:space="preserve">efficiency(6.25), </v>
      </c>
      <c r="J144" s="14" t="str">
        <f t="shared" si="229"/>
        <v xml:space="preserve"> </v>
      </c>
      <c r="K144" s="14" t="str">
        <f t="shared" si="230"/>
        <v xml:space="preserve"> </v>
      </c>
      <c r="L144" s="14" t="str">
        <f t="shared" si="231"/>
        <v xml:space="preserve"> </v>
      </c>
      <c r="M144" s="14" t="str">
        <f t="shared" si="232"/>
        <v xml:space="preserve">efficiency(0.1), organizational rules and manuals(1.1),  </v>
      </c>
      <c r="N144" s="14" t="str">
        <f t="shared" si="233"/>
        <v xml:space="preserve"> </v>
      </c>
      <c r="O144" s="27" t="str">
        <f t="shared" si="482"/>
        <v xml:space="preserve"> </v>
      </c>
      <c r="P144" s="14" t="str">
        <f t="shared" si="235"/>
        <v xml:space="preserve"> </v>
      </c>
      <c r="Q144" s="14" t="str">
        <f t="shared" si="236"/>
        <v xml:space="preserve"> </v>
      </c>
      <c r="R144" s="14" t="str">
        <f t="shared" si="237"/>
        <v xml:space="preserve"> </v>
      </c>
      <c r="S144" s="14" t="str">
        <f t="shared" si="238"/>
        <v xml:space="preserve">community manager(0.1), team building(0.1),  </v>
      </c>
      <c r="T144" s="14" t="str">
        <f t="shared" si="239"/>
        <v xml:space="preserve">business model(-1,6.25%), web(-1,6.25%), mobile apps(-1,6.25%), aesthetics(-1,6.25%),  </v>
      </c>
      <c r="U144" s="27" t="str">
        <f t="shared" si="482"/>
        <v xml:space="preserve">business model(6.25),web(6.25),mobile apps(6.25),aesthetics(6.25), </v>
      </c>
      <c r="V144" s="14" t="str">
        <f t="shared" si="241"/>
        <v xml:space="preserve"> </v>
      </c>
      <c r="W144" s="14" t="str">
        <f t="shared" si="242"/>
        <v xml:space="preserve">efficiency(-1,25%),  </v>
      </c>
      <c r="X144" s="14" t="str">
        <f t="shared" si="243"/>
        <v xml:space="preserve">efficiency(25)
 </v>
      </c>
      <c r="Y144" s="14" t="str">
        <f t="shared" si="244"/>
        <v xml:space="preserve">community manager(0.1), administrator(0.1), spaciousness(1), ease of access(3), reputation(2), user rules and manuals(0.1), project management(0.1), negotiation(0.1),  </v>
      </c>
      <c r="Z144" s="14" t="str">
        <f t="shared" si="245"/>
        <v xml:space="preserve">reputation(-1,%),  </v>
      </c>
      <c r="AA144" s="27" t="str">
        <f t="shared" si="482"/>
        <v xml:space="preserve"> </v>
      </c>
      <c r="AB144" s="14" t="str">
        <f t="shared" si="247"/>
        <v xml:space="preserve"> </v>
      </c>
      <c r="AC144" s="14" t="str">
        <f t="shared" si="248"/>
        <v xml:space="preserve"> </v>
      </c>
      <c r="AD144" s="14" t="str">
        <f t="shared" si="249"/>
        <v xml:space="preserve"> </v>
      </c>
      <c r="AE144" s="14" t="str">
        <f t="shared" si="250"/>
        <v xml:space="preserve">spaciousness(1), user rules and manuals(1.1), organizational rules and manuals(1.1),  </v>
      </c>
      <c r="AF144" s="14" t="str">
        <f t="shared" si="251"/>
        <v xml:space="preserve">local biz(-1,6.25%), investors(-1,6.25%), non-profits(-1,6.25%), efficiency(-1,6.25%),  </v>
      </c>
      <c r="AG144" s="27" t="str">
        <f t="shared" si="482"/>
        <v xml:space="preserve">local biz(6.25),investors(6.25),non-profits(6.25),efficiency(6.25), </v>
      </c>
      <c r="AH144" s="14" t="str">
        <f t="shared" si="253"/>
        <v xml:space="preserve">ease of access(1)
reputation(1)
 </v>
      </c>
      <c r="AI144" s="14" t="str">
        <f t="shared" si="254"/>
        <v xml:space="preserve"> </v>
      </c>
      <c r="AJ144" s="14" t="str">
        <f t="shared" si="255"/>
        <v xml:space="preserve"> </v>
      </c>
      <c r="AK144" s="14" t="str">
        <f t="shared" si="256"/>
        <v xml:space="preserve">community manager(2.1), administrator(2.1), spaciousness(1), ease of access(1), reputation(2), user rules and manuals(2.1), organizational rules and manuals(2.1), law(1.1), negotiation(1.1),  </v>
      </c>
      <c r="AL144" s="14" t="str">
        <f t="shared" si="257"/>
        <v xml:space="preserve">govt(-1,6.25%), non-profits(-1,6.25%), reputation(-1,6.25%),  </v>
      </c>
      <c r="AM144" s="27" t="str">
        <f t="shared" si="482"/>
        <v xml:space="preserve">govt(6.25),non-profits(6.25),reputation(6.25), </v>
      </c>
      <c r="AN144" s="14" t="str">
        <f t="shared" si="259"/>
        <v xml:space="preserve"> </v>
      </c>
      <c r="AO144" s="14" t="str">
        <f t="shared" si="260"/>
        <v xml:space="preserve"> </v>
      </c>
      <c r="AP144" s="14" t="str">
        <f t="shared" si="261"/>
        <v xml:space="preserve"> </v>
      </c>
      <c r="AQ144" s="14" t="str">
        <f t="shared" si="262"/>
        <v xml:space="preserve">spaciousness(2.1), reputation(3), organizational rules and manuals(2.1), team building(2.1),  </v>
      </c>
      <c r="AR144" s="14" t="str">
        <f t="shared" si="263"/>
        <v xml:space="preserve">reputation(-1,6.25%), efficiency(-1,6.25%),  </v>
      </c>
      <c r="AS144" s="27" t="str">
        <f t="shared" si="482"/>
        <v xml:space="preserve">reputation(6.25),efficiency(6.25), </v>
      </c>
      <c r="AT144" s="14" t="str">
        <f t="shared" si="265"/>
        <v xml:space="preserve"> </v>
      </c>
      <c r="AU144" s="14" t="str">
        <f t="shared" si="266"/>
        <v xml:space="preserve"> </v>
      </c>
      <c r="AV144" s="14" t="str">
        <f t="shared" si="267"/>
        <v xml:space="preserve"> </v>
      </c>
      <c r="AW144" s="14" t="str">
        <f t="shared" si="268"/>
        <v xml:space="preserve">leader(2.1), community manager(2.1), user rules and manuals(2.1), team building(2.1),  </v>
      </c>
      <c r="AX144" s="14" t="str">
        <f t="shared" si="269"/>
        <v xml:space="preserve"> </v>
      </c>
      <c r="AY144" s="27" t="str">
        <f t="shared" si="482"/>
        <v xml:space="preserve"> </v>
      </c>
      <c r="AZ144" s="14" t="str">
        <f t="shared" si="271"/>
        <v xml:space="preserve"> </v>
      </c>
      <c r="BA144" s="14" t="str">
        <f t="shared" si="272"/>
        <v xml:space="preserve">efficiency(-1,12.5%), user rules and manuals(1,25%),  </v>
      </c>
      <c r="BB144" s="14" t="str">
        <f t="shared" si="273"/>
        <v xml:space="preserve">efficiency(12.5)
user rules and manuals(25)
 </v>
      </c>
      <c r="BC144" s="14" t="str">
        <f t="shared" si="274"/>
        <v xml:space="preserve">community manager(1.1), administrator(1.1), user rules and manuals(2.1), organizational rules and manuals(2.1),  </v>
      </c>
      <c r="BD144" s="14" t="str">
        <f t="shared" si="275"/>
        <v xml:space="preserve">reputation(-1,6.25%),  </v>
      </c>
      <c r="BE144" s="27" t="str">
        <f t="shared" si="482"/>
        <v xml:space="preserve">reputation(6.25), </v>
      </c>
      <c r="BF144" s="14" t="str">
        <f t="shared" si="277"/>
        <v xml:space="preserve"> </v>
      </c>
      <c r="BG144" s="14" t="str">
        <f t="shared" si="278"/>
        <v xml:space="preserve">user rules and manuals(1,25%), organizational rules and manuals(1,25%),  </v>
      </c>
      <c r="BH144" s="14" t="str">
        <f t="shared" si="279"/>
        <v xml:space="preserve">user rules and manuals(25)
organizational rules and manuals(25)
 </v>
      </c>
      <c r="BI144" s="14" t="str">
        <f t="shared" si="280"/>
        <v xml:space="preserve">community manager(1.1), administrator(1.1),  </v>
      </c>
      <c r="BJ144" s="14" t="str">
        <f t="shared" si="281"/>
        <v xml:space="preserve">reputation(-1,6.25%), efficiency(-1,25%),  </v>
      </c>
      <c r="BK144" s="27" t="str">
        <f t="shared" si="482"/>
        <v xml:space="preserve">reputation(6.25),efficiency(25), </v>
      </c>
      <c r="BL144" s="14" t="str">
        <f t="shared" si="283"/>
        <v xml:space="preserve">local biz(1)
ease of access(1)
reputation(1)
aesthetics(1)
 </v>
      </c>
      <c r="BM144" s="14" t="str">
        <f t="shared" si="284"/>
        <v xml:space="preserve">biz enhancement(1,%),  </v>
      </c>
      <c r="BN144" s="14" t="str">
        <f t="shared" si="285"/>
        <v xml:space="preserve"> </v>
      </c>
      <c r="BO144" s="14" t="str">
        <f t="shared" si="286"/>
        <v xml:space="preserve">community manager(1), PR(1), administrator(2), ease of access(2), reputation(3), efficiency(2), user rules and manuals(1), marketing(1), negotiation(1), aesthetics(2), functions(1), safety(1),  </v>
      </c>
      <c r="BP144" s="14" t="str">
        <f t="shared" si="287"/>
        <v xml:space="preserve">local biz(1,6.25%),  </v>
      </c>
      <c r="BQ144" s="27" t="str">
        <f t="shared" si="482"/>
        <v xml:space="preserve">local biz(6.25), </v>
      </c>
      <c r="BR144" s="14" t="str">
        <f t="shared" si="289"/>
        <v xml:space="preserve">local biz(1)
ease of access(1)
reputation(1)
aesthetics(1)
 </v>
      </c>
      <c r="BS144" s="14" t="str">
        <f t="shared" si="290"/>
        <v xml:space="preserve">biz project(1,%),  </v>
      </c>
      <c r="BT144" s="14" t="str">
        <f t="shared" si="291"/>
        <v xml:space="preserve"> </v>
      </c>
      <c r="BU144" s="14" t="str">
        <f t="shared" si="292"/>
        <v xml:space="preserve">community manager(1), PR(1), administrator(2), ease of access(2), reputation(3), efficiency(2), user rules and manuals(1), marketing(1), negotiation(1), wood processing(1), aesthetics(2),  </v>
      </c>
      <c r="BV144" s="14" t="str">
        <f t="shared" si="293"/>
        <v xml:space="preserve">local biz(1,6.25%),  </v>
      </c>
      <c r="BW144" s="27" t="str">
        <f t="shared" si="482"/>
        <v xml:space="preserve">local biz(6.25), </v>
      </c>
      <c r="BX144" s="14" t="str">
        <f t="shared" si="295"/>
        <v xml:space="preserve">local biz(1)
ease of access(1)
reputation(1)
aesthetics(1)
interaction(1)
 </v>
      </c>
      <c r="BY144" s="14" t="str">
        <f t="shared" si="296"/>
        <v xml:space="preserve">biz project(1,%),  </v>
      </c>
      <c r="BZ144" s="14" t="str">
        <f t="shared" si="297"/>
        <v xml:space="preserve"> </v>
      </c>
      <c r="CA144" s="14" t="str">
        <f t="shared" si="298"/>
        <v xml:space="preserve">community manager(1), PR(1), administrator(2), ease of access(2), reputation(3), efficiency(2), user rules and manuals(1), marketing(1), team building(1), social media(1), negotiation(1), web(2), infrastructrue(2), database(2), security(3), aesthetics(2), functions(1), interaction(2),  </v>
      </c>
      <c r="CB144" s="14" t="str">
        <f t="shared" si="299"/>
        <v xml:space="preserve">local biz(1,6.25%),  </v>
      </c>
      <c r="CC144" s="27" t="str">
        <f t="shared" si="483"/>
        <v xml:space="preserve">local biz(6.25), </v>
      </c>
      <c r="CD144" s="14" t="str">
        <f t="shared" si="301"/>
        <v xml:space="preserve">ease of access(1)
reputation(1)
aesthetics(1)
 </v>
      </c>
      <c r="CE144" s="14" t="str">
        <f t="shared" si="302"/>
        <v xml:space="preserve">biz project(1,%),  </v>
      </c>
      <c r="CF144" s="14" t="str">
        <f t="shared" si="303"/>
        <v xml:space="preserve"> </v>
      </c>
      <c r="CG144" s="14" t="str">
        <f t="shared" si="304"/>
        <v xml:space="preserve">community manager(1), PR(1), administrator(2), ease of access(2), efficiency(2), user rules and manuals(1), marketing(1), team building(1), negotiation(1), infrastructrue(1), database(2), mobile apps(2), security(3), aesthetics(2), functions(1), interaction(2),  </v>
      </c>
      <c r="CH144" s="14" t="str">
        <f t="shared" si="305"/>
        <v xml:space="preserve">local biz(1,6.25%),  </v>
      </c>
      <c r="CI144" s="27" t="str">
        <f t="shared" si="483"/>
        <v xml:space="preserve">local biz(6.25), </v>
      </c>
      <c r="CJ144" s="14" t="str">
        <f t="shared" si="307"/>
        <v xml:space="preserve">ease of access(1)
reputation(1)
aesthetics(1)
 </v>
      </c>
      <c r="CK144" s="14" t="str">
        <f t="shared" si="308"/>
        <v xml:space="preserve">biz project(1,%),  </v>
      </c>
      <c r="CL144" s="14" t="str">
        <f t="shared" si="309"/>
        <v xml:space="preserve"> </v>
      </c>
      <c r="CM144" s="14" t="str">
        <f t="shared" si="310"/>
        <v xml:space="preserve">community manager(1), PR(1), administrator(2), ease of access(2), reputation(3), efficiency(2), user rules and manuals(1), marketing(2), team building(1), social media(2), negotiation(1), web(2), infrastructrue(2), database(2), mobile apps(2), security(2), aesthetics(2), functions(1), interaction(2),  </v>
      </c>
      <c r="CN144" s="14" t="str">
        <f t="shared" si="311"/>
        <v xml:space="preserve">local biz(1,6.25%),  </v>
      </c>
      <c r="CO144" s="27" t="str">
        <f t="shared" si="483"/>
        <v xml:space="preserve">local biz(6.25), </v>
      </c>
      <c r="CP144" s="14" t="str">
        <f t="shared" si="313"/>
        <v xml:space="preserve">local biz(1)
metal processing(1)
functions(1)
 </v>
      </c>
      <c r="CQ144" s="14" t="str">
        <f t="shared" si="314"/>
        <v xml:space="preserve">local biz(1,50%), biz enhancement(1,50%),  </v>
      </c>
      <c r="CR144" s="14" t="str">
        <f t="shared" si="315"/>
        <v xml:space="preserve">local biz(50)
biz enhancement(50)
 </v>
      </c>
      <c r="CS144" s="14" t="str">
        <f t="shared" si="316"/>
        <v xml:space="preserve">community manager(1), ease of access(2), reputation(3), efficiency(2), metal processing(2), electronics(2), aesthetics(2), functions(2), safety(2),  </v>
      </c>
      <c r="CT144" s="14" t="str">
        <f t="shared" si="317"/>
        <v xml:space="preserve">reputation(1,6.25%),  </v>
      </c>
      <c r="CU144" s="27" t="str">
        <f t="shared" si="483"/>
        <v xml:space="preserve">reputation(6.25), </v>
      </c>
      <c r="CV144" s="14" t="str">
        <f t="shared" si="319"/>
        <v xml:space="preserve">non-profits(1)
wood processing(1)
aesthetics(1)
interaction(1)
 </v>
      </c>
      <c r="CW144" s="14" t="str">
        <f t="shared" si="320"/>
        <v xml:space="preserve">non-profits(1,50%), social project(1,50%),  </v>
      </c>
      <c r="CX144" s="14" t="str">
        <f t="shared" si="321"/>
        <v xml:space="preserve">non-profits(50)
social project(50)
 </v>
      </c>
      <c r="CY144" s="14" t="str">
        <f t="shared" si="322"/>
        <v xml:space="preserve">administrator(2), ease of access(2), efficiency(3), sensors(2), wood processing(2), plastic processing(2), electronics(2), aesthetics(2), functions(1), safety(1), interaction(2),  </v>
      </c>
      <c r="CZ144" s="14" t="str">
        <f t="shared" si="323"/>
        <v xml:space="preserve">media(1,6.25%), reputation(1,6.25%), portfolio(1,6.25%),  </v>
      </c>
      <c r="DA144" s="27" t="str">
        <f t="shared" si="483"/>
        <v xml:space="preserve">media(6.25),reputation(6.25),portfolio(6.25), </v>
      </c>
      <c r="DB144" s="14" t="str">
        <f t="shared" si="325"/>
        <v xml:space="preserve">non-profits(1)
aesthetics(1)
interaction(1)
 </v>
      </c>
      <c r="DC144" s="14" t="str">
        <f t="shared" si="326"/>
        <v xml:space="preserve">non-profits(1,50%), social project(1,50%),  </v>
      </c>
      <c r="DD144" s="14" t="str">
        <f t="shared" si="327"/>
        <v xml:space="preserve">non-profits(50)
social project(50)
 </v>
      </c>
      <c r="DE144" s="14" t="str">
        <f t="shared" si="328"/>
        <v xml:space="preserve">administrator(2), ease of access(2), efficiency(3), VR&amp;AR(2),  </v>
      </c>
      <c r="DF144" s="14" t="str">
        <f t="shared" si="329"/>
        <v xml:space="preserve">media(1,6.25%), reputation(1,6.25%), portfolio(1,6.25%),  </v>
      </c>
      <c r="DG144" s="27" t="str">
        <f t="shared" si="483"/>
        <v xml:space="preserve">media(6.25),reputation(6.25),portfolio(6.25), </v>
      </c>
      <c r="DH144" s="14" t="str">
        <f t="shared" si="331"/>
        <v xml:space="preserve">wood processing(1)
aesthetics(1)
safety(1)
 </v>
      </c>
      <c r="DI144" s="14" t="str">
        <f t="shared" si="332"/>
        <v xml:space="preserve">social project(1,100%),  </v>
      </c>
      <c r="DJ144" s="14" t="str">
        <f t="shared" si="333"/>
        <v xml:space="preserve">social project(100)
 </v>
      </c>
      <c r="DK144" s="14" t="str">
        <f t="shared" si="334"/>
        <v xml:space="preserve">leader(1), 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4" s="14" t="str">
        <f t="shared" si="335"/>
        <v xml:space="preserve">reputation(1,6.25%), portfolio(1,6.25%), team building(1,6.25%),  </v>
      </c>
      <c r="DM144" s="27" t="str">
        <f t="shared" si="483"/>
        <v xml:space="preserve">reputation(6.25),portfolio(6.25),team building(6.25), </v>
      </c>
      <c r="DN144" s="14" t="str">
        <f t="shared" si="337"/>
        <v xml:space="preserve">community manager(1)
fame(1)
network(2)
suppliers(2)
spaciousness(1)
ease of access(2)
reputation(3)
project management(2)
wood processing(1)
plastic processing(1)
electronics(1)
aesthetics(2)
functions(1)
safety(1)
biz project(1)
 </v>
      </c>
      <c r="DO144" s="14" t="str">
        <f t="shared" si="338"/>
        <v xml:space="preserve">reputation(1,25%), portfolio(1,50%),  </v>
      </c>
      <c r="DP144" s="14" t="str">
        <f t="shared" si="339"/>
        <v xml:space="preserve">reputation(25)
portfolio(50)
 </v>
      </c>
      <c r="DQ144" s="14" t="str">
        <f t="shared" si="340"/>
        <v xml:space="preserve">administrator(1), media(3), suppliers(3), social media(2), wood processing(2), plastic processing(2), electronics(2), aesthetics(2),  </v>
      </c>
      <c r="DR144" s="14" t="str">
        <f t="shared" si="341"/>
        <v xml:space="preserve">suppliers(1,6.25%), reputation(1,6.25%),  </v>
      </c>
      <c r="DS144" s="27" t="str">
        <f t="shared" si="483"/>
        <v xml:space="preserve">suppliers(6.25),reputation(6.25), </v>
      </c>
      <c r="DT144" s="14" t="str">
        <f t="shared" si="343"/>
        <v xml:space="preserve">leader(1)
fame(1)
network(2)
reputation(3)
portfolio(2)
 </v>
      </c>
      <c r="DU144" s="14" t="str">
        <f t="shared" si="344"/>
        <v xml:space="preserve">fame(1,25%), govt(1,25%), non-profits(1,50%), reputation(1,25%),  </v>
      </c>
      <c r="DV144" s="14" t="str">
        <f t="shared" si="345"/>
        <v xml:space="preserve">fame(25)
govt(25)
non-profits(50)
reputation(25)
 </v>
      </c>
      <c r="DW144" s="14" t="str">
        <f t="shared" si="346"/>
        <v xml:space="preserve">PR(1), administrator(1), social media(2),  </v>
      </c>
      <c r="DX144" s="14" t="str">
        <f t="shared" si="347"/>
        <v xml:space="preserve">fame(1,6.25%), reputation(1,6.25%),  </v>
      </c>
      <c r="DY144" s="27" t="str">
        <f t="shared" si="483"/>
        <v xml:space="preserve">fame(6.25),reputation(6.25), </v>
      </c>
      <c r="DZ144" s="14" t="str">
        <f t="shared" si="349"/>
        <v xml:space="preserve"> </v>
      </c>
      <c r="EA144" s="14" t="str">
        <f t="shared" si="350"/>
        <v xml:space="preserve"> </v>
      </c>
      <c r="EB144" s="14" t="str">
        <f t="shared" si="351"/>
        <v xml:space="preserve"> </v>
      </c>
      <c r="EC144" s="14" t="str">
        <f t="shared" si="352"/>
        <v xml:space="preserve"> </v>
      </c>
      <c r="ED144" s="14" t="str">
        <f t="shared" si="353"/>
        <v xml:space="preserve"> </v>
      </c>
      <c r="EE144" s="27" t="str">
        <f t="shared" si="483"/>
        <v xml:space="preserve"> </v>
      </c>
      <c r="EF144" s="14" t="str">
        <f t="shared" si="355"/>
        <v xml:space="preserve"> </v>
      </c>
      <c r="EG144" s="14" t="str">
        <f t="shared" si="356"/>
        <v xml:space="preserve"> </v>
      </c>
      <c r="EH144" s="14" t="str">
        <f t="shared" si="357"/>
        <v xml:space="preserve"> </v>
      </c>
      <c r="EI144" s="14" t="str">
        <f t="shared" si="358"/>
        <v xml:space="preserve"> </v>
      </c>
      <c r="EJ144" s="14" t="str">
        <f t="shared" si="359"/>
        <v xml:space="preserve"> </v>
      </c>
      <c r="EK144" s="27" t="str">
        <f t="shared" si="483"/>
        <v xml:space="preserve"> </v>
      </c>
      <c r="EL144" s="14" t="str">
        <f t="shared" si="361"/>
        <v xml:space="preserve"> </v>
      </c>
      <c r="EM144" s="14" t="str">
        <f t="shared" si="362"/>
        <v xml:space="preserve"> </v>
      </c>
      <c r="EN144" s="14" t="str">
        <f t="shared" si="363"/>
        <v xml:space="preserve"> </v>
      </c>
      <c r="EO144" s="14" t="str">
        <f t="shared" si="364"/>
        <v xml:space="preserve"> </v>
      </c>
      <c r="EP144" s="14" t="str">
        <f t="shared" si="365"/>
        <v xml:space="preserve"> </v>
      </c>
      <c r="EQ144" s="27" t="str">
        <f t="shared" si="484"/>
        <v xml:space="preserve"> </v>
      </c>
      <c r="ER144" s="14" t="str">
        <f t="shared" si="367"/>
        <v xml:space="preserve"> </v>
      </c>
      <c r="ES144" s="14" t="str">
        <f t="shared" si="368"/>
        <v xml:space="preserve"> </v>
      </c>
      <c r="ET144" s="14" t="str">
        <f t="shared" si="369"/>
        <v xml:space="preserve"> </v>
      </c>
      <c r="EU144" s="14" t="str">
        <f t="shared" si="370"/>
        <v xml:space="preserve"> </v>
      </c>
      <c r="EV144" s="14" t="str">
        <f t="shared" si="371"/>
        <v xml:space="preserve"> </v>
      </c>
      <c r="EW144" s="27" t="str">
        <f t="shared" si="484"/>
        <v xml:space="preserve"> </v>
      </c>
      <c r="EX144" s="14" t="str">
        <f t="shared" si="373"/>
        <v xml:space="preserve"> </v>
      </c>
      <c r="EY144" s="14" t="str">
        <f t="shared" si="374"/>
        <v xml:space="preserve"> </v>
      </c>
      <c r="EZ144" s="14" t="str">
        <f t="shared" si="375"/>
        <v xml:space="preserve"> </v>
      </c>
      <c r="FA144" s="14" t="str">
        <f t="shared" si="376"/>
        <v xml:space="preserve"> </v>
      </c>
      <c r="FB144" s="14" t="str">
        <f t="shared" si="377"/>
        <v xml:space="preserve"> </v>
      </c>
      <c r="FC144" s="27" t="str">
        <f t="shared" si="484"/>
        <v xml:space="preserve"> </v>
      </c>
      <c r="FD144" s="14" t="str">
        <f t="shared" si="379"/>
        <v xml:space="preserve"> </v>
      </c>
      <c r="FE144" s="14" t="str">
        <f t="shared" si="380"/>
        <v xml:space="preserve"> </v>
      </c>
      <c r="FF144" s="14" t="str">
        <f t="shared" si="381"/>
        <v xml:space="preserve"> </v>
      </c>
      <c r="FG144" s="14" t="str">
        <f t="shared" si="382"/>
        <v xml:space="preserve"> </v>
      </c>
      <c r="FH144" s="14" t="str">
        <f t="shared" si="383"/>
        <v xml:space="preserve"> </v>
      </c>
      <c r="FI144" s="27" t="str">
        <f t="shared" si="484"/>
        <v xml:space="preserve"> </v>
      </c>
      <c r="FJ144" s="14" t="str">
        <f t="shared" si="385"/>
        <v xml:space="preserve"> </v>
      </c>
      <c r="FK144" s="14" t="str">
        <f t="shared" si="386"/>
        <v xml:space="preserve"> </v>
      </c>
      <c r="FL144" s="14" t="str">
        <f t="shared" si="387"/>
        <v xml:space="preserve"> </v>
      </c>
      <c r="FM144" s="14" t="str">
        <f t="shared" si="388"/>
        <v xml:space="preserve"> </v>
      </c>
      <c r="FN144" s="14" t="str">
        <f t="shared" si="389"/>
        <v xml:space="preserve"> </v>
      </c>
      <c r="FO144" s="27" t="str">
        <f t="shared" si="484"/>
        <v xml:space="preserve"> </v>
      </c>
      <c r="FP144" s="14" t="str">
        <f t="shared" si="391"/>
        <v xml:space="preserve"> </v>
      </c>
      <c r="FQ144" s="14" t="str">
        <f t="shared" si="392"/>
        <v xml:space="preserve"> </v>
      </c>
      <c r="FR144" s="14" t="str">
        <f t="shared" si="393"/>
        <v xml:space="preserve"> </v>
      </c>
      <c r="FS144" s="14" t="str">
        <f t="shared" si="394"/>
        <v xml:space="preserve"> </v>
      </c>
      <c r="FT144" s="14" t="str">
        <f t="shared" si="395"/>
        <v xml:space="preserve"> </v>
      </c>
      <c r="FU144" s="27" t="str">
        <f t="shared" si="484"/>
        <v xml:space="preserve"> </v>
      </c>
      <c r="FV144" s="14" t="str">
        <f t="shared" si="397"/>
        <v xml:space="preserve"> </v>
      </c>
      <c r="FW144" s="14" t="str">
        <f t="shared" si="398"/>
        <v xml:space="preserve"> </v>
      </c>
      <c r="FX144" s="14" t="str">
        <f t="shared" si="399"/>
        <v xml:space="preserve"> </v>
      </c>
      <c r="FY144" s="14" t="str">
        <f t="shared" si="400"/>
        <v xml:space="preserve"> </v>
      </c>
      <c r="FZ144" s="14" t="str">
        <f t="shared" si="401"/>
        <v xml:space="preserve"> </v>
      </c>
      <c r="GA144" s="27" t="str">
        <f t="shared" si="484"/>
        <v xml:space="preserve"> </v>
      </c>
      <c r="GB144" s="14" t="str">
        <f t="shared" si="403"/>
        <v xml:space="preserve"> </v>
      </c>
      <c r="GC144" s="14" t="str">
        <f t="shared" si="404"/>
        <v xml:space="preserve"> </v>
      </c>
      <c r="GD144" s="14" t="str">
        <f t="shared" si="405"/>
        <v xml:space="preserve"> </v>
      </c>
      <c r="GE144" s="14" t="str">
        <f t="shared" si="406"/>
        <v xml:space="preserve"> </v>
      </c>
      <c r="GF144" s="14" t="str">
        <f t="shared" si="407"/>
        <v xml:space="preserve"> </v>
      </c>
      <c r="GG144" s="27" t="str">
        <f t="shared" si="484"/>
        <v xml:space="preserve"> </v>
      </c>
      <c r="GH144" s="14" t="str">
        <f t="shared" si="409"/>
        <v xml:space="preserve"> </v>
      </c>
      <c r="GI144" s="14" t="str">
        <f t="shared" si="410"/>
        <v xml:space="preserve"> </v>
      </c>
      <c r="GJ144" s="14" t="str">
        <f t="shared" si="411"/>
        <v xml:space="preserve"> </v>
      </c>
      <c r="GK144" s="14" t="str">
        <f t="shared" si="412"/>
        <v xml:space="preserve"> </v>
      </c>
      <c r="GL144" s="14" t="str">
        <f t="shared" si="413"/>
        <v xml:space="preserve"> </v>
      </c>
      <c r="GM144" s="27" t="str">
        <f t="shared" si="484"/>
        <v xml:space="preserve"> </v>
      </c>
      <c r="GN144" s="14" t="str">
        <f t="shared" si="415"/>
        <v xml:space="preserve"> </v>
      </c>
      <c r="GO144" s="14" t="str">
        <f t="shared" si="416"/>
        <v xml:space="preserve"> </v>
      </c>
      <c r="GP144" s="14" t="str">
        <f t="shared" si="417"/>
        <v xml:space="preserve"> </v>
      </c>
      <c r="GQ144" s="14" t="str">
        <f t="shared" si="418"/>
        <v xml:space="preserve"> </v>
      </c>
      <c r="GR144" s="14" t="str">
        <f t="shared" si="419"/>
        <v xml:space="preserve"> </v>
      </c>
      <c r="GS144" s="27" t="str">
        <f t="shared" si="484"/>
        <v xml:space="preserve"> </v>
      </c>
      <c r="GT144" s="14" t="str">
        <f t="shared" si="421"/>
        <v xml:space="preserve"> </v>
      </c>
      <c r="GU144" s="14" t="str">
        <f t="shared" si="422"/>
        <v xml:space="preserve"> </v>
      </c>
      <c r="GV144" s="14" t="str">
        <f t="shared" si="423"/>
        <v xml:space="preserve"> </v>
      </c>
      <c r="GW144" s="14" t="str">
        <f t="shared" si="424"/>
        <v xml:space="preserve"> </v>
      </c>
      <c r="GX144" s="14" t="str">
        <f t="shared" si="425"/>
        <v xml:space="preserve"> </v>
      </c>
      <c r="GY144" s="27" t="str">
        <f t="shared" si="484"/>
        <v xml:space="preserve"> </v>
      </c>
      <c r="GZ144" s="14" t="str">
        <f t="shared" si="427"/>
        <v xml:space="preserve"> </v>
      </c>
      <c r="HA144" s="14" t="str">
        <f t="shared" si="428"/>
        <v xml:space="preserve"> </v>
      </c>
      <c r="HB144" s="14" t="str">
        <f t="shared" si="429"/>
        <v xml:space="preserve"> </v>
      </c>
      <c r="HC144" s="14" t="str">
        <f t="shared" si="430"/>
        <v xml:space="preserve"> </v>
      </c>
      <c r="HD144" s="14" t="str">
        <f t="shared" si="431"/>
        <v xml:space="preserve"> </v>
      </c>
      <c r="HE144" s="27" t="str">
        <f t="shared" si="485"/>
        <v xml:space="preserve"> </v>
      </c>
      <c r="HF144" s="14" t="str">
        <f t="shared" si="433"/>
        <v xml:space="preserve"> </v>
      </c>
      <c r="HG144" s="14" t="str">
        <f t="shared" si="434"/>
        <v xml:space="preserve"> </v>
      </c>
      <c r="HH144" s="14" t="str">
        <f t="shared" si="435"/>
        <v xml:space="preserve"> </v>
      </c>
      <c r="HI144" s="14" t="str">
        <f t="shared" si="436"/>
        <v xml:space="preserve"> </v>
      </c>
      <c r="HJ144" s="14" t="str">
        <f t="shared" si="437"/>
        <v xml:space="preserve"> </v>
      </c>
      <c r="HK144" s="27" t="str">
        <f t="shared" si="485"/>
        <v xml:space="preserve"> </v>
      </c>
      <c r="HL144" s="14" t="str">
        <f t="shared" si="439"/>
        <v xml:space="preserve"> </v>
      </c>
      <c r="HM144" s="14" t="str">
        <f t="shared" si="440"/>
        <v xml:space="preserve"> </v>
      </c>
      <c r="HN144" s="14" t="str">
        <f t="shared" si="441"/>
        <v xml:space="preserve"> </v>
      </c>
      <c r="HO144" s="14" t="str">
        <f t="shared" si="442"/>
        <v xml:space="preserve"> </v>
      </c>
      <c r="HP144" s="14" t="str">
        <f t="shared" si="443"/>
        <v xml:space="preserve"> </v>
      </c>
      <c r="HQ144" s="27" t="str">
        <f t="shared" si="485"/>
        <v xml:space="preserve"> </v>
      </c>
    </row>
    <row r="145" spans="1:225" ht="15.75" customHeight="1">
      <c r="A145" s="7">
        <f t="shared" ref="A145:C145" si="516">A37</f>
        <v>0</v>
      </c>
      <c r="B145" s="7">
        <f t="shared" si="516"/>
        <v>0</v>
      </c>
      <c r="C145" s="7" t="str">
        <f t="shared" si="516"/>
        <v>community manager</v>
      </c>
      <c r="D145" s="14" t="str">
        <f t="shared" si="446"/>
        <v xml:space="preserve"> </v>
      </c>
      <c r="E145" s="14" t="str">
        <f t="shared" si="447"/>
        <v xml:space="preserve"> </v>
      </c>
      <c r="F145" s="14" t="str">
        <f t="shared" si="448"/>
        <v xml:space="preserve"> </v>
      </c>
      <c r="G145" s="14" t="str">
        <f t="shared" si="449"/>
        <v xml:space="preserve">efficiency(1), user rules and manuals(2.1), organizational rules and manuals(2.1),  </v>
      </c>
      <c r="H145" s="14" t="str">
        <f t="shared" si="450"/>
        <v xml:space="preserve">efficiency(-1,6.25%),  </v>
      </c>
      <c r="I145" s="27" t="str">
        <f t="shared" ref="I145" si="517">IF(I37="",I146,$C145&amp;"("&amp;I37&amp;"),"&amp;I146)</f>
        <v xml:space="preserve">efficiency(6.25), </v>
      </c>
      <c r="J145" s="14" t="str">
        <f t="shared" si="229"/>
        <v xml:space="preserve"> </v>
      </c>
      <c r="K145" s="14" t="str">
        <f t="shared" si="230"/>
        <v xml:space="preserve"> </v>
      </c>
      <c r="L145" s="14" t="str">
        <f t="shared" si="231"/>
        <v xml:space="preserve"> </v>
      </c>
      <c r="M145" s="14" t="str">
        <f t="shared" si="232"/>
        <v xml:space="preserve">efficiency(0.1), organizational rules and manuals(1.1),  </v>
      </c>
      <c r="N145" s="14" t="str">
        <f t="shared" si="233"/>
        <v xml:space="preserve"> </v>
      </c>
      <c r="O145" s="27" t="str">
        <f t="shared" ref="O145:BW160" si="518">IF(O37="",O146,$C145&amp;"("&amp;O37&amp;"),"&amp;O146)</f>
        <v xml:space="preserve"> </v>
      </c>
      <c r="P145" s="14" t="str">
        <f t="shared" si="235"/>
        <v xml:space="preserve"> </v>
      </c>
      <c r="Q145" s="14" t="str">
        <f t="shared" si="236"/>
        <v xml:space="preserve"> </v>
      </c>
      <c r="R145" s="14" t="str">
        <f t="shared" si="237"/>
        <v xml:space="preserve"> </v>
      </c>
      <c r="S145" s="14" t="str">
        <f t="shared" si="238"/>
        <v xml:space="preserve">community manager(0.1), team building(0.1),  </v>
      </c>
      <c r="T145" s="14" t="str">
        <f t="shared" si="239"/>
        <v xml:space="preserve">business model(-1,6.25%), web(-1,6.25%), mobile apps(-1,6.25%), aesthetics(-1,6.25%),  </v>
      </c>
      <c r="U145" s="27" t="str">
        <f t="shared" si="518"/>
        <v xml:space="preserve">business model(6.25),web(6.25),mobile apps(6.25),aesthetics(6.25), </v>
      </c>
      <c r="V145" s="14" t="str">
        <f t="shared" si="241"/>
        <v xml:space="preserve"> </v>
      </c>
      <c r="W145" s="14" t="str">
        <f t="shared" si="242"/>
        <v xml:space="preserve">efficiency(-1,25%),  </v>
      </c>
      <c r="X145" s="14" t="str">
        <f t="shared" si="243"/>
        <v xml:space="preserve">efficiency(25)
 </v>
      </c>
      <c r="Y145" s="14" t="str">
        <f t="shared" si="244"/>
        <v xml:space="preserve">community manager(0.1), administrator(0.1), spaciousness(1), ease of access(3), reputation(2), user rules and manuals(0.1), project management(0.1), negotiation(0.1),  </v>
      </c>
      <c r="Z145" s="14" t="str">
        <f t="shared" si="245"/>
        <v xml:space="preserve">reputation(-1,%),  </v>
      </c>
      <c r="AA145" s="27" t="str">
        <f t="shared" si="518"/>
        <v xml:space="preserve"> </v>
      </c>
      <c r="AB145" s="14" t="str">
        <f t="shared" si="247"/>
        <v xml:space="preserve"> </v>
      </c>
      <c r="AC145" s="14" t="str">
        <f t="shared" si="248"/>
        <v xml:space="preserve"> </v>
      </c>
      <c r="AD145" s="14" t="str">
        <f t="shared" si="249"/>
        <v xml:space="preserve"> </v>
      </c>
      <c r="AE145" s="14" t="str">
        <f t="shared" si="250"/>
        <v xml:space="preserve">spaciousness(1), user rules and manuals(1.1), organizational rules and manuals(1.1),  </v>
      </c>
      <c r="AF145" s="14" t="str">
        <f t="shared" si="251"/>
        <v xml:space="preserve">local biz(-1,6.25%), investors(-1,6.25%), non-profits(-1,6.25%), efficiency(-1,6.25%),  </v>
      </c>
      <c r="AG145" s="27" t="str">
        <f t="shared" si="518"/>
        <v xml:space="preserve">local biz(6.25),investors(6.25),non-profits(6.25),efficiency(6.25), </v>
      </c>
      <c r="AH145" s="14" t="str">
        <f t="shared" si="253"/>
        <v xml:space="preserve">ease of access(1)
reputation(1)
 </v>
      </c>
      <c r="AI145" s="14" t="str">
        <f t="shared" si="254"/>
        <v xml:space="preserve"> </v>
      </c>
      <c r="AJ145" s="14" t="str">
        <f t="shared" si="255"/>
        <v xml:space="preserve"> </v>
      </c>
      <c r="AK145" s="14" t="str">
        <f t="shared" si="256"/>
        <v xml:space="preserve">community manager(2.1), administrator(2.1), spaciousness(1), ease of access(1), reputation(2), user rules and manuals(2.1), organizational rules and manuals(2.1), law(1.1), negotiation(1.1),  </v>
      </c>
      <c r="AL145" s="14" t="str">
        <f t="shared" si="257"/>
        <v xml:space="preserve">govt(-1,6.25%), non-profits(-1,6.25%), reputation(-1,6.25%),  </v>
      </c>
      <c r="AM145" s="27" t="str">
        <f t="shared" si="518"/>
        <v xml:space="preserve">govt(6.25),non-profits(6.25),reputation(6.25), </v>
      </c>
      <c r="AN145" s="14" t="str">
        <f t="shared" si="259"/>
        <v xml:space="preserve"> </v>
      </c>
      <c r="AO145" s="14" t="str">
        <f t="shared" si="260"/>
        <v xml:space="preserve"> </v>
      </c>
      <c r="AP145" s="14" t="str">
        <f t="shared" si="261"/>
        <v xml:space="preserve"> </v>
      </c>
      <c r="AQ145" s="14" t="str">
        <f t="shared" si="262"/>
        <v xml:space="preserve">spaciousness(2.1), reputation(3), organizational rules and manuals(2.1), team building(2.1),  </v>
      </c>
      <c r="AR145" s="14" t="str">
        <f t="shared" si="263"/>
        <v xml:space="preserve">reputation(-1,6.25%), efficiency(-1,6.25%),  </v>
      </c>
      <c r="AS145" s="27" t="str">
        <f t="shared" si="518"/>
        <v xml:space="preserve">reputation(6.25),efficiency(6.25), </v>
      </c>
      <c r="AT145" s="14" t="str">
        <f t="shared" si="265"/>
        <v xml:space="preserve"> </v>
      </c>
      <c r="AU145" s="14" t="str">
        <f t="shared" si="266"/>
        <v xml:space="preserve"> </v>
      </c>
      <c r="AV145" s="14" t="str">
        <f t="shared" si="267"/>
        <v xml:space="preserve"> </v>
      </c>
      <c r="AW145" s="14" t="str">
        <f t="shared" si="268"/>
        <v xml:space="preserve">community manager(2.1), user rules and manuals(2.1), team building(2.1),  </v>
      </c>
      <c r="AX145" s="14" t="str">
        <f t="shared" si="269"/>
        <v xml:space="preserve"> </v>
      </c>
      <c r="AY145" s="27" t="str">
        <f t="shared" si="518"/>
        <v xml:space="preserve"> </v>
      </c>
      <c r="AZ145" s="14" t="str">
        <f t="shared" si="271"/>
        <v xml:space="preserve"> </v>
      </c>
      <c r="BA145" s="14" t="str">
        <f t="shared" si="272"/>
        <v xml:space="preserve">efficiency(-1,12.5%), user rules and manuals(1,25%),  </v>
      </c>
      <c r="BB145" s="14" t="str">
        <f t="shared" si="273"/>
        <v xml:space="preserve">efficiency(12.5)
user rules and manuals(25)
 </v>
      </c>
      <c r="BC145" s="14" t="str">
        <f t="shared" si="274"/>
        <v xml:space="preserve">community manager(1.1), administrator(1.1), user rules and manuals(2.1), organizational rules and manuals(2.1),  </v>
      </c>
      <c r="BD145" s="14" t="str">
        <f t="shared" si="275"/>
        <v xml:space="preserve">reputation(-1,6.25%),  </v>
      </c>
      <c r="BE145" s="27" t="str">
        <f t="shared" si="518"/>
        <v xml:space="preserve">reputation(6.25), </v>
      </c>
      <c r="BF145" s="14" t="str">
        <f t="shared" si="277"/>
        <v xml:space="preserve"> </v>
      </c>
      <c r="BG145" s="14" t="str">
        <f t="shared" si="278"/>
        <v xml:space="preserve">user rules and manuals(1,25%), organizational rules and manuals(1,25%),  </v>
      </c>
      <c r="BH145" s="14" t="str">
        <f t="shared" si="279"/>
        <v xml:space="preserve">user rules and manuals(25)
organizational rules and manuals(25)
 </v>
      </c>
      <c r="BI145" s="14" t="str">
        <f t="shared" si="280"/>
        <v xml:space="preserve">community manager(1.1), administrator(1.1),  </v>
      </c>
      <c r="BJ145" s="14" t="str">
        <f t="shared" si="281"/>
        <v xml:space="preserve">reputation(-1,6.25%), efficiency(-1,25%),  </v>
      </c>
      <c r="BK145" s="27" t="str">
        <f t="shared" si="518"/>
        <v xml:space="preserve">reputation(6.25),efficiency(25), </v>
      </c>
      <c r="BL145" s="14" t="str">
        <f t="shared" si="283"/>
        <v xml:space="preserve">local biz(1)
ease of access(1)
reputation(1)
aesthetics(1)
 </v>
      </c>
      <c r="BM145" s="14" t="str">
        <f t="shared" si="284"/>
        <v xml:space="preserve">biz enhancement(1,%),  </v>
      </c>
      <c r="BN145" s="14" t="str">
        <f t="shared" si="285"/>
        <v xml:space="preserve"> </v>
      </c>
      <c r="BO145" s="14" t="str">
        <f t="shared" si="286"/>
        <v xml:space="preserve">community manager(1), PR(1), administrator(2), ease of access(2), reputation(3), efficiency(2), user rules and manuals(1), marketing(1), negotiation(1), aesthetics(2), functions(1), safety(1),  </v>
      </c>
      <c r="BP145" s="14" t="str">
        <f t="shared" si="287"/>
        <v xml:space="preserve">local biz(1,6.25%),  </v>
      </c>
      <c r="BQ145" s="27" t="str">
        <f t="shared" si="518"/>
        <v xml:space="preserve">local biz(6.25), </v>
      </c>
      <c r="BR145" s="14" t="str">
        <f t="shared" si="289"/>
        <v xml:space="preserve">local biz(1)
ease of access(1)
reputation(1)
aesthetics(1)
 </v>
      </c>
      <c r="BS145" s="14" t="str">
        <f t="shared" si="290"/>
        <v xml:space="preserve">biz project(1,%),  </v>
      </c>
      <c r="BT145" s="14" t="str">
        <f t="shared" si="291"/>
        <v xml:space="preserve"> </v>
      </c>
      <c r="BU145" s="14" t="str">
        <f t="shared" si="292"/>
        <v xml:space="preserve">community manager(1), PR(1), administrator(2), ease of access(2), reputation(3), efficiency(2), user rules and manuals(1), marketing(1), negotiation(1), wood processing(1), aesthetics(2),  </v>
      </c>
      <c r="BV145" s="14" t="str">
        <f t="shared" si="293"/>
        <v xml:space="preserve">local biz(1,6.25%),  </v>
      </c>
      <c r="BW145" s="27" t="str">
        <f t="shared" si="518"/>
        <v xml:space="preserve">local biz(6.25), </v>
      </c>
      <c r="BX145" s="14" t="str">
        <f t="shared" si="295"/>
        <v xml:space="preserve">local biz(1)
ease of access(1)
reputation(1)
aesthetics(1)
interaction(1)
 </v>
      </c>
      <c r="BY145" s="14" t="str">
        <f t="shared" si="296"/>
        <v xml:space="preserve">biz project(1,%),  </v>
      </c>
      <c r="BZ145" s="14" t="str">
        <f t="shared" si="297"/>
        <v xml:space="preserve"> </v>
      </c>
      <c r="CA145" s="14" t="str">
        <f t="shared" si="298"/>
        <v xml:space="preserve">community manager(1), PR(1), administrator(2), ease of access(2), reputation(3), efficiency(2), user rules and manuals(1), marketing(1), team building(1), social media(1), negotiation(1), web(2), infrastructrue(2), database(2), security(3), aesthetics(2), functions(1), interaction(2),  </v>
      </c>
      <c r="CB145" s="14" t="str">
        <f t="shared" si="299"/>
        <v xml:space="preserve">local biz(1,6.25%),  </v>
      </c>
      <c r="CC145" s="27" t="str">
        <f t="shared" ref="CC145:EK160" si="519">IF(CC37="",CC146,$C145&amp;"("&amp;CC37&amp;"),"&amp;CC146)</f>
        <v xml:space="preserve">local biz(6.25), </v>
      </c>
      <c r="CD145" s="14" t="str">
        <f t="shared" si="301"/>
        <v xml:space="preserve">ease of access(1)
reputation(1)
aesthetics(1)
 </v>
      </c>
      <c r="CE145" s="14" t="str">
        <f t="shared" si="302"/>
        <v xml:space="preserve">biz project(1,%),  </v>
      </c>
      <c r="CF145" s="14" t="str">
        <f t="shared" si="303"/>
        <v xml:space="preserve"> </v>
      </c>
      <c r="CG145" s="14" t="str">
        <f t="shared" si="304"/>
        <v xml:space="preserve">community manager(1), PR(1), administrator(2), ease of access(2), efficiency(2), user rules and manuals(1), marketing(1), team building(1), negotiation(1), infrastructrue(1), database(2), mobile apps(2), security(3), aesthetics(2), functions(1), interaction(2),  </v>
      </c>
      <c r="CH145" s="14" t="str">
        <f t="shared" si="305"/>
        <v xml:space="preserve">local biz(1,6.25%),  </v>
      </c>
      <c r="CI145" s="27" t="str">
        <f t="shared" si="519"/>
        <v xml:space="preserve">local biz(6.25), </v>
      </c>
      <c r="CJ145" s="14" t="str">
        <f t="shared" si="307"/>
        <v xml:space="preserve">ease of access(1)
reputation(1)
aesthetics(1)
 </v>
      </c>
      <c r="CK145" s="14" t="str">
        <f t="shared" si="308"/>
        <v xml:space="preserve">biz project(1,%),  </v>
      </c>
      <c r="CL145" s="14" t="str">
        <f t="shared" si="309"/>
        <v xml:space="preserve"> </v>
      </c>
      <c r="CM145" s="14" t="str">
        <f t="shared" si="310"/>
        <v xml:space="preserve">community manager(1), PR(1), administrator(2), ease of access(2), reputation(3), efficiency(2), user rules and manuals(1), marketing(2), team building(1), social media(2), negotiation(1), web(2), infrastructrue(2), database(2), mobile apps(2), security(2), aesthetics(2), functions(1), interaction(2),  </v>
      </c>
      <c r="CN145" s="14" t="str">
        <f t="shared" si="311"/>
        <v xml:space="preserve">local biz(1,6.25%),  </v>
      </c>
      <c r="CO145" s="27" t="str">
        <f t="shared" si="519"/>
        <v xml:space="preserve">local biz(6.25), </v>
      </c>
      <c r="CP145" s="14" t="str">
        <f t="shared" si="313"/>
        <v xml:space="preserve">local biz(1)
metal processing(1)
functions(1)
 </v>
      </c>
      <c r="CQ145" s="14" t="str">
        <f t="shared" si="314"/>
        <v xml:space="preserve">local biz(1,50%), biz enhancement(1,50%),  </v>
      </c>
      <c r="CR145" s="14" t="str">
        <f t="shared" si="315"/>
        <v xml:space="preserve">local biz(50)
biz enhancement(50)
 </v>
      </c>
      <c r="CS145" s="14" t="str">
        <f t="shared" si="316"/>
        <v xml:space="preserve">community manager(1), ease of access(2), reputation(3), efficiency(2), metal processing(2), electronics(2), aesthetics(2), functions(2), safety(2),  </v>
      </c>
      <c r="CT145" s="14" t="str">
        <f t="shared" si="317"/>
        <v xml:space="preserve">reputation(1,6.25%),  </v>
      </c>
      <c r="CU145" s="27" t="str">
        <f t="shared" si="519"/>
        <v xml:space="preserve">reputation(6.25), </v>
      </c>
      <c r="CV145" s="14" t="str">
        <f t="shared" si="319"/>
        <v xml:space="preserve">non-profits(1)
wood processing(1)
aesthetics(1)
interaction(1)
 </v>
      </c>
      <c r="CW145" s="14" t="str">
        <f t="shared" si="320"/>
        <v xml:space="preserve">non-profits(1,50%), social project(1,50%),  </v>
      </c>
      <c r="CX145" s="14" t="str">
        <f t="shared" si="321"/>
        <v xml:space="preserve">non-profits(50)
social project(50)
 </v>
      </c>
      <c r="CY145" s="14" t="str">
        <f t="shared" si="322"/>
        <v xml:space="preserve">administrator(2), ease of access(2), efficiency(3), sensors(2), wood processing(2), plastic processing(2), electronics(2), aesthetics(2), functions(1), safety(1), interaction(2),  </v>
      </c>
      <c r="CZ145" s="14" t="str">
        <f t="shared" si="323"/>
        <v xml:space="preserve">media(1,6.25%), reputation(1,6.25%), portfolio(1,6.25%),  </v>
      </c>
      <c r="DA145" s="27" t="str">
        <f t="shared" si="519"/>
        <v xml:space="preserve">media(6.25),reputation(6.25),portfolio(6.25), </v>
      </c>
      <c r="DB145" s="14" t="str">
        <f t="shared" si="325"/>
        <v xml:space="preserve">non-profits(1)
aesthetics(1)
interaction(1)
 </v>
      </c>
      <c r="DC145" s="14" t="str">
        <f t="shared" si="326"/>
        <v xml:space="preserve">non-profits(1,50%), social project(1,50%),  </v>
      </c>
      <c r="DD145" s="14" t="str">
        <f t="shared" si="327"/>
        <v xml:space="preserve">non-profits(50)
social project(50)
 </v>
      </c>
      <c r="DE145" s="14" t="str">
        <f t="shared" si="328"/>
        <v xml:space="preserve">administrator(2), ease of access(2), efficiency(3), VR&amp;AR(2),  </v>
      </c>
      <c r="DF145" s="14" t="str">
        <f t="shared" si="329"/>
        <v xml:space="preserve">media(1,6.25%), reputation(1,6.25%), portfolio(1,6.25%),  </v>
      </c>
      <c r="DG145" s="27" t="str">
        <f t="shared" si="519"/>
        <v xml:space="preserve">media(6.25),reputation(6.25),portfolio(6.25), </v>
      </c>
      <c r="DH145" s="14" t="str">
        <f t="shared" si="331"/>
        <v xml:space="preserve">wood processing(1)
aesthetics(1)
safety(1)
 </v>
      </c>
      <c r="DI145" s="14" t="str">
        <f t="shared" si="332"/>
        <v xml:space="preserve">social project(1,100%),  </v>
      </c>
      <c r="DJ145" s="14" t="str">
        <f t="shared" si="333"/>
        <v xml:space="preserve">social project(100)
 </v>
      </c>
      <c r="DK145" s="14" t="str">
        <f t="shared" si="334"/>
        <v xml:space="preserve">community manager(1), 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5" s="14" t="str">
        <f t="shared" si="335"/>
        <v xml:space="preserve">reputation(1,6.25%), portfolio(1,6.25%), team building(1,6.25%),  </v>
      </c>
      <c r="DM145" s="27" t="str">
        <f t="shared" si="519"/>
        <v xml:space="preserve">reputation(6.25),portfolio(6.25),team building(6.25), </v>
      </c>
      <c r="DN145" s="14" t="str">
        <f t="shared" si="337"/>
        <v xml:space="preserve">community manager(1)
fame(1)
network(2)
suppliers(2)
spaciousness(1)
ease of access(2)
reputation(3)
project management(2)
wood processing(1)
plastic processing(1)
electronics(1)
aesthetics(2)
functions(1)
safety(1)
biz project(1)
 </v>
      </c>
      <c r="DO145" s="14" t="str">
        <f t="shared" si="338"/>
        <v xml:space="preserve">reputation(1,25%), portfolio(1,50%),  </v>
      </c>
      <c r="DP145" s="14" t="str">
        <f t="shared" si="339"/>
        <v xml:space="preserve">reputation(25)
portfolio(50)
 </v>
      </c>
      <c r="DQ145" s="14" t="str">
        <f t="shared" si="340"/>
        <v xml:space="preserve">administrator(1), media(3), suppliers(3), social media(2), wood processing(2), plastic processing(2), electronics(2), aesthetics(2),  </v>
      </c>
      <c r="DR145" s="14" t="str">
        <f t="shared" si="341"/>
        <v xml:space="preserve">suppliers(1,6.25%), reputation(1,6.25%),  </v>
      </c>
      <c r="DS145" s="27" t="str">
        <f t="shared" si="519"/>
        <v xml:space="preserve">suppliers(6.25),reputation(6.25), </v>
      </c>
      <c r="DT145" s="14" t="str">
        <f t="shared" si="343"/>
        <v xml:space="preserve">fame(1)
network(2)
reputation(3)
portfolio(2)
 </v>
      </c>
      <c r="DU145" s="14" t="str">
        <f t="shared" si="344"/>
        <v xml:space="preserve">fame(1,25%), govt(1,25%), non-profits(1,50%), reputation(1,25%),  </v>
      </c>
      <c r="DV145" s="14" t="str">
        <f t="shared" si="345"/>
        <v xml:space="preserve">fame(25)
govt(25)
non-profits(50)
reputation(25)
 </v>
      </c>
      <c r="DW145" s="14" t="str">
        <f t="shared" si="346"/>
        <v xml:space="preserve">PR(1), administrator(1), social media(2),  </v>
      </c>
      <c r="DX145" s="14" t="str">
        <f t="shared" si="347"/>
        <v xml:space="preserve">fame(1,6.25%), reputation(1,6.25%),  </v>
      </c>
      <c r="DY145" s="27" t="str">
        <f t="shared" si="519"/>
        <v xml:space="preserve">fame(6.25),reputation(6.25), </v>
      </c>
      <c r="DZ145" s="14" t="str">
        <f t="shared" si="349"/>
        <v xml:space="preserve"> </v>
      </c>
      <c r="EA145" s="14" t="str">
        <f t="shared" si="350"/>
        <v xml:space="preserve"> </v>
      </c>
      <c r="EB145" s="14" t="str">
        <f t="shared" si="351"/>
        <v xml:space="preserve"> </v>
      </c>
      <c r="EC145" s="14" t="str">
        <f t="shared" si="352"/>
        <v xml:space="preserve"> </v>
      </c>
      <c r="ED145" s="14" t="str">
        <f t="shared" si="353"/>
        <v xml:space="preserve"> </v>
      </c>
      <c r="EE145" s="27" t="str">
        <f t="shared" si="519"/>
        <v xml:space="preserve"> </v>
      </c>
      <c r="EF145" s="14" t="str">
        <f t="shared" si="355"/>
        <v xml:space="preserve"> </v>
      </c>
      <c r="EG145" s="14" t="str">
        <f t="shared" si="356"/>
        <v xml:space="preserve"> </v>
      </c>
      <c r="EH145" s="14" t="str">
        <f t="shared" si="357"/>
        <v xml:space="preserve"> </v>
      </c>
      <c r="EI145" s="14" t="str">
        <f t="shared" si="358"/>
        <v xml:space="preserve"> </v>
      </c>
      <c r="EJ145" s="14" t="str">
        <f t="shared" si="359"/>
        <v xml:space="preserve"> </v>
      </c>
      <c r="EK145" s="27" t="str">
        <f t="shared" si="519"/>
        <v xml:space="preserve"> </v>
      </c>
      <c r="EL145" s="14" t="str">
        <f t="shared" si="361"/>
        <v xml:space="preserve"> </v>
      </c>
      <c r="EM145" s="14" t="str">
        <f t="shared" si="362"/>
        <v xml:space="preserve"> </v>
      </c>
      <c r="EN145" s="14" t="str">
        <f t="shared" si="363"/>
        <v xml:space="preserve"> </v>
      </c>
      <c r="EO145" s="14" t="str">
        <f t="shared" si="364"/>
        <v xml:space="preserve"> </v>
      </c>
      <c r="EP145" s="14" t="str">
        <f t="shared" si="365"/>
        <v xml:space="preserve"> </v>
      </c>
      <c r="EQ145" s="27" t="str">
        <f t="shared" ref="EQ145:GY160" si="520">IF(EQ37="",EQ146,$C145&amp;"("&amp;EQ37&amp;"),"&amp;EQ146)</f>
        <v xml:space="preserve"> </v>
      </c>
      <c r="ER145" s="14" t="str">
        <f t="shared" si="367"/>
        <v xml:space="preserve"> </v>
      </c>
      <c r="ES145" s="14" t="str">
        <f t="shared" si="368"/>
        <v xml:space="preserve"> </v>
      </c>
      <c r="ET145" s="14" t="str">
        <f t="shared" si="369"/>
        <v xml:space="preserve"> </v>
      </c>
      <c r="EU145" s="14" t="str">
        <f t="shared" si="370"/>
        <v xml:space="preserve"> </v>
      </c>
      <c r="EV145" s="14" t="str">
        <f t="shared" si="371"/>
        <v xml:space="preserve"> </v>
      </c>
      <c r="EW145" s="27" t="str">
        <f t="shared" si="520"/>
        <v xml:space="preserve"> </v>
      </c>
      <c r="EX145" s="14" t="str">
        <f t="shared" si="373"/>
        <v xml:space="preserve"> </v>
      </c>
      <c r="EY145" s="14" t="str">
        <f t="shared" si="374"/>
        <v xml:space="preserve"> </v>
      </c>
      <c r="EZ145" s="14" t="str">
        <f t="shared" si="375"/>
        <v xml:space="preserve"> </v>
      </c>
      <c r="FA145" s="14" t="str">
        <f t="shared" si="376"/>
        <v xml:space="preserve"> </v>
      </c>
      <c r="FB145" s="14" t="str">
        <f t="shared" si="377"/>
        <v xml:space="preserve"> </v>
      </c>
      <c r="FC145" s="27" t="str">
        <f t="shared" si="520"/>
        <v xml:space="preserve"> </v>
      </c>
      <c r="FD145" s="14" t="str">
        <f t="shared" si="379"/>
        <v xml:space="preserve"> </v>
      </c>
      <c r="FE145" s="14" t="str">
        <f t="shared" si="380"/>
        <v xml:space="preserve"> </v>
      </c>
      <c r="FF145" s="14" t="str">
        <f t="shared" si="381"/>
        <v xml:space="preserve"> </v>
      </c>
      <c r="FG145" s="14" t="str">
        <f t="shared" si="382"/>
        <v xml:space="preserve"> </v>
      </c>
      <c r="FH145" s="14" t="str">
        <f t="shared" si="383"/>
        <v xml:space="preserve"> </v>
      </c>
      <c r="FI145" s="27" t="str">
        <f t="shared" si="520"/>
        <v xml:space="preserve"> </v>
      </c>
      <c r="FJ145" s="14" t="str">
        <f t="shared" si="385"/>
        <v xml:space="preserve"> </v>
      </c>
      <c r="FK145" s="14" t="str">
        <f t="shared" si="386"/>
        <v xml:space="preserve"> </v>
      </c>
      <c r="FL145" s="14" t="str">
        <f t="shared" si="387"/>
        <v xml:space="preserve"> </v>
      </c>
      <c r="FM145" s="14" t="str">
        <f t="shared" si="388"/>
        <v xml:space="preserve"> </v>
      </c>
      <c r="FN145" s="14" t="str">
        <f t="shared" si="389"/>
        <v xml:space="preserve"> </v>
      </c>
      <c r="FO145" s="27" t="str">
        <f t="shared" si="520"/>
        <v xml:space="preserve"> </v>
      </c>
      <c r="FP145" s="14" t="str">
        <f t="shared" si="391"/>
        <v xml:space="preserve"> </v>
      </c>
      <c r="FQ145" s="14" t="str">
        <f t="shared" si="392"/>
        <v xml:space="preserve"> </v>
      </c>
      <c r="FR145" s="14" t="str">
        <f t="shared" si="393"/>
        <v xml:space="preserve"> </v>
      </c>
      <c r="FS145" s="14" t="str">
        <f t="shared" si="394"/>
        <v xml:space="preserve"> </v>
      </c>
      <c r="FT145" s="14" t="str">
        <f t="shared" si="395"/>
        <v xml:space="preserve"> </v>
      </c>
      <c r="FU145" s="27" t="str">
        <f t="shared" si="520"/>
        <v xml:space="preserve"> </v>
      </c>
      <c r="FV145" s="14" t="str">
        <f t="shared" si="397"/>
        <v xml:space="preserve"> </v>
      </c>
      <c r="FW145" s="14" t="str">
        <f t="shared" si="398"/>
        <v xml:space="preserve"> </v>
      </c>
      <c r="FX145" s="14" t="str">
        <f t="shared" si="399"/>
        <v xml:space="preserve"> </v>
      </c>
      <c r="FY145" s="14" t="str">
        <f t="shared" si="400"/>
        <v xml:space="preserve"> </v>
      </c>
      <c r="FZ145" s="14" t="str">
        <f t="shared" si="401"/>
        <v xml:space="preserve"> </v>
      </c>
      <c r="GA145" s="27" t="str">
        <f t="shared" si="520"/>
        <v xml:space="preserve"> </v>
      </c>
      <c r="GB145" s="14" t="str">
        <f t="shared" si="403"/>
        <v xml:space="preserve"> </v>
      </c>
      <c r="GC145" s="14" t="str">
        <f t="shared" si="404"/>
        <v xml:space="preserve"> </v>
      </c>
      <c r="GD145" s="14" t="str">
        <f t="shared" si="405"/>
        <v xml:space="preserve"> </v>
      </c>
      <c r="GE145" s="14" t="str">
        <f t="shared" si="406"/>
        <v xml:space="preserve"> </v>
      </c>
      <c r="GF145" s="14" t="str">
        <f t="shared" si="407"/>
        <v xml:space="preserve"> </v>
      </c>
      <c r="GG145" s="27" t="str">
        <f t="shared" si="520"/>
        <v xml:space="preserve"> </v>
      </c>
      <c r="GH145" s="14" t="str">
        <f t="shared" si="409"/>
        <v xml:space="preserve"> </v>
      </c>
      <c r="GI145" s="14" t="str">
        <f t="shared" si="410"/>
        <v xml:space="preserve"> </v>
      </c>
      <c r="GJ145" s="14" t="str">
        <f t="shared" si="411"/>
        <v xml:space="preserve"> </v>
      </c>
      <c r="GK145" s="14" t="str">
        <f t="shared" si="412"/>
        <v xml:space="preserve"> </v>
      </c>
      <c r="GL145" s="14" t="str">
        <f t="shared" si="413"/>
        <v xml:space="preserve"> </v>
      </c>
      <c r="GM145" s="27" t="str">
        <f t="shared" si="520"/>
        <v xml:space="preserve"> </v>
      </c>
      <c r="GN145" s="14" t="str">
        <f t="shared" si="415"/>
        <v xml:space="preserve"> </v>
      </c>
      <c r="GO145" s="14" t="str">
        <f t="shared" si="416"/>
        <v xml:space="preserve"> </v>
      </c>
      <c r="GP145" s="14" t="str">
        <f t="shared" si="417"/>
        <v xml:space="preserve"> </v>
      </c>
      <c r="GQ145" s="14" t="str">
        <f t="shared" si="418"/>
        <v xml:space="preserve"> </v>
      </c>
      <c r="GR145" s="14" t="str">
        <f t="shared" si="419"/>
        <v xml:space="preserve"> </v>
      </c>
      <c r="GS145" s="27" t="str">
        <f t="shared" si="520"/>
        <v xml:space="preserve"> </v>
      </c>
      <c r="GT145" s="14" t="str">
        <f t="shared" si="421"/>
        <v xml:space="preserve"> </v>
      </c>
      <c r="GU145" s="14" t="str">
        <f t="shared" si="422"/>
        <v xml:space="preserve"> </v>
      </c>
      <c r="GV145" s="14" t="str">
        <f t="shared" si="423"/>
        <v xml:space="preserve"> </v>
      </c>
      <c r="GW145" s="14" t="str">
        <f t="shared" si="424"/>
        <v xml:space="preserve"> </v>
      </c>
      <c r="GX145" s="14" t="str">
        <f t="shared" si="425"/>
        <v xml:space="preserve"> </v>
      </c>
      <c r="GY145" s="27" t="str">
        <f t="shared" si="520"/>
        <v xml:space="preserve"> </v>
      </c>
      <c r="GZ145" s="14" t="str">
        <f t="shared" si="427"/>
        <v xml:space="preserve"> </v>
      </c>
      <c r="HA145" s="14" t="str">
        <f t="shared" si="428"/>
        <v xml:space="preserve"> </v>
      </c>
      <c r="HB145" s="14" t="str">
        <f t="shared" si="429"/>
        <v xml:space="preserve"> </v>
      </c>
      <c r="HC145" s="14" t="str">
        <f t="shared" si="430"/>
        <v xml:space="preserve"> </v>
      </c>
      <c r="HD145" s="14" t="str">
        <f t="shared" si="431"/>
        <v xml:space="preserve"> </v>
      </c>
      <c r="HE145" s="27" t="str">
        <f t="shared" ref="HE145:HQ160" si="521">IF(HE37="",HE146,$C145&amp;"("&amp;HE37&amp;"),"&amp;HE146)</f>
        <v xml:space="preserve"> </v>
      </c>
      <c r="HF145" s="14" t="str">
        <f t="shared" si="433"/>
        <v xml:space="preserve"> </v>
      </c>
      <c r="HG145" s="14" t="str">
        <f t="shared" si="434"/>
        <v xml:space="preserve"> </v>
      </c>
      <c r="HH145" s="14" t="str">
        <f t="shared" si="435"/>
        <v xml:space="preserve"> </v>
      </c>
      <c r="HI145" s="14" t="str">
        <f t="shared" si="436"/>
        <v xml:space="preserve"> </v>
      </c>
      <c r="HJ145" s="14" t="str">
        <f t="shared" si="437"/>
        <v xml:space="preserve"> </v>
      </c>
      <c r="HK145" s="27" t="str">
        <f t="shared" si="521"/>
        <v xml:space="preserve"> </v>
      </c>
      <c r="HL145" s="14" t="str">
        <f t="shared" si="439"/>
        <v xml:space="preserve"> </v>
      </c>
      <c r="HM145" s="14" t="str">
        <f t="shared" si="440"/>
        <v xml:space="preserve"> </v>
      </c>
      <c r="HN145" s="14" t="str">
        <f t="shared" si="441"/>
        <v xml:space="preserve"> </v>
      </c>
      <c r="HO145" s="14" t="str">
        <f t="shared" si="442"/>
        <v xml:space="preserve"> </v>
      </c>
      <c r="HP145" s="14" t="str">
        <f t="shared" si="443"/>
        <v xml:space="preserve"> </v>
      </c>
      <c r="HQ145" s="27" t="str">
        <f t="shared" si="521"/>
        <v xml:space="preserve"> </v>
      </c>
    </row>
    <row r="146" spans="1:225" ht="15.75" customHeight="1">
      <c r="A146" s="7">
        <f t="shared" ref="A146:C146" si="522">A38</f>
        <v>0</v>
      </c>
      <c r="B146" s="7">
        <f t="shared" si="522"/>
        <v>0</v>
      </c>
      <c r="C146" s="7" t="str">
        <f t="shared" si="522"/>
        <v>PR</v>
      </c>
      <c r="D146" s="14" t="str">
        <f t="shared" si="446"/>
        <v xml:space="preserve"> </v>
      </c>
      <c r="E146" s="14" t="str">
        <f t="shared" si="447"/>
        <v xml:space="preserve"> </v>
      </c>
      <c r="F146" s="14" t="str">
        <f t="shared" si="448"/>
        <v xml:space="preserve"> </v>
      </c>
      <c r="G146" s="14" t="str">
        <f t="shared" si="449"/>
        <v xml:space="preserve">efficiency(1), user rules and manuals(2.1), organizational rules and manuals(2.1),  </v>
      </c>
      <c r="H146" s="14" t="str">
        <f t="shared" si="450"/>
        <v xml:space="preserve">efficiency(-1,6.25%),  </v>
      </c>
      <c r="I146" s="27" t="str">
        <f t="shared" ref="I146" si="523">IF(I38="",I147,$C146&amp;"("&amp;I38&amp;"),"&amp;I147)</f>
        <v xml:space="preserve">efficiency(6.25), </v>
      </c>
      <c r="J146" s="14" t="str">
        <f t="shared" si="229"/>
        <v xml:space="preserve"> </v>
      </c>
      <c r="K146" s="14" t="str">
        <f t="shared" si="230"/>
        <v xml:space="preserve"> </v>
      </c>
      <c r="L146" s="14" t="str">
        <f t="shared" si="231"/>
        <v xml:space="preserve"> </v>
      </c>
      <c r="M146" s="14" t="str">
        <f t="shared" si="232"/>
        <v xml:space="preserve">efficiency(0.1), organizational rules and manuals(1.1),  </v>
      </c>
      <c r="N146" s="14" t="str">
        <f t="shared" si="233"/>
        <v xml:space="preserve"> </v>
      </c>
      <c r="O146" s="27" t="str">
        <f t="shared" si="518"/>
        <v xml:space="preserve"> </v>
      </c>
      <c r="P146" s="14" t="str">
        <f t="shared" si="235"/>
        <v xml:space="preserve"> </v>
      </c>
      <c r="Q146" s="14" t="str">
        <f t="shared" si="236"/>
        <v xml:space="preserve"> </v>
      </c>
      <c r="R146" s="14" t="str">
        <f t="shared" si="237"/>
        <v xml:space="preserve"> </v>
      </c>
      <c r="S146" s="14" t="str">
        <f t="shared" si="238"/>
        <v xml:space="preserve">team building(0.1),  </v>
      </c>
      <c r="T146" s="14" t="str">
        <f t="shared" si="239"/>
        <v xml:space="preserve">business model(-1,6.25%), web(-1,6.25%), mobile apps(-1,6.25%), aesthetics(-1,6.25%),  </v>
      </c>
      <c r="U146" s="27" t="str">
        <f t="shared" si="518"/>
        <v xml:space="preserve">business model(6.25),web(6.25),mobile apps(6.25),aesthetics(6.25), </v>
      </c>
      <c r="V146" s="14" t="str">
        <f t="shared" si="241"/>
        <v xml:space="preserve"> </v>
      </c>
      <c r="W146" s="14" t="str">
        <f t="shared" si="242"/>
        <v xml:space="preserve">efficiency(-1,25%),  </v>
      </c>
      <c r="X146" s="14" t="str">
        <f t="shared" si="243"/>
        <v xml:space="preserve">efficiency(25)
 </v>
      </c>
      <c r="Y146" s="14" t="str">
        <f t="shared" si="244"/>
        <v xml:space="preserve">administrator(0.1), spaciousness(1), ease of access(3), reputation(2), user rules and manuals(0.1), project management(0.1), negotiation(0.1),  </v>
      </c>
      <c r="Z146" s="14" t="str">
        <f t="shared" si="245"/>
        <v xml:space="preserve">reputation(-1,%),  </v>
      </c>
      <c r="AA146" s="27" t="str">
        <f t="shared" si="518"/>
        <v xml:space="preserve"> </v>
      </c>
      <c r="AB146" s="14" t="str">
        <f t="shared" si="247"/>
        <v xml:space="preserve"> </v>
      </c>
      <c r="AC146" s="14" t="str">
        <f t="shared" si="248"/>
        <v xml:space="preserve"> </v>
      </c>
      <c r="AD146" s="14" t="str">
        <f t="shared" si="249"/>
        <v xml:space="preserve"> </v>
      </c>
      <c r="AE146" s="14" t="str">
        <f t="shared" si="250"/>
        <v xml:space="preserve">spaciousness(1), user rules and manuals(1.1), organizational rules and manuals(1.1),  </v>
      </c>
      <c r="AF146" s="14" t="str">
        <f t="shared" si="251"/>
        <v xml:space="preserve">local biz(-1,6.25%), investors(-1,6.25%), non-profits(-1,6.25%), efficiency(-1,6.25%),  </v>
      </c>
      <c r="AG146" s="27" t="str">
        <f t="shared" si="518"/>
        <v xml:space="preserve">local biz(6.25),investors(6.25),non-profits(6.25),efficiency(6.25), </v>
      </c>
      <c r="AH146" s="14" t="str">
        <f t="shared" si="253"/>
        <v xml:space="preserve">ease of access(1)
reputation(1)
 </v>
      </c>
      <c r="AI146" s="14" t="str">
        <f t="shared" si="254"/>
        <v xml:space="preserve"> </v>
      </c>
      <c r="AJ146" s="14" t="str">
        <f t="shared" si="255"/>
        <v xml:space="preserve"> </v>
      </c>
      <c r="AK146" s="14" t="str">
        <f t="shared" si="256"/>
        <v xml:space="preserve">administrator(2.1), spaciousness(1), ease of access(1), reputation(2), user rules and manuals(2.1), organizational rules and manuals(2.1), law(1.1), negotiation(1.1),  </v>
      </c>
      <c r="AL146" s="14" t="str">
        <f t="shared" si="257"/>
        <v xml:space="preserve">govt(-1,6.25%), non-profits(-1,6.25%), reputation(-1,6.25%),  </v>
      </c>
      <c r="AM146" s="27" t="str">
        <f t="shared" si="518"/>
        <v xml:space="preserve">govt(6.25),non-profits(6.25),reputation(6.25), </v>
      </c>
      <c r="AN146" s="14" t="str">
        <f t="shared" si="259"/>
        <v xml:space="preserve"> </v>
      </c>
      <c r="AO146" s="14" t="str">
        <f t="shared" si="260"/>
        <v xml:space="preserve"> </v>
      </c>
      <c r="AP146" s="14" t="str">
        <f t="shared" si="261"/>
        <v xml:space="preserve"> </v>
      </c>
      <c r="AQ146" s="14" t="str">
        <f t="shared" si="262"/>
        <v xml:space="preserve">spaciousness(2.1), reputation(3), organizational rules and manuals(2.1), team building(2.1),  </v>
      </c>
      <c r="AR146" s="14" t="str">
        <f t="shared" si="263"/>
        <v xml:space="preserve">reputation(-1,6.25%), efficiency(-1,6.25%),  </v>
      </c>
      <c r="AS146" s="27" t="str">
        <f t="shared" si="518"/>
        <v xml:space="preserve">reputation(6.25),efficiency(6.25), </v>
      </c>
      <c r="AT146" s="14" t="str">
        <f t="shared" si="265"/>
        <v xml:space="preserve"> </v>
      </c>
      <c r="AU146" s="14" t="str">
        <f t="shared" si="266"/>
        <v xml:space="preserve"> </v>
      </c>
      <c r="AV146" s="14" t="str">
        <f t="shared" si="267"/>
        <v xml:space="preserve"> </v>
      </c>
      <c r="AW146" s="14" t="str">
        <f t="shared" si="268"/>
        <v xml:space="preserve">user rules and manuals(2.1), team building(2.1),  </v>
      </c>
      <c r="AX146" s="14" t="str">
        <f t="shared" si="269"/>
        <v xml:space="preserve"> </v>
      </c>
      <c r="AY146" s="27" t="str">
        <f t="shared" si="518"/>
        <v xml:space="preserve"> </v>
      </c>
      <c r="AZ146" s="14" t="str">
        <f t="shared" si="271"/>
        <v xml:space="preserve"> </v>
      </c>
      <c r="BA146" s="14" t="str">
        <f t="shared" si="272"/>
        <v xml:space="preserve">efficiency(-1,12.5%), user rules and manuals(1,25%),  </v>
      </c>
      <c r="BB146" s="14" t="str">
        <f t="shared" si="273"/>
        <v xml:space="preserve">efficiency(12.5)
user rules and manuals(25)
 </v>
      </c>
      <c r="BC146" s="14" t="str">
        <f t="shared" si="274"/>
        <v xml:space="preserve">administrator(1.1), user rules and manuals(2.1), organizational rules and manuals(2.1),  </v>
      </c>
      <c r="BD146" s="14" t="str">
        <f t="shared" si="275"/>
        <v xml:space="preserve">reputation(-1,6.25%),  </v>
      </c>
      <c r="BE146" s="27" t="str">
        <f t="shared" si="518"/>
        <v xml:space="preserve">reputation(6.25), </v>
      </c>
      <c r="BF146" s="14" t="str">
        <f t="shared" si="277"/>
        <v xml:space="preserve"> </v>
      </c>
      <c r="BG146" s="14" t="str">
        <f t="shared" si="278"/>
        <v xml:space="preserve">user rules and manuals(1,25%), organizational rules and manuals(1,25%),  </v>
      </c>
      <c r="BH146" s="14" t="str">
        <f t="shared" si="279"/>
        <v xml:space="preserve">user rules and manuals(25)
organizational rules and manuals(25)
 </v>
      </c>
      <c r="BI146" s="14" t="str">
        <f t="shared" si="280"/>
        <v xml:space="preserve">administrator(1.1),  </v>
      </c>
      <c r="BJ146" s="14" t="str">
        <f t="shared" si="281"/>
        <v xml:space="preserve">reputation(-1,6.25%), efficiency(-1,25%),  </v>
      </c>
      <c r="BK146" s="27" t="str">
        <f t="shared" si="518"/>
        <v xml:space="preserve">reputation(6.25),efficiency(25), </v>
      </c>
      <c r="BL146" s="14" t="str">
        <f t="shared" si="283"/>
        <v xml:space="preserve">local biz(1)
ease of access(1)
reputation(1)
aesthetics(1)
 </v>
      </c>
      <c r="BM146" s="14" t="str">
        <f t="shared" si="284"/>
        <v xml:space="preserve">biz enhancement(1,%),  </v>
      </c>
      <c r="BN146" s="14" t="str">
        <f t="shared" si="285"/>
        <v xml:space="preserve"> </v>
      </c>
      <c r="BO146" s="14" t="str">
        <f t="shared" si="286"/>
        <v xml:space="preserve">PR(1), administrator(2), ease of access(2), reputation(3), efficiency(2), user rules and manuals(1), marketing(1), negotiation(1), aesthetics(2), functions(1), safety(1),  </v>
      </c>
      <c r="BP146" s="14" t="str">
        <f t="shared" si="287"/>
        <v xml:space="preserve">local biz(1,6.25%),  </v>
      </c>
      <c r="BQ146" s="27" t="str">
        <f t="shared" si="518"/>
        <v xml:space="preserve">local biz(6.25), </v>
      </c>
      <c r="BR146" s="14" t="str">
        <f t="shared" si="289"/>
        <v xml:space="preserve">local biz(1)
ease of access(1)
reputation(1)
aesthetics(1)
 </v>
      </c>
      <c r="BS146" s="14" t="str">
        <f t="shared" si="290"/>
        <v xml:space="preserve">biz project(1,%),  </v>
      </c>
      <c r="BT146" s="14" t="str">
        <f t="shared" si="291"/>
        <v xml:space="preserve"> </v>
      </c>
      <c r="BU146" s="14" t="str">
        <f t="shared" si="292"/>
        <v xml:space="preserve">PR(1), administrator(2), ease of access(2), reputation(3), efficiency(2), user rules and manuals(1), marketing(1), negotiation(1), wood processing(1), aesthetics(2),  </v>
      </c>
      <c r="BV146" s="14" t="str">
        <f t="shared" si="293"/>
        <v xml:space="preserve">local biz(1,6.25%),  </v>
      </c>
      <c r="BW146" s="27" t="str">
        <f t="shared" si="518"/>
        <v xml:space="preserve">local biz(6.25), </v>
      </c>
      <c r="BX146" s="14" t="str">
        <f t="shared" si="295"/>
        <v xml:space="preserve">local biz(1)
ease of access(1)
reputation(1)
aesthetics(1)
interaction(1)
 </v>
      </c>
      <c r="BY146" s="14" t="str">
        <f t="shared" si="296"/>
        <v xml:space="preserve">biz project(1,%),  </v>
      </c>
      <c r="BZ146" s="14" t="str">
        <f t="shared" si="297"/>
        <v xml:space="preserve"> </v>
      </c>
      <c r="CA146" s="14" t="str">
        <f t="shared" si="298"/>
        <v xml:space="preserve">PR(1), administrator(2), ease of access(2), reputation(3), efficiency(2), user rules and manuals(1), marketing(1), team building(1), social media(1), negotiation(1), web(2), infrastructrue(2), database(2), security(3), aesthetics(2), functions(1), interaction(2),  </v>
      </c>
      <c r="CB146" s="14" t="str">
        <f t="shared" si="299"/>
        <v xml:space="preserve">local biz(1,6.25%),  </v>
      </c>
      <c r="CC146" s="27" t="str">
        <f t="shared" si="519"/>
        <v xml:space="preserve">local biz(6.25), </v>
      </c>
      <c r="CD146" s="14" t="str">
        <f t="shared" si="301"/>
        <v xml:space="preserve">ease of access(1)
reputation(1)
aesthetics(1)
 </v>
      </c>
      <c r="CE146" s="14" t="str">
        <f t="shared" si="302"/>
        <v xml:space="preserve">biz project(1,%),  </v>
      </c>
      <c r="CF146" s="14" t="str">
        <f t="shared" si="303"/>
        <v xml:space="preserve"> </v>
      </c>
      <c r="CG146" s="14" t="str">
        <f t="shared" si="304"/>
        <v xml:space="preserve">PR(1), administrator(2), ease of access(2), efficiency(2), user rules and manuals(1), marketing(1), team building(1), negotiation(1), infrastructrue(1), database(2), mobile apps(2), security(3), aesthetics(2), functions(1), interaction(2),  </v>
      </c>
      <c r="CH146" s="14" t="str">
        <f t="shared" si="305"/>
        <v xml:space="preserve">local biz(1,6.25%),  </v>
      </c>
      <c r="CI146" s="27" t="str">
        <f t="shared" si="519"/>
        <v xml:space="preserve">local biz(6.25), </v>
      </c>
      <c r="CJ146" s="14" t="str">
        <f t="shared" si="307"/>
        <v xml:space="preserve">ease of access(1)
reputation(1)
aesthetics(1)
 </v>
      </c>
      <c r="CK146" s="14" t="str">
        <f t="shared" si="308"/>
        <v xml:space="preserve">biz project(1,%),  </v>
      </c>
      <c r="CL146" s="14" t="str">
        <f t="shared" si="309"/>
        <v xml:space="preserve"> </v>
      </c>
      <c r="CM146" s="14" t="str">
        <f t="shared" si="310"/>
        <v xml:space="preserve">PR(1), administrator(2), ease of access(2), reputation(3), efficiency(2), user rules and manuals(1), marketing(2), team building(1), social media(2), negotiation(1), web(2), infrastructrue(2), database(2), mobile apps(2), security(2), aesthetics(2), functions(1), interaction(2),  </v>
      </c>
      <c r="CN146" s="14" t="str">
        <f t="shared" si="311"/>
        <v xml:space="preserve">local biz(1,6.25%),  </v>
      </c>
      <c r="CO146" s="27" t="str">
        <f t="shared" si="519"/>
        <v xml:space="preserve">local biz(6.25), </v>
      </c>
      <c r="CP146" s="14" t="str">
        <f t="shared" si="313"/>
        <v xml:space="preserve">local biz(1)
metal processing(1)
functions(1)
 </v>
      </c>
      <c r="CQ146" s="14" t="str">
        <f t="shared" si="314"/>
        <v xml:space="preserve">local biz(1,50%), biz enhancement(1,50%),  </v>
      </c>
      <c r="CR146" s="14" t="str">
        <f t="shared" si="315"/>
        <v xml:space="preserve">local biz(50)
biz enhancement(50)
 </v>
      </c>
      <c r="CS146" s="14" t="str">
        <f t="shared" si="316"/>
        <v xml:space="preserve">ease of access(2), reputation(3), efficiency(2), metal processing(2), electronics(2), aesthetics(2), functions(2), safety(2),  </v>
      </c>
      <c r="CT146" s="14" t="str">
        <f t="shared" si="317"/>
        <v xml:space="preserve">reputation(1,6.25%),  </v>
      </c>
      <c r="CU146" s="27" t="str">
        <f t="shared" si="519"/>
        <v xml:space="preserve">reputation(6.25), </v>
      </c>
      <c r="CV146" s="14" t="str">
        <f t="shared" si="319"/>
        <v xml:space="preserve">non-profits(1)
wood processing(1)
aesthetics(1)
interaction(1)
 </v>
      </c>
      <c r="CW146" s="14" t="str">
        <f t="shared" si="320"/>
        <v xml:space="preserve">non-profits(1,50%), social project(1,50%),  </v>
      </c>
      <c r="CX146" s="14" t="str">
        <f t="shared" si="321"/>
        <v xml:space="preserve">non-profits(50)
social project(50)
 </v>
      </c>
      <c r="CY146" s="14" t="str">
        <f t="shared" si="322"/>
        <v xml:space="preserve">administrator(2), ease of access(2), efficiency(3), sensors(2), wood processing(2), plastic processing(2), electronics(2), aesthetics(2), functions(1), safety(1), interaction(2),  </v>
      </c>
      <c r="CZ146" s="14" t="str">
        <f t="shared" si="323"/>
        <v xml:space="preserve">media(1,6.25%), reputation(1,6.25%), portfolio(1,6.25%),  </v>
      </c>
      <c r="DA146" s="27" t="str">
        <f t="shared" si="519"/>
        <v xml:space="preserve">media(6.25),reputation(6.25),portfolio(6.25), </v>
      </c>
      <c r="DB146" s="14" t="str">
        <f t="shared" si="325"/>
        <v xml:space="preserve">non-profits(1)
aesthetics(1)
interaction(1)
 </v>
      </c>
      <c r="DC146" s="14" t="str">
        <f t="shared" si="326"/>
        <v xml:space="preserve">non-profits(1,50%), social project(1,50%),  </v>
      </c>
      <c r="DD146" s="14" t="str">
        <f t="shared" si="327"/>
        <v xml:space="preserve">non-profits(50)
social project(50)
 </v>
      </c>
      <c r="DE146" s="14" t="str">
        <f t="shared" si="328"/>
        <v xml:space="preserve">administrator(2), ease of access(2), efficiency(3), VR&amp;AR(2),  </v>
      </c>
      <c r="DF146" s="14" t="str">
        <f t="shared" si="329"/>
        <v xml:space="preserve">media(1,6.25%), reputation(1,6.25%), portfolio(1,6.25%),  </v>
      </c>
      <c r="DG146" s="27" t="str">
        <f t="shared" si="519"/>
        <v xml:space="preserve">media(6.25),reputation(6.25),portfolio(6.25), </v>
      </c>
      <c r="DH146" s="14" t="str">
        <f t="shared" si="331"/>
        <v xml:space="preserve">wood processing(1)
aesthetics(1)
safety(1)
 </v>
      </c>
      <c r="DI146" s="14" t="str">
        <f t="shared" si="332"/>
        <v xml:space="preserve">social project(1,100%),  </v>
      </c>
      <c r="DJ146" s="14" t="str">
        <f t="shared" si="333"/>
        <v xml:space="preserve">social project(100)
 </v>
      </c>
      <c r="DK146" s="14" t="str">
        <f t="shared" si="334"/>
        <v xml:space="preserve">PR(1), 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6" s="14" t="str">
        <f t="shared" si="335"/>
        <v xml:space="preserve">reputation(1,6.25%), portfolio(1,6.25%), team building(1,6.25%),  </v>
      </c>
      <c r="DM146" s="27" t="str">
        <f t="shared" si="519"/>
        <v xml:space="preserve">reputation(6.25),portfolio(6.25),team building(6.25), </v>
      </c>
      <c r="DN146" s="14" t="str">
        <f t="shared" si="337"/>
        <v xml:space="preserve">fame(1)
network(2)
suppliers(2)
spaciousness(1)
ease of access(2)
reputation(3)
project management(2)
wood processing(1)
plastic processing(1)
electronics(1)
aesthetics(2)
functions(1)
safety(1)
biz project(1)
 </v>
      </c>
      <c r="DO146" s="14" t="str">
        <f t="shared" si="338"/>
        <v xml:space="preserve">reputation(1,25%), portfolio(1,50%),  </v>
      </c>
      <c r="DP146" s="14" t="str">
        <f t="shared" si="339"/>
        <v xml:space="preserve">reputation(25)
portfolio(50)
 </v>
      </c>
      <c r="DQ146" s="14" t="str">
        <f t="shared" si="340"/>
        <v xml:space="preserve">administrator(1), media(3), suppliers(3), social media(2), wood processing(2), plastic processing(2), electronics(2), aesthetics(2),  </v>
      </c>
      <c r="DR146" s="14" t="str">
        <f t="shared" si="341"/>
        <v xml:space="preserve">suppliers(1,6.25%), reputation(1,6.25%),  </v>
      </c>
      <c r="DS146" s="27" t="str">
        <f t="shared" si="519"/>
        <v xml:space="preserve">suppliers(6.25),reputation(6.25), </v>
      </c>
      <c r="DT146" s="14" t="str">
        <f t="shared" si="343"/>
        <v xml:space="preserve">fame(1)
network(2)
reputation(3)
portfolio(2)
 </v>
      </c>
      <c r="DU146" s="14" t="str">
        <f t="shared" si="344"/>
        <v xml:space="preserve">fame(1,25%), govt(1,25%), non-profits(1,50%), reputation(1,25%),  </v>
      </c>
      <c r="DV146" s="14" t="str">
        <f t="shared" si="345"/>
        <v xml:space="preserve">fame(25)
govt(25)
non-profits(50)
reputation(25)
 </v>
      </c>
      <c r="DW146" s="14" t="str">
        <f t="shared" si="346"/>
        <v xml:space="preserve">PR(1), administrator(1), social media(2),  </v>
      </c>
      <c r="DX146" s="14" t="str">
        <f t="shared" si="347"/>
        <v xml:space="preserve">fame(1,6.25%), reputation(1,6.25%),  </v>
      </c>
      <c r="DY146" s="27" t="str">
        <f t="shared" si="519"/>
        <v xml:space="preserve">fame(6.25),reputation(6.25), </v>
      </c>
      <c r="DZ146" s="14" t="str">
        <f t="shared" si="349"/>
        <v xml:space="preserve"> </v>
      </c>
      <c r="EA146" s="14" t="str">
        <f t="shared" si="350"/>
        <v xml:space="preserve"> </v>
      </c>
      <c r="EB146" s="14" t="str">
        <f t="shared" si="351"/>
        <v xml:space="preserve"> </v>
      </c>
      <c r="EC146" s="14" t="str">
        <f t="shared" si="352"/>
        <v xml:space="preserve"> </v>
      </c>
      <c r="ED146" s="14" t="str">
        <f t="shared" si="353"/>
        <v xml:space="preserve"> </v>
      </c>
      <c r="EE146" s="27" t="str">
        <f t="shared" si="519"/>
        <v xml:space="preserve"> </v>
      </c>
      <c r="EF146" s="14" t="str">
        <f t="shared" si="355"/>
        <v xml:space="preserve"> </v>
      </c>
      <c r="EG146" s="14" t="str">
        <f t="shared" si="356"/>
        <v xml:space="preserve"> </v>
      </c>
      <c r="EH146" s="14" t="str">
        <f t="shared" si="357"/>
        <v xml:space="preserve"> </v>
      </c>
      <c r="EI146" s="14" t="str">
        <f t="shared" si="358"/>
        <v xml:space="preserve"> </v>
      </c>
      <c r="EJ146" s="14" t="str">
        <f t="shared" si="359"/>
        <v xml:space="preserve"> </v>
      </c>
      <c r="EK146" s="27" t="str">
        <f t="shared" si="519"/>
        <v xml:space="preserve"> </v>
      </c>
      <c r="EL146" s="14" t="str">
        <f t="shared" si="361"/>
        <v xml:space="preserve"> </v>
      </c>
      <c r="EM146" s="14" t="str">
        <f t="shared" si="362"/>
        <v xml:space="preserve"> </v>
      </c>
      <c r="EN146" s="14" t="str">
        <f t="shared" si="363"/>
        <v xml:space="preserve"> </v>
      </c>
      <c r="EO146" s="14" t="str">
        <f t="shared" si="364"/>
        <v xml:space="preserve"> </v>
      </c>
      <c r="EP146" s="14" t="str">
        <f t="shared" si="365"/>
        <v xml:space="preserve"> </v>
      </c>
      <c r="EQ146" s="27" t="str">
        <f t="shared" si="520"/>
        <v xml:space="preserve"> </v>
      </c>
      <c r="ER146" s="14" t="str">
        <f t="shared" si="367"/>
        <v xml:space="preserve"> </v>
      </c>
      <c r="ES146" s="14" t="str">
        <f t="shared" si="368"/>
        <v xml:space="preserve"> </v>
      </c>
      <c r="ET146" s="14" t="str">
        <f t="shared" si="369"/>
        <v xml:space="preserve"> </v>
      </c>
      <c r="EU146" s="14" t="str">
        <f t="shared" si="370"/>
        <v xml:space="preserve"> </v>
      </c>
      <c r="EV146" s="14" t="str">
        <f t="shared" si="371"/>
        <v xml:space="preserve"> </v>
      </c>
      <c r="EW146" s="27" t="str">
        <f t="shared" si="520"/>
        <v xml:space="preserve"> </v>
      </c>
      <c r="EX146" s="14" t="str">
        <f t="shared" si="373"/>
        <v xml:space="preserve"> </v>
      </c>
      <c r="EY146" s="14" t="str">
        <f t="shared" si="374"/>
        <v xml:space="preserve"> </v>
      </c>
      <c r="EZ146" s="14" t="str">
        <f t="shared" si="375"/>
        <v xml:space="preserve"> </v>
      </c>
      <c r="FA146" s="14" t="str">
        <f t="shared" si="376"/>
        <v xml:space="preserve"> </v>
      </c>
      <c r="FB146" s="14" t="str">
        <f t="shared" si="377"/>
        <v xml:space="preserve"> </v>
      </c>
      <c r="FC146" s="27" t="str">
        <f t="shared" si="520"/>
        <v xml:space="preserve"> </v>
      </c>
      <c r="FD146" s="14" t="str">
        <f t="shared" si="379"/>
        <v xml:space="preserve"> </v>
      </c>
      <c r="FE146" s="14" t="str">
        <f t="shared" si="380"/>
        <v xml:space="preserve"> </v>
      </c>
      <c r="FF146" s="14" t="str">
        <f t="shared" si="381"/>
        <v xml:space="preserve"> </v>
      </c>
      <c r="FG146" s="14" t="str">
        <f t="shared" si="382"/>
        <v xml:space="preserve"> </v>
      </c>
      <c r="FH146" s="14" t="str">
        <f t="shared" si="383"/>
        <v xml:space="preserve"> </v>
      </c>
      <c r="FI146" s="27" t="str">
        <f t="shared" si="520"/>
        <v xml:space="preserve"> </v>
      </c>
      <c r="FJ146" s="14" t="str">
        <f t="shared" si="385"/>
        <v xml:space="preserve"> </v>
      </c>
      <c r="FK146" s="14" t="str">
        <f t="shared" si="386"/>
        <v xml:space="preserve"> </v>
      </c>
      <c r="FL146" s="14" t="str">
        <f t="shared" si="387"/>
        <v xml:space="preserve"> </v>
      </c>
      <c r="FM146" s="14" t="str">
        <f t="shared" si="388"/>
        <v xml:space="preserve"> </v>
      </c>
      <c r="FN146" s="14" t="str">
        <f t="shared" si="389"/>
        <v xml:space="preserve"> </v>
      </c>
      <c r="FO146" s="27" t="str">
        <f t="shared" si="520"/>
        <v xml:space="preserve"> </v>
      </c>
      <c r="FP146" s="14" t="str">
        <f t="shared" si="391"/>
        <v xml:space="preserve"> </v>
      </c>
      <c r="FQ146" s="14" t="str">
        <f t="shared" si="392"/>
        <v xml:space="preserve"> </v>
      </c>
      <c r="FR146" s="14" t="str">
        <f t="shared" si="393"/>
        <v xml:space="preserve"> </v>
      </c>
      <c r="FS146" s="14" t="str">
        <f t="shared" si="394"/>
        <v xml:space="preserve"> </v>
      </c>
      <c r="FT146" s="14" t="str">
        <f t="shared" si="395"/>
        <v xml:space="preserve"> </v>
      </c>
      <c r="FU146" s="27" t="str">
        <f t="shared" si="520"/>
        <v xml:space="preserve"> </v>
      </c>
      <c r="FV146" s="14" t="str">
        <f t="shared" si="397"/>
        <v xml:space="preserve"> </v>
      </c>
      <c r="FW146" s="14" t="str">
        <f t="shared" si="398"/>
        <v xml:space="preserve"> </v>
      </c>
      <c r="FX146" s="14" t="str">
        <f t="shared" si="399"/>
        <v xml:space="preserve"> </v>
      </c>
      <c r="FY146" s="14" t="str">
        <f t="shared" si="400"/>
        <v xml:space="preserve"> </v>
      </c>
      <c r="FZ146" s="14" t="str">
        <f t="shared" si="401"/>
        <v xml:space="preserve"> </v>
      </c>
      <c r="GA146" s="27" t="str">
        <f t="shared" si="520"/>
        <v xml:space="preserve"> </v>
      </c>
      <c r="GB146" s="14" t="str">
        <f t="shared" si="403"/>
        <v xml:space="preserve"> </v>
      </c>
      <c r="GC146" s="14" t="str">
        <f t="shared" si="404"/>
        <v xml:space="preserve"> </v>
      </c>
      <c r="GD146" s="14" t="str">
        <f t="shared" si="405"/>
        <v xml:space="preserve"> </v>
      </c>
      <c r="GE146" s="14" t="str">
        <f t="shared" si="406"/>
        <v xml:space="preserve"> </v>
      </c>
      <c r="GF146" s="14" t="str">
        <f t="shared" si="407"/>
        <v xml:space="preserve"> </v>
      </c>
      <c r="GG146" s="27" t="str">
        <f t="shared" si="520"/>
        <v xml:space="preserve"> </v>
      </c>
      <c r="GH146" s="14" t="str">
        <f t="shared" si="409"/>
        <v xml:space="preserve"> </v>
      </c>
      <c r="GI146" s="14" t="str">
        <f t="shared" si="410"/>
        <v xml:space="preserve"> </v>
      </c>
      <c r="GJ146" s="14" t="str">
        <f t="shared" si="411"/>
        <v xml:space="preserve"> </v>
      </c>
      <c r="GK146" s="14" t="str">
        <f t="shared" si="412"/>
        <v xml:space="preserve"> </v>
      </c>
      <c r="GL146" s="14" t="str">
        <f t="shared" si="413"/>
        <v xml:space="preserve"> </v>
      </c>
      <c r="GM146" s="27" t="str">
        <f t="shared" si="520"/>
        <v xml:space="preserve"> </v>
      </c>
      <c r="GN146" s="14" t="str">
        <f t="shared" si="415"/>
        <v xml:space="preserve"> </v>
      </c>
      <c r="GO146" s="14" t="str">
        <f t="shared" si="416"/>
        <v xml:space="preserve"> </v>
      </c>
      <c r="GP146" s="14" t="str">
        <f t="shared" si="417"/>
        <v xml:space="preserve"> </v>
      </c>
      <c r="GQ146" s="14" t="str">
        <f t="shared" si="418"/>
        <v xml:space="preserve"> </v>
      </c>
      <c r="GR146" s="14" t="str">
        <f t="shared" si="419"/>
        <v xml:space="preserve"> </v>
      </c>
      <c r="GS146" s="27" t="str">
        <f t="shared" si="520"/>
        <v xml:space="preserve"> </v>
      </c>
      <c r="GT146" s="14" t="str">
        <f t="shared" si="421"/>
        <v xml:space="preserve"> </v>
      </c>
      <c r="GU146" s="14" t="str">
        <f t="shared" si="422"/>
        <v xml:space="preserve"> </v>
      </c>
      <c r="GV146" s="14" t="str">
        <f t="shared" si="423"/>
        <v xml:space="preserve"> </v>
      </c>
      <c r="GW146" s="14" t="str">
        <f t="shared" si="424"/>
        <v xml:space="preserve"> </v>
      </c>
      <c r="GX146" s="14" t="str">
        <f t="shared" si="425"/>
        <v xml:space="preserve"> </v>
      </c>
      <c r="GY146" s="27" t="str">
        <f t="shared" si="520"/>
        <v xml:space="preserve"> </v>
      </c>
      <c r="GZ146" s="14" t="str">
        <f t="shared" si="427"/>
        <v xml:space="preserve"> </v>
      </c>
      <c r="HA146" s="14" t="str">
        <f t="shared" si="428"/>
        <v xml:space="preserve"> </v>
      </c>
      <c r="HB146" s="14" t="str">
        <f t="shared" si="429"/>
        <v xml:space="preserve"> </v>
      </c>
      <c r="HC146" s="14" t="str">
        <f t="shared" si="430"/>
        <v xml:space="preserve"> </v>
      </c>
      <c r="HD146" s="14" t="str">
        <f t="shared" si="431"/>
        <v xml:space="preserve"> </v>
      </c>
      <c r="HE146" s="27" t="str">
        <f t="shared" si="521"/>
        <v xml:space="preserve"> </v>
      </c>
      <c r="HF146" s="14" t="str">
        <f t="shared" si="433"/>
        <v xml:space="preserve"> </v>
      </c>
      <c r="HG146" s="14" t="str">
        <f t="shared" si="434"/>
        <v xml:space="preserve"> </v>
      </c>
      <c r="HH146" s="14" t="str">
        <f t="shared" si="435"/>
        <v xml:space="preserve"> </v>
      </c>
      <c r="HI146" s="14" t="str">
        <f t="shared" si="436"/>
        <v xml:space="preserve"> </v>
      </c>
      <c r="HJ146" s="14" t="str">
        <f t="shared" si="437"/>
        <v xml:space="preserve"> </v>
      </c>
      <c r="HK146" s="27" t="str">
        <f t="shared" si="521"/>
        <v xml:space="preserve"> </v>
      </c>
      <c r="HL146" s="14" t="str">
        <f t="shared" si="439"/>
        <v xml:space="preserve"> </v>
      </c>
      <c r="HM146" s="14" t="str">
        <f t="shared" si="440"/>
        <v xml:space="preserve"> </v>
      </c>
      <c r="HN146" s="14" t="str">
        <f t="shared" si="441"/>
        <v xml:space="preserve"> </v>
      </c>
      <c r="HO146" s="14" t="str">
        <f t="shared" si="442"/>
        <v xml:space="preserve"> </v>
      </c>
      <c r="HP146" s="14" t="str">
        <f t="shared" si="443"/>
        <v xml:space="preserve"> </v>
      </c>
      <c r="HQ146" s="27" t="str">
        <f t="shared" si="521"/>
        <v xml:space="preserve"> </v>
      </c>
    </row>
    <row r="147" spans="1:225" ht="15.75" customHeight="1">
      <c r="A147" s="7">
        <f t="shared" ref="A147:C147" si="524">A39</f>
        <v>0</v>
      </c>
      <c r="B147" s="7">
        <f t="shared" si="524"/>
        <v>0</v>
      </c>
      <c r="C147" s="7" t="str">
        <f t="shared" si="524"/>
        <v>finance</v>
      </c>
      <c r="D147" s="14" t="str">
        <f t="shared" si="446"/>
        <v xml:space="preserve"> </v>
      </c>
      <c r="E147" s="14" t="str">
        <f t="shared" si="447"/>
        <v xml:space="preserve"> </v>
      </c>
      <c r="F147" s="14" t="str">
        <f t="shared" si="448"/>
        <v xml:space="preserve"> </v>
      </c>
      <c r="G147" s="14" t="str">
        <f t="shared" si="449"/>
        <v xml:space="preserve">efficiency(1), user rules and manuals(2.1), organizational rules and manuals(2.1),  </v>
      </c>
      <c r="H147" s="14" t="str">
        <f t="shared" si="450"/>
        <v xml:space="preserve">efficiency(-1,6.25%),  </v>
      </c>
      <c r="I147" s="27" t="str">
        <f t="shared" ref="I147" si="525">IF(I39="",I148,$C147&amp;"("&amp;I39&amp;"),"&amp;I148)</f>
        <v xml:space="preserve">efficiency(6.25), </v>
      </c>
      <c r="J147" s="14" t="str">
        <f t="shared" si="229"/>
        <v xml:space="preserve"> </v>
      </c>
      <c r="K147" s="14" t="str">
        <f t="shared" si="230"/>
        <v xml:space="preserve"> </v>
      </c>
      <c r="L147" s="14" t="str">
        <f t="shared" si="231"/>
        <v xml:space="preserve"> </v>
      </c>
      <c r="M147" s="14" t="str">
        <f t="shared" si="232"/>
        <v xml:space="preserve">efficiency(0.1), organizational rules and manuals(1.1),  </v>
      </c>
      <c r="N147" s="14" t="str">
        <f t="shared" si="233"/>
        <v xml:space="preserve"> </v>
      </c>
      <c r="O147" s="27" t="str">
        <f t="shared" si="518"/>
        <v xml:space="preserve"> </v>
      </c>
      <c r="P147" s="14" t="str">
        <f t="shared" si="235"/>
        <v xml:space="preserve"> </v>
      </c>
      <c r="Q147" s="14" t="str">
        <f t="shared" si="236"/>
        <v xml:space="preserve"> </v>
      </c>
      <c r="R147" s="14" t="str">
        <f t="shared" si="237"/>
        <v xml:space="preserve"> </v>
      </c>
      <c r="S147" s="14" t="str">
        <f t="shared" si="238"/>
        <v xml:space="preserve">team building(0.1),  </v>
      </c>
      <c r="T147" s="14" t="str">
        <f t="shared" si="239"/>
        <v xml:space="preserve">business model(-1,6.25%), web(-1,6.25%), mobile apps(-1,6.25%), aesthetics(-1,6.25%),  </v>
      </c>
      <c r="U147" s="27" t="str">
        <f t="shared" si="518"/>
        <v xml:space="preserve">business model(6.25),web(6.25),mobile apps(6.25),aesthetics(6.25), </v>
      </c>
      <c r="V147" s="14" t="str">
        <f t="shared" si="241"/>
        <v xml:space="preserve"> </v>
      </c>
      <c r="W147" s="14" t="str">
        <f t="shared" si="242"/>
        <v xml:space="preserve">efficiency(-1,25%),  </v>
      </c>
      <c r="X147" s="14" t="str">
        <f t="shared" si="243"/>
        <v xml:space="preserve">efficiency(25)
 </v>
      </c>
      <c r="Y147" s="14" t="str">
        <f t="shared" si="244"/>
        <v xml:space="preserve">administrator(0.1), spaciousness(1), ease of access(3), reputation(2), user rules and manuals(0.1), project management(0.1), negotiation(0.1),  </v>
      </c>
      <c r="Z147" s="14" t="str">
        <f t="shared" si="245"/>
        <v xml:space="preserve">reputation(-1,%),  </v>
      </c>
      <c r="AA147" s="27" t="str">
        <f t="shared" si="518"/>
        <v xml:space="preserve"> </v>
      </c>
      <c r="AB147" s="14" t="str">
        <f t="shared" si="247"/>
        <v xml:space="preserve"> </v>
      </c>
      <c r="AC147" s="14" t="str">
        <f t="shared" si="248"/>
        <v xml:space="preserve"> </v>
      </c>
      <c r="AD147" s="14" t="str">
        <f t="shared" si="249"/>
        <v xml:space="preserve"> </v>
      </c>
      <c r="AE147" s="14" t="str">
        <f t="shared" si="250"/>
        <v xml:space="preserve">spaciousness(1), user rules and manuals(1.1), organizational rules and manuals(1.1),  </v>
      </c>
      <c r="AF147" s="14" t="str">
        <f t="shared" si="251"/>
        <v xml:space="preserve">local biz(-1,6.25%), investors(-1,6.25%), non-profits(-1,6.25%), efficiency(-1,6.25%),  </v>
      </c>
      <c r="AG147" s="27" t="str">
        <f t="shared" si="518"/>
        <v xml:space="preserve">local biz(6.25),investors(6.25),non-profits(6.25),efficiency(6.25), </v>
      </c>
      <c r="AH147" s="14" t="str">
        <f t="shared" si="253"/>
        <v xml:space="preserve">ease of access(1)
reputation(1)
 </v>
      </c>
      <c r="AI147" s="14" t="str">
        <f t="shared" si="254"/>
        <v xml:space="preserve"> </v>
      </c>
      <c r="AJ147" s="14" t="str">
        <f t="shared" si="255"/>
        <v xml:space="preserve"> </v>
      </c>
      <c r="AK147" s="14" t="str">
        <f t="shared" si="256"/>
        <v xml:space="preserve">administrator(2.1), spaciousness(1), ease of access(1), reputation(2), user rules and manuals(2.1), organizational rules and manuals(2.1), law(1.1), negotiation(1.1),  </v>
      </c>
      <c r="AL147" s="14" t="str">
        <f t="shared" si="257"/>
        <v xml:space="preserve">govt(-1,6.25%), non-profits(-1,6.25%), reputation(-1,6.25%),  </v>
      </c>
      <c r="AM147" s="27" t="str">
        <f t="shared" si="518"/>
        <v xml:space="preserve">govt(6.25),non-profits(6.25),reputation(6.25), </v>
      </c>
      <c r="AN147" s="14" t="str">
        <f t="shared" si="259"/>
        <v xml:space="preserve"> </v>
      </c>
      <c r="AO147" s="14" t="str">
        <f t="shared" si="260"/>
        <v xml:space="preserve"> </v>
      </c>
      <c r="AP147" s="14" t="str">
        <f t="shared" si="261"/>
        <v xml:space="preserve"> </v>
      </c>
      <c r="AQ147" s="14" t="str">
        <f t="shared" si="262"/>
        <v xml:space="preserve">spaciousness(2.1), reputation(3), organizational rules and manuals(2.1), team building(2.1),  </v>
      </c>
      <c r="AR147" s="14" t="str">
        <f t="shared" si="263"/>
        <v xml:space="preserve">reputation(-1,6.25%), efficiency(-1,6.25%),  </v>
      </c>
      <c r="AS147" s="27" t="str">
        <f t="shared" si="518"/>
        <v xml:space="preserve">reputation(6.25),efficiency(6.25), </v>
      </c>
      <c r="AT147" s="14" t="str">
        <f t="shared" si="265"/>
        <v xml:space="preserve"> </v>
      </c>
      <c r="AU147" s="14" t="str">
        <f t="shared" si="266"/>
        <v xml:space="preserve"> </v>
      </c>
      <c r="AV147" s="14" t="str">
        <f t="shared" si="267"/>
        <v xml:space="preserve"> </v>
      </c>
      <c r="AW147" s="14" t="str">
        <f t="shared" si="268"/>
        <v xml:space="preserve">user rules and manuals(2.1), team building(2.1),  </v>
      </c>
      <c r="AX147" s="14" t="str">
        <f t="shared" si="269"/>
        <v xml:space="preserve"> </v>
      </c>
      <c r="AY147" s="27" t="str">
        <f t="shared" si="518"/>
        <v xml:space="preserve"> </v>
      </c>
      <c r="AZ147" s="14" t="str">
        <f t="shared" si="271"/>
        <v xml:space="preserve"> </v>
      </c>
      <c r="BA147" s="14" t="str">
        <f t="shared" si="272"/>
        <v xml:space="preserve">efficiency(-1,12.5%), user rules and manuals(1,25%),  </v>
      </c>
      <c r="BB147" s="14" t="str">
        <f t="shared" si="273"/>
        <v xml:space="preserve">efficiency(12.5)
user rules and manuals(25)
 </v>
      </c>
      <c r="BC147" s="14" t="str">
        <f t="shared" si="274"/>
        <v xml:space="preserve">administrator(1.1), user rules and manuals(2.1), organizational rules and manuals(2.1),  </v>
      </c>
      <c r="BD147" s="14" t="str">
        <f t="shared" si="275"/>
        <v xml:space="preserve">reputation(-1,6.25%),  </v>
      </c>
      <c r="BE147" s="27" t="str">
        <f t="shared" si="518"/>
        <v xml:space="preserve">reputation(6.25), </v>
      </c>
      <c r="BF147" s="14" t="str">
        <f t="shared" si="277"/>
        <v xml:space="preserve"> </v>
      </c>
      <c r="BG147" s="14" t="str">
        <f t="shared" si="278"/>
        <v xml:space="preserve">user rules and manuals(1,25%), organizational rules and manuals(1,25%),  </v>
      </c>
      <c r="BH147" s="14" t="str">
        <f t="shared" si="279"/>
        <v xml:space="preserve">user rules and manuals(25)
organizational rules and manuals(25)
 </v>
      </c>
      <c r="BI147" s="14" t="str">
        <f t="shared" si="280"/>
        <v xml:space="preserve">administrator(1.1),  </v>
      </c>
      <c r="BJ147" s="14" t="str">
        <f t="shared" si="281"/>
        <v xml:space="preserve">reputation(-1,6.25%), efficiency(-1,25%),  </v>
      </c>
      <c r="BK147" s="27" t="str">
        <f t="shared" si="518"/>
        <v xml:space="preserve">reputation(6.25),efficiency(25), </v>
      </c>
      <c r="BL147" s="14" t="str">
        <f t="shared" si="283"/>
        <v xml:space="preserve">local biz(1)
ease of access(1)
reputation(1)
aesthetics(1)
 </v>
      </c>
      <c r="BM147" s="14" t="str">
        <f t="shared" si="284"/>
        <v xml:space="preserve">biz enhancement(1,%),  </v>
      </c>
      <c r="BN147" s="14" t="str">
        <f t="shared" si="285"/>
        <v xml:space="preserve"> </v>
      </c>
      <c r="BO147" s="14" t="str">
        <f t="shared" si="286"/>
        <v xml:space="preserve">administrator(2), ease of access(2), reputation(3), efficiency(2), user rules and manuals(1), marketing(1), negotiation(1), aesthetics(2), functions(1), safety(1),  </v>
      </c>
      <c r="BP147" s="14" t="str">
        <f t="shared" si="287"/>
        <v xml:space="preserve">local biz(1,6.25%),  </v>
      </c>
      <c r="BQ147" s="27" t="str">
        <f t="shared" si="518"/>
        <v xml:space="preserve">local biz(6.25), </v>
      </c>
      <c r="BR147" s="14" t="str">
        <f t="shared" si="289"/>
        <v xml:space="preserve">local biz(1)
ease of access(1)
reputation(1)
aesthetics(1)
 </v>
      </c>
      <c r="BS147" s="14" t="str">
        <f t="shared" si="290"/>
        <v xml:space="preserve">biz project(1,%),  </v>
      </c>
      <c r="BT147" s="14" t="str">
        <f t="shared" si="291"/>
        <v xml:space="preserve"> </v>
      </c>
      <c r="BU147" s="14" t="str">
        <f t="shared" si="292"/>
        <v xml:space="preserve">administrator(2), ease of access(2), reputation(3), efficiency(2), user rules and manuals(1), marketing(1), negotiation(1), wood processing(1), aesthetics(2),  </v>
      </c>
      <c r="BV147" s="14" t="str">
        <f t="shared" si="293"/>
        <v xml:space="preserve">local biz(1,6.25%),  </v>
      </c>
      <c r="BW147" s="27" t="str">
        <f t="shared" si="518"/>
        <v xml:space="preserve">local biz(6.25), </v>
      </c>
      <c r="BX147" s="14" t="str">
        <f t="shared" si="295"/>
        <v xml:space="preserve">local biz(1)
ease of access(1)
reputation(1)
aesthetics(1)
interaction(1)
 </v>
      </c>
      <c r="BY147" s="14" t="str">
        <f t="shared" si="296"/>
        <v xml:space="preserve">biz project(1,%),  </v>
      </c>
      <c r="BZ147" s="14" t="str">
        <f t="shared" si="297"/>
        <v xml:space="preserve"> </v>
      </c>
      <c r="CA147" s="14" t="str">
        <f t="shared" si="298"/>
        <v xml:space="preserve">administrator(2), ease of access(2), reputation(3), efficiency(2), user rules and manuals(1), marketing(1), team building(1), social media(1), negotiation(1), web(2), infrastructrue(2), database(2), security(3), aesthetics(2), functions(1), interaction(2),  </v>
      </c>
      <c r="CB147" s="14" t="str">
        <f t="shared" si="299"/>
        <v xml:space="preserve">local biz(1,6.25%),  </v>
      </c>
      <c r="CC147" s="27" t="str">
        <f t="shared" si="519"/>
        <v xml:space="preserve">local biz(6.25), </v>
      </c>
      <c r="CD147" s="14" t="str">
        <f t="shared" si="301"/>
        <v xml:space="preserve">ease of access(1)
reputation(1)
aesthetics(1)
 </v>
      </c>
      <c r="CE147" s="14" t="str">
        <f t="shared" si="302"/>
        <v xml:space="preserve">biz project(1,%),  </v>
      </c>
      <c r="CF147" s="14" t="str">
        <f t="shared" si="303"/>
        <v xml:space="preserve"> </v>
      </c>
      <c r="CG147" s="14" t="str">
        <f t="shared" si="304"/>
        <v xml:space="preserve">administrator(2), ease of access(2), efficiency(2), user rules and manuals(1), marketing(1), team building(1), negotiation(1), infrastructrue(1), database(2), mobile apps(2), security(3), aesthetics(2), functions(1), interaction(2),  </v>
      </c>
      <c r="CH147" s="14" t="str">
        <f t="shared" si="305"/>
        <v xml:space="preserve">local biz(1,6.25%),  </v>
      </c>
      <c r="CI147" s="27" t="str">
        <f t="shared" si="519"/>
        <v xml:space="preserve">local biz(6.25), </v>
      </c>
      <c r="CJ147" s="14" t="str">
        <f t="shared" si="307"/>
        <v xml:space="preserve">ease of access(1)
reputation(1)
aesthetics(1)
 </v>
      </c>
      <c r="CK147" s="14" t="str">
        <f t="shared" si="308"/>
        <v xml:space="preserve">biz project(1,%),  </v>
      </c>
      <c r="CL147" s="14" t="str">
        <f t="shared" si="309"/>
        <v xml:space="preserve"> </v>
      </c>
      <c r="CM147" s="14" t="str">
        <f t="shared" si="310"/>
        <v xml:space="preserve">administrator(2), ease of access(2), reputation(3), efficiency(2), user rules and manuals(1), marketing(2), team building(1), social media(2), negotiation(1), web(2), infrastructrue(2), database(2), mobile apps(2), security(2), aesthetics(2), functions(1), interaction(2),  </v>
      </c>
      <c r="CN147" s="14" t="str">
        <f t="shared" si="311"/>
        <v xml:space="preserve">local biz(1,6.25%),  </v>
      </c>
      <c r="CO147" s="27" t="str">
        <f t="shared" si="519"/>
        <v xml:space="preserve">local biz(6.25), </v>
      </c>
      <c r="CP147" s="14" t="str">
        <f t="shared" si="313"/>
        <v xml:space="preserve">local biz(1)
metal processing(1)
functions(1)
 </v>
      </c>
      <c r="CQ147" s="14" t="str">
        <f t="shared" si="314"/>
        <v xml:space="preserve">local biz(1,50%), biz enhancement(1,50%),  </v>
      </c>
      <c r="CR147" s="14" t="str">
        <f t="shared" si="315"/>
        <v xml:space="preserve">local biz(50)
biz enhancement(50)
 </v>
      </c>
      <c r="CS147" s="14" t="str">
        <f t="shared" si="316"/>
        <v xml:space="preserve">ease of access(2), reputation(3), efficiency(2), metal processing(2), electronics(2), aesthetics(2), functions(2), safety(2),  </v>
      </c>
      <c r="CT147" s="14" t="str">
        <f t="shared" si="317"/>
        <v xml:space="preserve">reputation(1,6.25%),  </v>
      </c>
      <c r="CU147" s="27" t="str">
        <f t="shared" si="519"/>
        <v xml:space="preserve">reputation(6.25), </v>
      </c>
      <c r="CV147" s="14" t="str">
        <f t="shared" si="319"/>
        <v xml:space="preserve">non-profits(1)
wood processing(1)
aesthetics(1)
interaction(1)
 </v>
      </c>
      <c r="CW147" s="14" t="str">
        <f t="shared" si="320"/>
        <v xml:space="preserve">non-profits(1,50%), social project(1,50%),  </v>
      </c>
      <c r="CX147" s="14" t="str">
        <f t="shared" si="321"/>
        <v xml:space="preserve">non-profits(50)
social project(50)
 </v>
      </c>
      <c r="CY147" s="14" t="str">
        <f t="shared" si="322"/>
        <v xml:space="preserve">administrator(2), ease of access(2), efficiency(3), sensors(2), wood processing(2), plastic processing(2), electronics(2), aesthetics(2), functions(1), safety(1), interaction(2),  </v>
      </c>
      <c r="CZ147" s="14" t="str">
        <f t="shared" si="323"/>
        <v xml:space="preserve">media(1,6.25%), reputation(1,6.25%), portfolio(1,6.25%),  </v>
      </c>
      <c r="DA147" s="27" t="str">
        <f t="shared" si="519"/>
        <v xml:space="preserve">media(6.25),reputation(6.25),portfolio(6.25), </v>
      </c>
      <c r="DB147" s="14" t="str">
        <f t="shared" si="325"/>
        <v xml:space="preserve">non-profits(1)
aesthetics(1)
interaction(1)
 </v>
      </c>
      <c r="DC147" s="14" t="str">
        <f t="shared" si="326"/>
        <v xml:space="preserve">non-profits(1,50%), social project(1,50%),  </v>
      </c>
      <c r="DD147" s="14" t="str">
        <f t="shared" si="327"/>
        <v xml:space="preserve">non-profits(50)
social project(50)
 </v>
      </c>
      <c r="DE147" s="14" t="str">
        <f t="shared" si="328"/>
        <v xml:space="preserve">administrator(2), ease of access(2), efficiency(3), VR&amp;AR(2),  </v>
      </c>
      <c r="DF147" s="14" t="str">
        <f t="shared" si="329"/>
        <v xml:space="preserve">media(1,6.25%), reputation(1,6.25%), portfolio(1,6.25%),  </v>
      </c>
      <c r="DG147" s="27" t="str">
        <f t="shared" si="519"/>
        <v xml:space="preserve">media(6.25),reputation(6.25),portfolio(6.25), </v>
      </c>
      <c r="DH147" s="14" t="str">
        <f t="shared" si="331"/>
        <v xml:space="preserve">wood processing(1)
aesthetics(1)
safety(1)
 </v>
      </c>
      <c r="DI147" s="14" t="str">
        <f t="shared" si="332"/>
        <v xml:space="preserve">social project(1,100%),  </v>
      </c>
      <c r="DJ147" s="14" t="str">
        <f t="shared" si="333"/>
        <v xml:space="preserve">social project(100)
 </v>
      </c>
      <c r="DK147" s="14" t="str">
        <f t="shared" si="334"/>
        <v xml:space="preserve">finance(1), 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7" s="14" t="str">
        <f t="shared" si="335"/>
        <v xml:space="preserve">reputation(1,6.25%), portfolio(1,6.25%), team building(1,6.25%),  </v>
      </c>
      <c r="DM147" s="27" t="str">
        <f t="shared" si="519"/>
        <v xml:space="preserve">reputation(6.25),portfolio(6.25),team building(6.25), </v>
      </c>
      <c r="DN147" s="14" t="str">
        <f t="shared" si="337"/>
        <v xml:space="preserve">fame(1)
network(2)
suppliers(2)
spaciousness(1)
ease of access(2)
reputation(3)
project management(2)
wood processing(1)
plastic processing(1)
electronics(1)
aesthetics(2)
functions(1)
safety(1)
biz project(1)
 </v>
      </c>
      <c r="DO147" s="14" t="str">
        <f t="shared" si="338"/>
        <v xml:space="preserve">reputation(1,25%), portfolio(1,50%),  </v>
      </c>
      <c r="DP147" s="14" t="str">
        <f t="shared" si="339"/>
        <v xml:space="preserve">reputation(25)
portfolio(50)
 </v>
      </c>
      <c r="DQ147" s="14" t="str">
        <f t="shared" si="340"/>
        <v xml:space="preserve">administrator(1), media(3), suppliers(3), social media(2), wood processing(2), plastic processing(2), electronics(2), aesthetics(2),  </v>
      </c>
      <c r="DR147" s="14" t="str">
        <f t="shared" si="341"/>
        <v xml:space="preserve">suppliers(1,6.25%), reputation(1,6.25%),  </v>
      </c>
      <c r="DS147" s="27" t="str">
        <f t="shared" si="519"/>
        <v xml:space="preserve">suppliers(6.25),reputation(6.25), </v>
      </c>
      <c r="DT147" s="14" t="str">
        <f t="shared" si="343"/>
        <v xml:space="preserve">fame(1)
network(2)
reputation(3)
portfolio(2)
 </v>
      </c>
      <c r="DU147" s="14" t="str">
        <f t="shared" si="344"/>
        <v xml:space="preserve">fame(1,25%), govt(1,25%), non-profits(1,50%), reputation(1,25%),  </v>
      </c>
      <c r="DV147" s="14" t="str">
        <f t="shared" si="345"/>
        <v xml:space="preserve">fame(25)
govt(25)
non-profits(50)
reputation(25)
 </v>
      </c>
      <c r="DW147" s="14" t="str">
        <f t="shared" si="346"/>
        <v xml:space="preserve">administrator(1), social media(2),  </v>
      </c>
      <c r="DX147" s="14" t="str">
        <f t="shared" si="347"/>
        <v xml:space="preserve">fame(1,6.25%), reputation(1,6.25%),  </v>
      </c>
      <c r="DY147" s="27" t="str">
        <f t="shared" si="519"/>
        <v xml:space="preserve">fame(6.25),reputation(6.25), </v>
      </c>
      <c r="DZ147" s="14" t="str">
        <f t="shared" si="349"/>
        <v xml:space="preserve"> </v>
      </c>
      <c r="EA147" s="14" t="str">
        <f t="shared" si="350"/>
        <v xml:space="preserve"> </v>
      </c>
      <c r="EB147" s="14" t="str">
        <f t="shared" si="351"/>
        <v xml:space="preserve"> </v>
      </c>
      <c r="EC147" s="14" t="str">
        <f t="shared" si="352"/>
        <v xml:space="preserve"> </v>
      </c>
      <c r="ED147" s="14" t="str">
        <f t="shared" si="353"/>
        <v xml:space="preserve"> </v>
      </c>
      <c r="EE147" s="27" t="str">
        <f t="shared" si="519"/>
        <v xml:space="preserve"> </v>
      </c>
      <c r="EF147" s="14" t="str">
        <f t="shared" si="355"/>
        <v xml:space="preserve"> </v>
      </c>
      <c r="EG147" s="14" t="str">
        <f t="shared" si="356"/>
        <v xml:space="preserve"> </v>
      </c>
      <c r="EH147" s="14" t="str">
        <f t="shared" si="357"/>
        <v xml:space="preserve"> </v>
      </c>
      <c r="EI147" s="14" t="str">
        <f t="shared" si="358"/>
        <v xml:space="preserve"> </v>
      </c>
      <c r="EJ147" s="14" t="str">
        <f t="shared" si="359"/>
        <v xml:space="preserve"> </v>
      </c>
      <c r="EK147" s="27" t="str">
        <f t="shared" si="519"/>
        <v xml:space="preserve"> </v>
      </c>
      <c r="EL147" s="14" t="str">
        <f t="shared" si="361"/>
        <v xml:space="preserve"> </v>
      </c>
      <c r="EM147" s="14" t="str">
        <f t="shared" si="362"/>
        <v xml:space="preserve"> </v>
      </c>
      <c r="EN147" s="14" t="str">
        <f t="shared" si="363"/>
        <v xml:space="preserve"> </v>
      </c>
      <c r="EO147" s="14" t="str">
        <f t="shared" si="364"/>
        <v xml:space="preserve"> </v>
      </c>
      <c r="EP147" s="14" t="str">
        <f t="shared" si="365"/>
        <v xml:space="preserve"> </v>
      </c>
      <c r="EQ147" s="27" t="str">
        <f t="shared" si="520"/>
        <v xml:space="preserve"> </v>
      </c>
      <c r="ER147" s="14" t="str">
        <f t="shared" si="367"/>
        <v xml:space="preserve"> </v>
      </c>
      <c r="ES147" s="14" t="str">
        <f t="shared" si="368"/>
        <v xml:space="preserve"> </v>
      </c>
      <c r="ET147" s="14" t="str">
        <f t="shared" si="369"/>
        <v xml:space="preserve"> </v>
      </c>
      <c r="EU147" s="14" t="str">
        <f t="shared" si="370"/>
        <v xml:space="preserve"> </v>
      </c>
      <c r="EV147" s="14" t="str">
        <f t="shared" si="371"/>
        <v xml:space="preserve"> </v>
      </c>
      <c r="EW147" s="27" t="str">
        <f t="shared" si="520"/>
        <v xml:space="preserve"> </v>
      </c>
      <c r="EX147" s="14" t="str">
        <f t="shared" si="373"/>
        <v xml:space="preserve"> </v>
      </c>
      <c r="EY147" s="14" t="str">
        <f t="shared" si="374"/>
        <v xml:space="preserve"> </v>
      </c>
      <c r="EZ147" s="14" t="str">
        <f t="shared" si="375"/>
        <v xml:space="preserve"> </v>
      </c>
      <c r="FA147" s="14" t="str">
        <f t="shared" si="376"/>
        <v xml:space="preserve"> </v>
      </c>
      <c r="FB147" s="14" t="str">
        <f t="shared" si="377"/>
        <v xml:space="preserve"> </v>
      </c>
      <c r="FC147" s="27" t="str">
        <f t="shared" si="520"/>
        <v xml:space="preserve"> </v>
      </c>
      <c r="FD147" s="14" t="str">
        <f t="shared" si="379"/>
        <v xml:space="preserve"> </v>
      </c>
      <c r="FE147" s="14" t="str">
        <f t="shared" si="380"/>
        <v xml:space="preserve"> </v>
      </c>
      <c r="FF147" s="14" t="str">
        <f t="shared" si="381"/>
        <v xml:space="preserve"> </v>
      </c>
      <c r="FG147" s="14" t="str">
        <f t="shared" si="382"/>
        <v xml:space="preserve"> </v>
      </c>
      <c r="FH147" s="14" t="str">
        <f t="shared" si="383"/>
        <v xml:space="preserve"> </v>
      </c>
      <c r="FI147" s="27" t="str">
        <f t="shared" si="520"/>
        <v xml:space="preserve"> </v>
      </c>
      <c r="FJ147" s="14" t="str">
        <f t="shared" si="385"/>
        <v xml:space="preserve"> </v>
      </c>
      <c r="FK147" s="14" t="str">
        <f t="shared" si="386"/>
        <v xml:space="preserve"> </v>
      </c>
      <c r="FL147" s="14" t="str">
        <f t="shared" si="387"/>
        <v xml:space="preserve"> </v>
      </c>
      <c r="FM147" s="14" t="str">
        <f t="shared" si="388"/>
        <v xml:space="preserve"> </v>
      </c>
      <c r="FN147" s="14" t="str">
        <f t="shared" si="389"/>
        <v xml:space="preserve"> </v>
      </c>
      <c r="FO147" s="27" t="str">
        <f t="shared" si="520"/>
        <v xml:space="preserve"> </v>
      </c>
      <c r="FP147" s="14" t="str">
        <f t="shared" si="391"/>
        <v xml:space="preserve"> </v>
      </c>
      <c r="FQ147" s="14" t="str">
        <f t="shared" si="392"/>
        <v xml:space="preserve"> </v>
      </c>
      <c r="FR147" s="14" t="str">
        <f t="shared" si="393"/>
        <v xml:space="preserve"> </v>
      </c>
      <c r="FS147" s="14" t="str">
        <f t="shared" si="394"/>
        <v xml:space="preserve"> </v>
      </c>
      <c r="FT147" s="14" t="str">
        <f t="shared" si="395"/>
        <v xml:space="preserve"> </v>
      </c>
      <c r="FU147" s="27" t="str">
        <f t="shared" si="520"/>
        <v xml:space="preserve"> </v>
      </c>
      <c r="FV147" s="14" t="str">
        <f t="shared" si="397"/>
        <v xml:space="preserve"> </v>
      </c>
      <c r="FW147" s="14" t="str">
        <f t="shared" si="398"/>
        <v xml:space="preserve"> </v>
      </c>
      <c r="FX147" s="14" t="str">
        <f t="shared" si="399"/>
        <v xml:space="preserve"> </v>
      </c>
      <c r="FY147" s="14" t="str">
        <f t="shared" si="400"/>
        <v xml:space="preserve"> </v>
      </c>
      <c r="FZ147" s="14" t="str">
        <f t="shared" si="401"/>
        <v xml:space="preserve"> </v>
      </c>
      <c r="GA147" s="27" t="str">
        <f t="shared" si="520"/>
        <v xml:space="preserve"> </v>
      </c>
      <c r="GB147" s="14" t="str">
        <f t="shared" si="403"/>
        <v xml:space="preserve"> </v>
      </c>
      <c r="GC147" s="14" t="str">
        <f t="shared" si="404"/>
        <v xml:space="preserve"> </v>
      </c>
      <c r="GD147" s="14" t="str">
        <f t="shared" si="405"/>
        <v xml:space="preserve"> </v>
      </c>
      <c r="GE147" s="14" t="str">
        <f t="shared" si="406"/>
        <v xml:space="preserve"> </v>
      </c>
      <c r="GF147" s="14" t="str">
        <f t="shared" si="407"/>
        <v xml:space="preserve"> </v>
      </c>
      <c r="GG147" s="27" t="str">
        <f t="shared" si="520"/>
        <v xml:space="preserve"> </v>
      </c>
      <c r="GH147" s="14" t="str">
        <f t="shared" si="409"/>
        <v xml:space="preserve"> </v>
      </c>
      <c r="GI147" s="14" t="str">
        <f t="shared" si="410"/>
        <v xml:space="preserve"> </v>
      </c>
      <c r="GJ147" s="14" t="str">
        <f t="shared" si="411"/>
        <v xml:space="preserve"> </v>
      </c>
      <c r="GK147" s="14" t="str">
        <f t="shared" si="412"/>
        <v xml:space="preserve"> </v>
      </c>
      <c r="GL147" s="14" t="str">
        <f t="shared" si="413"/>
        <v xml:space="preserve"> </v>
      </c>
      <c r="GM147" s="27" t="str">
        <f t="shared" si="520"/>
        <v xml:space="preserve"> </v>
      </c>
      <c r="GN147" s="14" t="str">
        <f t="shared" si="415"/>
        <v xml:space="preserve"> </v>
      </c>
      <c r="GO147" s="14" t="str">
        <f t="shared" si="416"/>
        <v xml:space="preserve"> </v>
      </c>
      <c r="GP147" s="14" t="str">
        <f t="shared" si="417"/>
        <v xml:space="preserve"> </v>
      </c>
      <c r="GQ147" s="14" t="str">
        <f t="shared" si="418"/>
        <v xml:space="preserve"> </v>
      </c>
      <c r="GR147" s="14" t="str">
        <f t="shared" si="419"/>
        <v xml:space="preserve"> </v>
      </c>
      <c r="GS147" s="27" t="str">
        <f t="shared" si="520"/>
        <v xml:space="preserve"> </v>
      </c>
      <c r="GT147" s="14" t="str">
        <f t="shared" si="421"/>
        <v xml:space="preserve"> </v>
      </c>
      <c r="GU147" s="14" t="str">
        <f t="shared" si="422"/>
        <v xml:space="preserve"> </v>
      </c>
      <c r="GV147" s="14" t="str">
        <f t="shared" si="423"/>
        <v xml:space="preserve"> </v>
      </c>
      <c r="GW147" s="14" t="str">
        <f t="shared" si="424"/>
        <v xml:space="preserve"> </v>
      </c>
      <c r="GX147" s="14" t="str">
        <f t="shared" si="425"/>
        <v xml:space="preserve"> </v>
      </c>
      <c r="GY147" s="27" t="str">
        <f t="shared" si="520"/>
        <v xml:space="preserve"> </v>
      </c>
      <c r="GZ147" s="14" t="str">
        <f t="shared" si="427"/>
        <v xml:space="preserve"> </v>
      </c>
      <c r="HA147" s="14" t="str">
        <f t="shared" si="428"/>
        <v xml:space="preserve"> </v>
      </c>
      <c r="HB147" s="14" t="str">
        <f t="shared" si="429"/>
        <v xml:space="preserve"> </v>
      </c>
      <c r="HC147" s="14" t="str">
        <f t="shared" si="430"/>
        <v xml:space="preserve"> </v>
      </c>
      <c r="HD147" s="14" t="str">
        <f t="shared" si="431"/>
        <v xml:space="preserve"> </v>
      </c>
      <c r="HE147" s="27" t="str">
        <f t="shared" si="521"/>
        <v xml:space="preserve"> </v>
      </c>
      <c r="HF147" s="14" t="str">
        <f t="shared" si="433"/>
        <v xml:space="preserve"> </v>
      </c>
      <c r="HG147" s="14" t="str">
        <f t="shared" si="434"/>
        <v xml:space="preserve"> </v>
      </c>
      <c r="HH147" s="14" t="str">
        <f t="shared" si="435"/>
        <v xml:space="preserve"> </v>
      </c>
      <c r="HI147" s="14" t="str">
        <f t="shared" si="436"/>
        <v xml:space="preserve"> </v>
      </c>
      <c r="HJ147" s="14" t="str">
        <f t="shared" si="437"/>
        <v xml:space="preserve"> </v>
      </c>
      <c r="HK147" s="27" t="str">
        <f t="shared" si="521"/>
        <v xml:space="preserve"> </v>
      </c>
      <c r="HL147" s="14" t="str">
        <f t="shared" si="439"/>
        <v xml:space="preserve"> </v>
      </c>
      <c r="HM147" s="14" t="str">
        <f t="shared" si="440"/>
        <v xml:space="preserve"> </v>
      </c>
      <c r="HN147" s="14" t="str">
        <f t="shared" si="441"/>
        <v xml:space="preserve"> </v>
      </c>
      <c r="HO147" s="14" t="str">
        <f t="shared" si="442"/>
        <v xml:space="preserve"> </v>
      </c>
      <c r="HP147" s="14" t="str">
        <f t="shared" si="443"/>
        <v xml:space="preserve"> </v>
      </c>
      <c r="HQ147" s="27" t="str">
        <f t="shared" si="521"/>
        <v xml:space="preserve"> </v>
      </c>
    </row>
    <row r="148" spans="1:225" ht="15.75" customHeight="1">
      <c r="A148" s="7">
        <f t="shared" ref="A148:C148" si="526">A40</f>
        <v>0</v>
      </c>
      <c r="B148" s="7">
        <f t="shared" si="526"/>
        <v>0</v>
      </c>
      <c r="C148" s="7" t="str">
        <f t="shared" si="526"/>
        <v>administrator</v>
      </c>
      <c r="D148" s="14" t="str">
        <f t="shared" si="446"/>
        <v xml:space="preserve"> </v>
      </c>
      <c r="E148" s="14" t="str">
        <f t="shared" si="447"/>
        <v xml:space="preserve"> </v>
      </c>
      <c r="F148" s="14" t="str">
        <f t="shared" si="448"/>
        <v xml:space="preserve"> </v>
      </c>
      <c r="G148" s="14" t="str">
        <f t="shared" si="449"/>
        <v xml:space="preserve">efficiency(1), user rules and manuals(2.1), organizational rules and manuals(2.1),  </v>
      </c>
      <c r="H148" s="14" t="str">
        <f t="shared" si="450"/>
        <v xml:space="preserve">efficiency(-1,6.25%),  </v>
      </c>
      <c r="I148" s="27" t="str">
        <f t="shared" ref="I148" si="527">IF(I40="",I149,$C148&amp;"("&amp;I40&amp;"),"&amp;I149)</f>
        <v xml:space="preserve">efficiency(6.25), </v>
      </c>
      <c r="J148" s="14" t="str">
        <f t="shared" si="229"/>
        <v xml:space="preserve"> </v>
      </c>
      <c r="K148" s="14" t="str">
        <f t="shared" si="230"/>
        <v xml:space="preserve"> </v>
      </c>
      <c r="L148" s="14" t="str">
        <f t="shared" si="231"/>
        <v xml:space="preserve"> </v>
      </c>
      <c r="M148" s="14" t="str">
        <f t="shared" si="232"/>
        <v xml:space="preserve">efficiency(0.1), organizational rules and manuals(1.1),  </v>
      </c>
      <c r="N148" s="14" t="str">
        <f t="shared" si="233"/>
        <v xml:space="preserve"> </v>
      </c>
      <c r="O148" s="27" t="str">
        <f t="shared" si="518"/>
        <v xml:space="preserve"> </v>
      </c>
      <c r="P148" s="14" t="str">
        <f t="shared" si="235"/>
        <v xml:space="preserve"> </v>
      </c>
      <c r="Q148" s="14" t="str">
        <f t="shared" si="236"/>
        <v xml:space="preserve"> </v>
      </c>
      <c r="R148" s="14" t="str">
        <f t="shared" si="237"/>
        <v xml:space="preserve"> </v>
      </c>
      <c r="S148" s="14" t="str">
        <f t="shared" si="238"/>
        <v xml:space="preserve">team building(0.1),  </v>
      </c>
      <c r="T148" s="14" t="str">
        <f t="shared" si="239"/>
        <v xml:space="preserve">business model(-1,6.25%), web(-1,6.25%), mobile apps(-1,6.25%), aesthetics(-1,6.25%),  </v>
      </c>
      <c r="U148" s="27" t="str">
        <f t="shared" si="518"/>
        <v xml:space="preserve">business model(6.25),web(6.25),mobile apps(6.25),aesthetics(6.25), </v>
      </c>
      <c r="V148" s="14" t="str">
        <f t="shared" si="241"/>
        <v xml:space="preserve"> </v>
      </c>
      <c r="W148" s="14" t="str">
        <f t="shared" si="242"/>
        <v xml:space="preserve">efficiency(-1,25%),  </v>
      </c>
      <c r="X148" s="14" t="str">
        <f t="shared" si="243"/>
        <v xml:space="preserve">efficiency(25)
 </v>
      </c>
      <c r="Y148" s="14" t="str">
        <f t="shared" si="244"/>
        <v xml:space="preserve">administrator(0.1), spaciousness(1), ease of access(3), reputation(2), user rules and manuals(0.1), project management(0.1), negotiation(0.1),  </v>
      </c>
      <c r="Z148" s="14" t="str">
        <f t="shared" si="245"/>
        <v xml:space="preserve">reputation(-1,%),  </v>
      </c>
      <c r="AA148" s="27" t="str">
        <f t="shared" si="518"/>
        <v xml:space="preserve"> </v>
      </c>
      <c r="AB148" s="14" t="str">
        <f t="shared" si="247"/>
        <v xml:space="preserve"> </v>
      </c>
      <c r="AC148" s="14" t="str">
        <f t="shared" si="248"/>
        <v xml:space="preserve"> </v>
      </c>
      <c r="AD148" s="14" t="str">
        <f t="shared" si="249"/>
        <v xml:space="preserve"> </v>
      </c>
      <c r="AE148" s="14" t="str">
        <f t="shared" si="250"/>
        <v xml:space="preserve">spaciousness(1), user rules and manuals(1.1), organizational rules and manuals(1.1),  </v>
      </c>
      <c r="AF148" s="14" t="str">
        <f t="shared" si="251"/>
        <v xml:space="preserve">local biz(-1,6.25%), investors(-1,6.25%), non-profits(-1,6.25%), efficiency(-1,6.25%),  </v>
      </c>
      <c r="AG148" s="27" t="str">
        <f t="shared" si="518"/>
        <v xml:space="preserve">local biz(6.25),investors(6.25),non-profits(6.25),efficiency(6.25), </v>
      </c>
      <c r="AH148" s="14" t="str">
        <f t="shared" si="253"/>
        <v xml:space="preserve">ease of access(1)
reputation(1)
 </v>
      </c>
      <c r="AI148" s="14" t="str">
        <f t="shared" si="254"/>
        <v xml:space="preserve"> </v>
      </c>
      <c r="AJ148" s="14" t="str">
        <f t="shared" si="255"/>
        <v xml:space="preserve"> </v>
      </c>
      <c r="AK148" s="14" t="str">
        <f t="shared" si="256"/>
        <v xml:space="preserve">administrator(2.1), spaciousness(1), ease of access(1), reputation(2), user rules and manuals(2.1), organizational rules and manuals(2.1), law(1.1), negotiation(1.1),  </v>
      </c>
      <c r="AL148" s="14" t="str">
        <f t="shared" si="257"/>
        <v xml:space="preserve">govt(-1,6.25%), non-profits(-1,6.25%), reputation(-1,6.25%),  </v>
      </c>
      <c r="AM148" s="27" t="str">
        <f t="shared" si="518"/>
        <v xml:space="preserve">govt(6.25),non-profits(6.25),reputation(6.25), </v>
      </c>
      <c r="AN148" s="14" t="str">
        <f t="shared" si="259"/>
        <v xml:space="preserve"> </v>
      </c>
      <c r="AO148" s="14" t="str">
        <f t="shared" si="260"/>
        <v xml:space="preserve"> </v>
      </c>
      <c r="AP148" s="14" t="str">
        <f t="shared" si="261"/>
        <v xml:space="preserve"> </v>
      </c>
      <c r="AQ148" s="14" t="str">
        <f t="shared" si="262"/>
        <v xml:space="preserve">spaciousness(2.1), reputation(3), organizational rules and manuals(2.1), team building(2.1),  </v>
      </c>
      <c r="AR148" s="14" t="str">
        <f t="shared" si="263"/>
        <v xml:space="preserve">reputation(-1,6.25%), efficiency(-1,6.25%),  </v>
      </c>
      <c r="AS148" s="27" t="str">
        <f t="shared" si="518"/>
        <v xml:space="preserve">reputation(6.25),efficiency(6.25), </v>
      </c>
      <c r="AT148" s="14" t="str">
        <f t="shared" si="265"/>
        <v xml:space="preserve"> </v>
      </c>
      <c r="AU148" s="14" t="str">
        <f t="shared" si="266"/>
        <v xml:space="preserve"> </v>
      </c>
      <c r="AV148" s="14" t="str">
        <f t="shared" si="267"/>
        <v xml:space="preserve"> </v>
      </c>
      <c r="AW148" s="14" t="str">
        <f t="shared" si="268"/>
        <v xml:space="preserve">user rules and manuals(2.1), team building(2.1),  </v>
      </c>
      <c r="AX148" s="14" t="str">
        <f t="shared" si="269"/>
        <v xml:space="preserve"> </v>
      </c>
      <c r="AY148" s="27" t="str">
        <f t="shared" si="518"/>
        <v xml:space="preserve"> </v>
      </c>
      <c r="AZ148" s="14" t="str">
        <f t="shared" si="271"/>
        <v xml:space="preserve"> </v>
      </c>
      <c r="BA148" s="14" t="str">
        <f t="shared" si="272"/>
        <v xml:space="preserve">efficiency(-1,12.5%), user rules and manuals(1,25%),  </v>
      </c>
      <c r="BB148" s="14" t="str">
        <f t="shared" si="273"/>
        <v xml:space="preserve">efficiency(12.5)
user rules and manuals(25)
 </v>
      </c>
      <c r="BC148" s="14" t="str">
        <f t="shared" si="274"/>
        <v xml:space="preserve">administrator(1.1), user rules and manuals(2.1), organizational rules and manuals(2.1),  </v>
      </c>
      <c r="BD148" s="14" t="str">
        <f t="shared" si="275"/>
        <v xml:space="preserve">reputation(-1,6.25%),  </v>
      </c>
      <c r="BE148" s="27" t="str">
        <f t="shared" si="518"/>
        <v xml:space="preserve">reputation(6.25), </v>
      </c>
      <c r="BF148" s="14" t="str">
        <f t="shared" si="277"/>
        <v xml:space="preserve"> </v>
      </c>
      <c r="BG148" s="14" t="str">
        <f t="shared" si="278"/>
        <v xml:space="preserve">user rules and manuals(1,25%), organizational rules and manuals(1,25%),  </v>
      </c>
      <c r="BH148" s="14" t="str">
        <f t="shared" si="279"/>
        <v xml:space="preserve">user rules and manuals(25)
organizational rules and manuals(25)
 </v>
      </c>
      <c r="BI148" s="14" t="str">
        <f t="shared" si="280"/>
        <v xml:space="preserve">administrator(1.1),  </v>
      </c>
      <c r="BJ148" s="14" t="str">
        <f t="shared" si="281"/>
        <v xml:space="preserve">reputation(-1,6.25%), efficiency(-1,25%),  </v>
      </c>
      <c r="BK148" s="27" t="str">
        <f t="shared" si="518"/>
        <v xml:space="preserve">reputation(6.25),efficiency(25), </v>
      </c>
      <c r="BL148" s="14" t="str">
        <f t="shared" si="283"/>
        <v xml:space="preserve">local biz(1)
ease of access(1)
reputation(1)
aesthetics(1)
 </v>
      </c>
      <c r="BM148" s="14" t="str">
        <f t="shared" si="284"/>
        <v xml:space="preserve">biz enhancement(1,%),  </v>
      </c>
      <c r="BN148" s="14" t="str">
        <f t="shared" si="285"/>
        <v xml:space="preserve"> </v>
      </c>
      <c r="BO148" s="14" t="str">
        <f t="shared" si="286"/>
        <v xml:space="preserve">administrator(2), ease of access(2), reputation(3), efficiency(2), user rules and manuals(1), marketing(1), negotiation(1), aesthetics(2), functions(1), safety(1),  </v>
      </c>
      <c r="BP148" s="14" t="str">
        <f t="shared" si="287"/>
        <v xml:space="preserve">local biz(1,6.25%),  </v>
      </c>
      <c r="BQ148" s="27" t="str">
        <f t="shared" si="518"/>
        <v xml:space="preserve">local biz(6.25), </v>
      </c>
      <c r="BR148" s="14" t="str">
        <f t="shared" si="289"/>
        <v xml:space="preserve">local biz(1)
ease of access(1)
reputation(1)
aesthetics(1)
 </v>
      </c>
      <c r="BS148" s="14" t="str">
        <f t="shared" si="290"/>
        <v xml:space="preserve">biz project(1,%),  </v>
      </c>
      <c r="BT148" s="14" t="str">
        <f t="shared" si="291"/>
        <v xml:space="preserve"> </v>
      </c>
      <c r="BU148" s="14" t="str">
        <f t="shared" si="292"/>
        <v xml:space="preserve">administrator(2), ease of access(2), reputation(3), efficiency(2), user rules and manuals(1), marketing(1), negotiation(1), wood processing(1), aesthetics(2),  </v>
      </c>
      <c r="BV148" s="14" t="str">
        <f t="shared" si="293"/>
        <v xml:space="preserve">local biz(1,6.25%),  </v>
      </c>
      <c r="BW148" s="27" t="str">
        <f t="shared" si="518"/>
        <v xml:space="preserve">local biz(6.25), </v>
      </c>
      <c r="BX148" s="14" t="str">
        <f t="shared" si="295"/>
        <v xml:space="preserve">local biz(1)
ease of access(1)
reputation(1)
aesthetics(1)
interaction(1)
 </v>
      </c>
      <c r="BY148" s="14" t="str">
        <f t="shared" si="296"/>
        <v xml:space="preserve">biz project(1,%),  </v>
      </c>
      <c r="BZ148" s="14" t="str">
        <f t="shared" si="297"/>
        <v xml:space="preserve"> </v>
      </c>
      <c r="CA148" s="14" t="str">
        <f t="shared" si="298"/>
        <v xml:space="preserve">administrator(2), ease of access(2), reputation(3), efficiency(2), user rules and manuals(1), marketing(1), team building(1), social media(1), negotiation(1), web(2), infrastructrue(2), database(2), security(3), aesthetics(2), functions(1), interaction(2),  </v>
      </c>
      <c r="CB148" s="14" t="str">
        <f t="shared" si="299"/>
        <v xml:space="preserve">local biz(1,6.25%),  </v>
      </c>
      <c r="CC148" s="27" t="str">
        <f t="shared" si="519"/>
        <v xml:space="preserve">local biz(6.25), </v>
      </c>
      <c r="CD148" s="14" t="str">
        <f t="shared" si="301"/>
        <v xml:space="preserve">ease of access(1)
reputation(1)
aesthetics(1)
 </v>
      </c>
      <c r="CE148" s="14" t="str">
        <f t="shared" si="302"/>
        <v xml:space="preserve">biz project(1,%),  </v>
      </c>
      <c r="CF148" s="14" t="str">
        <f t="shared" si="303"/>
        <v xml:space="preserve"> </v>
      </c>
      <c r="CG148" s="14" t="str">
        <f t="shared" si="304"/>
        <v xml:space="preserve">administrator(2), ease of access(2), efficiency(2), user rules and manuals(1), marketing(1), team building(1), negotiation(1), infrastructrue(1), database(2), mobile apps(2), security(3), aesthetics(2), functions(1), interaction(2),  </v>
      </c>
      <c r="CH148" s="14" t="str">
        <f t="shared" si="305"/>
        <v xml:space="preserve">local biz(1,6.25%),  </v>
      </c>
      <c r="CI148" s="27" t="str">
        <f t="shared" si="519"/>
        <v xml:space="preserve">local biz(6.25), </v>
      </c>
      <c r="CJ148" s="14" t="str">
        <f t="shared" si="307"/>
        <v xml:space="preserve">ease of access(1)
reputation(1)
aesthetics(1)
 </v>
      </c>
      <c r="CK148" s="14" t="str">
        <f t="shared" si="308"/>
        <v xml:space="preserve">biz project(1,%),  </v>
      </c>
      <c r="CL148" s="14" t="str">
        <f t="shared" si="309"/>
        <v xml:space="preserve"> </v>
      </c>
      <c r="CM148" s="14" t="str">
        <f t="shared" si="310"/>
        <v xml:space="preserve">administrator(2), ease of access(2), reputation(3), efficiency(2), user rules and manuals(1), marketing(2), team building(1), social media(2), negotiation(1), web(2), infrastructrue(2), database(2), mobile apps(2), security(2), aesthetics(2), functions(1), interaction(2),  </v>
      </c>
      <c r="CN148" s="14" t="str">
        <f t="shared" si="311"/>
        <v xml:space="preserve">local biz(1,6.25%),  </v>
      </c>
      <c r="CO148" s="27" t="str">
        <f t="shared" si="519"/>
        <v xml:space="preserve">local biz(6.25), </v>
      </c>
      <c r="CP148" s="14" t="str">
        <f t="shared" si="313"/>
        <v xml:space="preserve">local biz(1)
metal processing(1)
functions(1)
 </v>
      </c>
      <c r="CQ148" s="14" t="str">
        <f t="shared" si="314"/>
        <v xml:space="preserve">local biz(1,50%), biz enhancement(1,50%),  </v>
      </c>
      <c r="CR148" s="14" t="str">
        <f t="shared" si="315"/>
        <v xml:space="preserve">local biz(50)
biz enhancement(50)
 </v>
      </c>
      <c r="CS148" s="14" t="str">
        <f t="shared" si="316"/>
        <v xml:space="preserve">ease of access(2), reputation(3), efficiency(2), metal processing(2), electronics(2), aesthetics(2), functions(2), safety(2),  </v>
      </c>
      <c r="CT148" s="14" t="str">
        <f t="shared" si="317"/>
        <v xml:space="preserve">reputation(1,6.25%),  </v>
      </c>
      <c r="CU148" s="27" t="str">
        <f t="shared" si="519"/>
        <v xml:space="preserve">reputation(6.25), </v>
      </c>
      <c r="CV148" s="14" t="str">
        <f t="shared" si="319"/>
        <v xml:space="preserve">non-profits(1)
wood processing(1)
aesthetics(1)
interaction(1)
 </v>
      </c>
      <c r="CW148" s="14" t="str">
        <f t="shared" si="320"/>
        <v xml:space="preserve">non-profits(1,50%), social project(1,50%),  </v>
      </c>
      <c r="CX148" s="14" t="str">
        <f t="shared" si="321"/>
        <v xml:space="preserve">non-profits(50)
social project(50)
 </v>
      </c>
      <c r="CY148" s="14" t="str">
        <f t="shared" si="322"/>
        <v xml:space="preserve">administrator(2), ease of access(2), efficiency(3), sensors(2), wood processing(2), plastic processing(2), electronics(2), aesthetics(2), functions(1), safety(1), interaction(2),  </v>
      </c>
      <c r="CZ148" s="14" t="str">
        <f t="shared" si="323"/>
        <v xml:space="preserve">media(1,6.25%), reputation(1,6.25%), portfolio(1,6.25%),  </v>
      </c>
      <c r="DA148" s="27" t="str">
        <f t="shared" si="519"/>
        <v xml:space="preserve">media(6.25),reputation(6.25),portfolio(6.25), </v>
      </c>
      <c r="DB148" s="14" t="str">
        <f t="shared" si="325"/>
        <v xml:space="preserve">non-profits(1)
aesthetics(1)
interaction(1)
 </v>
      </c>
      <c r="DC148" s="14" t="str">
        <f t="shared" si="326"/>
        <v xml:space="preserve">non-profits(1,50%), social project(1,50%),  </v>
      </c>
      <c r="DD148" s="14" t="str">
        <f t="shared" si="327"/>
        <v xml:space="preserve">non-profits(50)
social project(50)
 </v>
      </c>
      <c r="DE148" s="14" t="str">
        <f t="shared" si="328"/>
        <v xml:space="preserve">administrator(2), ease of access(2), efficiency(3), VR&amp;AR(2),  </v>
      </c>
      <c r="DF148" s="14" t="str">
        <f t="shared" si="329"/>
        <v xml:space="preserve">media(1,6.25%), reputation(1,6.25%), portfolio(1,6.25%),  </v>
      </c>
      <c r="DG148" s="27" t="str">
        <f t="shared" si="519"/>
        <v xml:space="preserve">media(6.25),reputation(6.25),portfolio(6.25), </v>
      </c>
      <c r="DH148" s="14" t="str">
        <f t="shared" si="331"/>
        <v xml:space="preserve">wood processing(1)
aesthetics(1)
safety(1)
 </v>
      </c>
      <c r="DI148" s="14" t="str">
        <f t="shared" si="332"/>
        <v xml:space="preserve">social project(1,100%),  </v>
      </c>
      <c r="DJ148" s="14" t="str">
        <f t="shared" si="333"/>
        <v xml:space="preserve">social project(100)
 </v>
      </c>
      <c r="DK148" s="14" t="str">
        <f t="shared" si="334"/>
        <v xml:space="preserve">administrator(1), 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8" s="14" t="str">
        <f t="shared" si="335"/>
        <v xml:space="preserve">reputation(1,6.25%), portfolio(1,6.25%), team building(1,6.25%),  </v>
      </c>
      <c r="DM148" s="27" t="str">
        <f t="shared" si="519"/>
        <v xml:space="preserve">reputation(6.25),portfolio(6.25),team building(6.25), </v>
      </c>
      <c r="DN148" s="14" t="str">
        <f t="shared" si="337"/>
        <v xml:space="preserve">fame(1)
network(2)
suppliers(2)
spaciousness(1)
ease of access(2)
reputation(3)
project management(2)
wood processing(1)
plastic processing(1)
electronics(1)
aesthetics(2)
functions(1)
safety(1)
biz project(1)
 </v>
      </c>
      <c r="DO148" s="14" t="str">
        <f t="shared" si="338"/>
        <v xml:space="preserve">reputation(1,25%), portfolio(1,50%),  </v>
      </c>
      <c r="DP148" s="14" t="str">
        <f t="shared" si="339"/>
        <v xml:space="preserve">reputation(25)
portfolio(50)
 </v>
      </c>
      <c r="DQ148" s="14" t="str">
        <f t="shared" si="340"/>
        <v xml:space="preserve">administrator(1), media(3), suppliers(3), social media(2), wood processing(2), plastic processing(2), electronics(2), aesthetics(2),  </v>
      </c>
      <c r="DR148" s="14" t="str">
        <f t="shared" si="341"/>
        <v xml:space="preserve">suppliers(1,6.25%), reputation(1,6.25%),  </v>
      </c>
      <c r="DS148" s="27" t="str">
        <f t="shared" si="519"/>
        <v xml:space="preserve">suppliers(6.25),reputation(6.25), </v>
      </c>
      <c r="DT148" s="14" t="str">
        <f t="shared" si="343"/>
        <v xml:space="preserve">fame(1)
network(2)
reputation(3)
portfolio(2)
 </v>
      </c>
      <c r="DU148" s="14" t="str">
        <f t="shared" si="344"/>
        <v xml:space="preserve">fame(1,25%), govt(1,25%), non-profits(1,50%), reputation(1,25%),  </v>
      </c>
      <c r="DV148" s="14" t="str">
        <f t="shared" si="345"/>
        <v xml:space="preserve">fame(25)
govt(25)
non-profits(50)
reputation(25)
 </v>
      </c>
      <c r="DW148" s="14" t="str">
        <f t="shared" si="346"/>
        <v xml:space="preserve">administrator(1), social media(2),  </v>
      </c>
      <c r="DX148" s="14" t="str">
        <f t="shared" si="347"/>
        <v xml:space="preserve">fame(1,6.25%), reputation(1,6.25%),  </v>
      </c>
      <c r="DY148" s="27" t="str">
        <f t="shared" si="519"/>
        <v xml:space="preserve">fame(6.25),reputation(6.25), </v>
      </c>
      <c r="DZ148" s="14" t="str">
        <f t="shared" si="349"/>
        <v xml:space="preserve"> </v>
      </c>
      <c r="EA148" s="14" t="str">
        <f t="shared" si="350"/>
        <v xml:space="preserve"> </v>
      </c>
      <c r="EB148" s="14" t="str">
        <f t="shared" si="351"/>
        <v xml:space="preserve"> </v>
      </c>
      <c r="EC148" s="14" t="str">
        <f t="shared" si="352"/>
        <v xml:space="preserve"> </v>
      </c>
      <c r="ED148" s="14" t="str">
        <f t="shared" si="353"/>
        <v xml:space="preserve"> </v>
      </c>
      <c r="EE148" s="27" t="str">
        <f t="shared" si="519"/>
        <v xml:space="preserve"> </v>
      </c>
      <c r="EF148" s="14" t="str">
        <f t="shared" si="355"/>
        <v xml:space="preserve"> </v>
      </c>
      <c r="EG148" s="14" t="str">
        <f t="shared" si="356"/>
        <v xml:space="preserve"> </v>
      </c>
      <c r="EH148" s="14" t="str">
        <f t="shared" si="357"/>
        <v xml:space="preserve"> </v>
      </c>
      <c r="EI148" s="14" t="str">
        <f t="shared" si="358"/>
        <v xml:space="preserve"> </v>
      </c>
      <c r="EJ148" s="14" t="str">
        <f t="shared" si="359"/>
        <v xml:space="preserve"> </v>
      </c>
      <c r="EK148" s="27" t="str">
        <f t="shared" si="519"/>
        <v xml:space="preserve"> </v>
      </c>
      <c r="EL148" s="14" t="str">
        <f t="shared" si="361"/>
        <v xml:space="preserve"> </v>
      </c>
      <c r="EM148" s="14" t="str">
        <f t="shared" si="362"/>
        <v xml:space="preserve"> </v>
      </c>
      <c r="EN148" s="14" t="str">
        <f t="shared" si="363"/>
        <v xml:space="preserve"> </v>
      </c>
      <c r="EO148" s="14" t="str">
        <f t="shared" si="364"/>
        <v xml:space="preserve"> </v>
      </c>
      <c r="EP148" s="14" t="str">
        <f t="shared" si="365"/>
        <v xml:space="preserve"> </v>
      </c>
      <c r="EQ148" s="27" t="str">
        <f t="shared" si="520"/>
        <v xml:space="preserve"> </v>
      </c>
      <c r="ER148" s="14" t="str">
        <f t="shared" si="367"/>
        <v xml:space="preserve"> </v>
      </c>
      <c r="ES148" s="14" t="str">
        <f t="shared" si="368"/>
        <v xml:space="preserve"> </v>
      </c>
      <c r="ET148" s="14" t="str">
        <f t="shared" si="369"/>
        <v xml:space="preserve"> </v>
      </c>
      <c r="EU148" s="14" t="str">
        <f t="shared" si="370"/>
        <v xml:space="preserve"> </v>
      </c>
      <c r="EV148" s="14" t="str">
        <f t="shared" si="371"/>
        <v xml:space="preserve"> </v>
      </c>
      <c r="EW148" s="27" t="str">
        <f t="shared" si="520"/>
        <v xml:space="preserve"> </v>
      </c>
      <c r="EX148" s="14" t="str">
        <f t="shared" si="373"/>
        <v xml:space="preserve"> </v>
      </c>
      <c r="EY148" s="14" t="str">
        <f t="shared" si="374"/>
        <v xml:space="preserve"> </v>
      </c>
      <c r="EZ148" s="14" t="str">
        <f t="shared" si="375"/>
        <v xml:space="preserve"> </v>
      </c>
      <c r="FA148" s="14" t="str">
        <f t="shared" si="376"/>
        <v xml:space="preserve"> </v>
      </c>
      <c r="FB148" s="14" t="str">
        <f t="shared" si="377"/>
        <v xml:space="preserve"> </v>
      </c>
      <c r="FC148" s="27" t="str">
        <f t="shared" si="520"/>
        <v xml:space="preserve"> </v>
      </c>
      <c r="FD148" s="14" t="str">
        <f t="shared" si="379"/>
        <v xml:space="preserve"> </v>
      </c>
      <c r="FE148" s="14" t="str">
        <f t="shared" si="380"/>
        <v xml:space="preserve"> </v>
      </c>
      <c r="FF148" s="14" t="str">
        <f t="shared" si="381"/>
        <v xml:space="preserve"> </v>
      </c>
      <c r="FG148" s="14" t="str">
        <f t="shared" si="382"/>
        <v xml:space="preserve"> </v>
      </c>
      <c r="FH148" s="14" t="str">
        <f t="shared" si="383"/>
        <v xml:space="preserve"> </v>
      </c>
      <c r="FI148" s="27" t="str">
        <f t="shared" si="520"/>
        <v xml:space="preserve"> </v>
      </c>
      <c r="FJ148" s="14" t="str">
        <f t="shared" si="385"/>
        <v xml:space="preserve"> </v>
      </c>
      <c r="FK148" s="14" t="str">
        <f t="shared" si="386"/>
        <v xml:space="preserve"> </v>
      </c>
      <c r="FL148" s="14" t="str">
        <f t="shared" si="387"/>
        <v xml:space="preserve"> </v>
      </c>
      <c r="FM148" s="14" t="str">
        <f t="shared" si="388"/>
        <v xml:space="preserve"> </v>
      </c>
      <c r="FN148" s="14" t="str">
        <f t="shared" si="389"/>
        <v xml:space="preserve"> </v>
      </c>
      <c r="FO148" s="27" t="str">
        <f t="shared" si="520"/>
        <v xml:space="preserve"> </v>
      </c>
      <c r="FP148" s="14" t="str">
        <f t="shared" si="391"/>
        <v xml:space="preserve"> </v>
      </c>
      <c r="FQ148" s="14" t="str">
        <f t="shared" si="392"/>
        <v xml:space="preserve"> </v>
      </c>
      <c r="FR148" s="14" t="str">
        <f t="shared" si="393"/>
        <v xml:space="preserve"> </v>
      </c>
      <c r="FS148" s="14" t="str">
        <f t="shared" si="394"/>
        <v xml:space="preserve"> </v>
      </c>
      <c r="FT148" s="14" t="str">
        <f t="shared" si="395"/>
        <v xml:space="preserve"> </v>
      </c>
      <c r="FU148" s="27" t="str">
        <f t="shared" si="520"/>
        <v xml:space="preserve"> </v>
      </c>
      <c r="FV148" s="14" t="str">
        <f t="shared" si="397"/>
        <v xml:space="preserve"> </v>
      </c>
      <c r="FW148" s="14" t="str">
        <f t="shared" si="398"/>
        <v xml:space="preserve"> </v>
      </c>
      <c r="FX148" s="14" t="str">
        <f t="shared" si="399"/>
        <v xml:space="preserve"> </v>
      </c>
      <c r="FY148" s="14" t="str">
        <f t="shared" si="400"/>
        <v xml:space="preserve"> </v>
      </c>
      <c r="FZ148" s="14" t="str">
        <f t="shared" si="401"/>
        <v xml:space="preserve"> </v>
      </c>
      <c r="GA148" s="27" t="str">
        <f t="shared" si="520"/>
        <v xml:space="preserve"> </v>
      </c>
      <c r="GB148" s="14" t="str">
        <f t="shared" si="403"/>
        <v xml:space="preserve"> </v>
      </c>
      <c r="GC148" s="14" t="str">
        <f t="shared" si="404"/>
        <v xml:space="preserve"> </v>
      </c>
      <c r="GD148" s="14" t="str">
        <f t="shared" si="405"/>
        <v xml:space="preserve"> </v>
      </c>
      <c r="GE148" s="14" t="str">
        <f t="shared" si="406"/>
        <v xml:space="preserve"> </v>
      </c>
      <c r="GF148" s="14" t="str">
        <f t="shared" si="407"/>
        <v xml:space="preserve"> </v>
      </c>
      <c r="GG148" s="27" t="str">
        <f t="shared" si="520"/>
        <v xml:space="preserve"> </v>
      </c>
      <c r="GH148" s="14" t="str">
        <f t="shared" si="409"/>
        <v xml:space="preserve"> </v>
      </c>
      <c r="GI148" s="14" t="str">
        <f t="shared" si="410"/>
        <v xml:space="preserve"> </v>
      </c>
      <c r="GJ148" s="14" t="str">
        <f t="shared" si="411"/>
        <v xml:space="preserve"> </v>
      </c>
      <c r="GK148" s="14" t="str">
        <f t="shared" si="412"/>
        <v xml:space="preserve"> </v>
      </c>
      <c r="GL148" s="14" t="str">
        <f t="shared" si="413"/>
        <v xml:space="preserve"> </v>
      </c>
      <c r="GM148" s="27" t="str">
        <f t="shared" si="520"/>
        <v xml:space="preserve"> </v>
      </c>
      <c r="GN148" s="14" t="str">
        <f t="shared" si="415"/>
        <v xml:space="preserve"> </v>
      </c>
      <c r="GO148" s="14" t="str">
        <f t="shared" si="416"/>
        <v xml:space="preserve"> </v>
      </c>
      <c r="GP148" s="14" t="str">
        <f t="shared" si="417"/>
        <v xml:space="preserve"> </v>
      </c>
      <c r="GQ148" s="14" t="str">
        <f t="shared" si="418"/>
        <v xml:space="preserve"> </v>
      </c>
      <c r="GR148" s="14" t="str">
        <f t="shared" si="419"/>
        <v xml:space="preserve"> </v>
      </c>
      <c r="GS148" s="27" t="str">
        <f t="shared" si="520"/>
        <v xml:space="preserve"> </v>
      </c>
      <c r="GT148" s="14" t="str">
        <f t="shared" si="421"/>
        <v xml:space="preserve"> </v>
      </c>
      <c r="GU148" s="14" t="str">
        <f t="shared" si="422"/>
        <v xml:space="preserve"> </v>
      </c>
      <c r="GV148" s="14" t="str">
        <f t="shared" si="423"/>
        <v xml:space="preserve"> </v>
      </c>
      <c r="GW148" s="14" t="str">
        <f t="shared" si="424"/>
        <v xml:space="preserve"> </v>
      </c>
      <c r="GX148" s="14" t="str">
        <f t="shared" si="425"/>
        <v xml:space="preserve"> </v>
      </c>
      <c r="GY148" s="27" t="str">
        <f t="shared" si="520"/>
        <v xml:space="preserve"> </v>
      </c>
      <c r="GZ148" s="14" t="str">
        <f t="shared" si="427"/>
        <v xml:space="preserve"> </v>
      </c>
      <c r="HA148" s="14" t="str">
        <f t="shared" si="428"/>
        <v xml:space="preserve"> </v>
      </c>
      <c r="HB148" s="14" t="str">
        <f t="shared" si="429"/>
        <v xml:space="preserve"> </v>
      </c>
      <c r="HC148" s="14" t="str">
        <f t="shared" si="430"/>
        <v xml:space="preserve"> </v>
      </c>
      <c r="HD148" s="14" t="str">
        <f t="shared" si="431"/>
        <v xml:space="preserve"> </v>
      </c>
      <c r="HE148" s="27" t="str">
        <f t="shared" si="521"/>
        <v xml:space="preserve"> </v>
      </c>
      <c r="HF148" s="14" t="str">
        <f t="shared" si="433"/>
        <v xml:space="preserve"> </v>
      </c>
      <c r="HG148" s="14" t="str">
        <f t="shared" si="434"/>
        <v xml:space="preserve"> </v>
      </c>
      <c r="HH148" s="14" t="str">
        <f t="shared" si="435"/>
        <v xml:space="preserve"> </v>
      </c>
      <c r="HI148" s="14" t="str">
        <f t="shared" si="436"/>
        <v xml:space="preserve"> </v>
      </c>
      <c r="HJ148" s="14" t="str">
        <f t="shared" si="437"/>
        <v xml:space="preserve"> </v>
      </c>
      <c r="HK148" s="27" t="str">
        <f t="shared" si="521"/>
        <v xml:space="preserve"> </v>
      </c>
      <c r="HL148" s="14" t="str">
        <f t="shared" si="439"/>
        <v xml:space="preserve"> </v>
      </c>
      <c r="HM148" s="14" t="str">
        <f t="shared" si="440"/>
        <v xml:space="preserve"> </v>
      </c>
      <c r="HN148" s="14" t="str">
        <f t="shared" si="441"/>
        <v xml:space="preserve"> </v>
      </c>
      <c r="HO148" s="14" t="str">
        <f t="shared" si="442"/>
        <v xml:space="preserve"> </v>
      </c>
      <c r="HP148" s="14" t="str">
        <f t="shared" si="443"/>
        <v xml:space="preserve"> </v>
      </c>
      <c r="HQ148" s="27" t="str">
        <f t="shared" si="521"/>
        <v xml:space="preserve"> </v>
      </c>
    </row>
    <row r="149" spans="1:225" ht="15.75" customHeight="1">
      <c r="A149" s="7">
        <f t="shared" ref="A149:C149" si="528">A41</f>
        <v>0</v>
      </c>
      <c r="B149" s="7" t="str">
        <f t="shared" si="528"/>
        <v>board</v>
      </c>
      <c r="C149" s="7" t="str">
        <f t="shared" si="528"/>
        <v>enthusiasm</v>
      </c>
      <c r="D149" s="14" t="str">
        <f t="shared" si="446"/>
        <v xml:space="preserve"> </v>
      </c>
      <c r="E149" s="14" t="str">
        <f t="shared" si="447"/>
        <v xml:space="preserve"> </v>
      </c>
      <c r="F149" s="14" t="str">
        <f t="shared" si="448"/>
        <v xml:space="preserve"> </v>
      </c>
      <c r="G149" s="14" t="str">
        <f t="shared" si="449"/>
        <v xml:space="preserve">efficiency(1), user rules and manuals(2.1), organizational rules and manuals(2.1),  </v>
      </c>
      <c r="H149" s="14" t="str">
        <f t="shared" si="450"/>
        <v xml:space="preserve">efficiency(-1,6.25%),  </v>
      </c>
      <c r="I149" s="27" t="str">
        <f t="shared" ref="I149" si="529">IF(I41="",I150,$C149&amp;"("&amp;I41&amp;"),"&amp;I150)</f>
        <v xml:space="preserve">efficiency(6.25), </v>
      </c>
      <c r="J149" s="14" t="str">
        <f t="shared" si="229"/>
        <v xml:space="preserve"> </v>
      </c>
      <c r="K149" s="14" t="str">
        <f t="shared" si="230"/>
        <v xml:space="preserve"> </v>
      </c>
      <c r="L149" s="14" t="str">
        <f t="shared" si="231"/>
        <v xml:space="preserve"> </v>
      </c>
      <c r="M149" s="14" t="str">
        <f t="shared" si="232"/>
        <v xml:space="preserve">efficiency(0.1), organizational rules and manuals(1.1),  </v>
      </c>
      <c r="N149" s="14" t="str">
        <f t="shared" si="233"/>
        <v xml:space="preserve"> </v>
      </c>
      <c r="O149" s="27" t="str">
        <f t="shared" si="518"/>
        <v xml:space="preserve"> </v>
      </c>
      <c r="P149" s="14" t="str">
        <f t="shared" si="235"/>
        <v xml:space="preserve"> </v>
      </c>
      <c r="Q149" s="14" t="str">
        <f t="shared" si="236"/>
        <v xml:space="preserve"> </v>
      </c>
      <c r="R149" s="14" t="str">
        <f t="shared" si="237"/>
        <v xml:space="preserve"> </v>
      </c>
      <c r="S149" s="14" t="str">
        <f t="shared" si="238"/>
        <v xml:space="preserve">team building(0.1),  </v>
      </c>
      <c r="T149" s="14" t="str">
        <f t="shared" si="239"/>
        <v xml:space="preserve">business model(-1,6.25%), web(-1,6.25%), mobile apps(-1,6.25%), aesthetics(-1,6.25%),  </v>
      </c>
      <c r="U149" s="27" t="str">
        <f t="shared" si="518"/>
        <v xml:space="preserve">business model(6.25),web(6.25),mobile apps(6.25),aesthetics(6.25), </v>
      </c>
      <c r="V149" s="14" t="str">
        <f t="shared" si="241"/>
        <v xml:space="preserve"> </v>
      </c>
      <c r="W149" s="14" t="str">
        <f t="shared" si="242"/>
        <v xml:space="preserve">efficiency(-1,25%),  </v>
      </c>
      <c r="X149" s="14" t="str">
        <f t="shared" si="243"/>
        <v xml:space="preserve">efficiency(25)
 </v>
      </c>
      <c r="Y149" s="14" t="str">
        <f t="shared" si="244"/>
        <v xml:space="preserve">spaciousness(1), ease of access(3), reputation(2), user rules and manuals(0.1), project management(0.1), negotiation(0.1),  </v>
      </c>
      <c r="Z149" s="14" t="str">
        <f t="shared" si="245"/>
        <v xml:space="preserve">reputation(-1,%),  </v>
      </c>
      <c r="AA149" s="27" t="str">
        <f t="shared" si="518"/>
        <v xml:space="preserve"> </v>
      </c>
      <c r="AB149" s="14" t="str">
        <f t="shared" si="247"/>
        <v xml:space="preserve"> </v>
      </c>
      <c r="AC149" s="14" t="str">
        <f t="shared" si="248"/>
        <v xml:space="preserve"> </v>
      </c>
      <c r="AD149" s="14" t="str">
        <f t="shared" si="249"/>
        <v xml:space="preserve"> </v>
      </c>
      <c r="AE149" s="14" t="str">
        <f t="shared" si="250"/>
        <v xml:space="preserve">spaciousness(1), user rules and manuals(1.1), organizational rules and manuals(1.1),  </v>
      </c>
      <c r="AF149" s="14" t="str">
        <f t="shared" si="251"/>
        <v xml:space="preserve">local biz(-1,6.25%), investors(-1,6.25%), non-profits(-1,6.25%), efficiency(-1,6.25%),  </v>
      </c>
      <c r="AG149" s="27" t="str">
        <f t="shared" si="518"/>
        <v xml:space="preserve">local biz(6.25),investors(6.25),non-profits(6.25),efficiency(6.25), </v>
      </c>
      <c r="AH149" s="14" t="str">
        <f t="shared" si="253"/>
        <v xml:space="preserve">ease of access(1)
reputation(1)
 </v>
      </c>
      <c r="AI149" s="14" t="str">
        <f t="shared" si="254"/>
        <v xml:space="preserve"> </v>
      </c>
      <c r="AJ149" s="14" t="str">
        <f t="shared" si="255"/>
        <v xml:space="preserve"> </v>
      </c>
      <c r="AK149" s="14" t="str">
        <f t="shared" si="256"/>
        <v xml:space="preserve">spaciousness(1), ease of access(1), reputation(2), user rules and manuals(2.1), organizational rules and manuals(2.1), law(1.1), negotiation(1.1),  </v>
      </c>
      <c r="AL149" s="14" t="str">
        <f t="shared" si="257"/>
        <v xml:space="preserve">govt(-1,6.25%), non-profits(-1,6.25%), reputation(-1,6.25%),  </v>
      </c>
      <c r="AM149" s="27" t="str">
        <f t="shared" si="518"/>
        <v xml:space="preserve">govt(6.25),non-profits(6.25),reputation(6.25), </v>
      </c>
      <c r="AN149" s="14" t="str">
        <f t="shared" si="259"/>
        <v xml:space="preserve"> </v>
      </c>
      <c r="AO149" s="14" t="str">
        <f t="shared" si="260"/>
        <v xml:space="preserve"> </v>
      </c>
      <c r="AP149" s="14" t="str">
        <f t="shared" si="261"/>
        <v xml:space="preserve"> </v>
      </c>
      <c r="AQ149" s="14" t="str">
        <f t="shared" si="262"/>
        <v xml:space="preserve">spaciousness(2.1), reputation(3), organizational rules and manuals(2.1), team building(2.1),  </v>
      </c>
      <c r="AR149" s="14" t="str">
        <f t="shared" si="263"/>
        <v xml:space="preserve">reputation(-1,6.25%), efficiency(-1,6.25%),  </v>
      </c>
      <c r="AS149" s="27" t="str">
        <f t="shared" si="518"/>
        <v xml:space="preserve">reputation(6.25),efficiency(6.25), </v>
      </c>
      <c r="AT149" s="14" t="str">
        <f t="shared" si="265"/>
        <v xml:space="preserve"> </v>
      </c>
      <c r="AU149" s="14" t="str">
        <f t="shared" si="266"/>
        <v xml:space="preserve"> </v>
      </c>
      <c r="AV149" s="14" t="str">
        <f t="shared" si="267"/>
        <v xml:space="preserve"> </v>
      </c>
      <c r="AW149" s="14" t="str">
        <f t="shared" si="268"/>
        <v xml:space="preserve">user rules and manuals(2.1), team building(2.1),  </v>
      </c>
      <c r="AX149" s="14" t="str">
        <f t="shared" si="269"/>
        <v xml:space="preserve"> </v>
      </c>
      <c r="AY149" s="27" t="str">
        <f t="shared" si="518"/>
        <v xml:space="preserve"> </v>
      </c>
      <c r="AZ149" s="14" t="str">
        <f t="shared" si="271"/>
        <v xml:space="preserve"> </v>
      </c>
      <c r="BA149" s="14" t="str">
        <f t="shared" si="272"/>
        <v xml:space="preserve">efficiency(-1,12.5%), user rules and manuals(1,25%),  </v>
      </c>
      <c r="BB149" s="14" t="str">
        <f t="shared" si="273"/>
        <v xml:space="preserve">efficiency(12.5)
user rules and manuals(25)
 </v>
      </c>
      <c r="BC149" s="14" t="str">
        <f t="shared" si="274"/>
        <v xml:space="preserve">user rules and manuals(2.1), organizational rules and manuals(2.1),  </v>
      </c>
      <c r="BD149" s="14" t="str">
        <f t="shared" si="275"/>
        <v xml:space="preserve">reputation(-1,6.25%),  </v>
      </c>
      <c r="BE149" s="27" t="str">
        <f t="shared" si="518"/>
        <v xml:space="preserve">reputation(6.25), </v>
      </c>
      <c r="BF149" s="14" t="str">
        <f t="shared" si="277"/>
        <v xml:space="preserve"> </v>
      </c>
      <c r="BG149" s="14" t="str">
        <f t="shared" si="278"/>
        <v xml:space="preserve">user rules and manuals(1,25%), organizational rules and manuals(1,25%),  </v>
      </c>
      <c r="BH149" s="14" t="str">
        <f t="shared" si="279"/>
        <v xml:space="preserve">user rules and manuals(25)
organizational rules and manuals(25)
 </v>
      </c>
      <c r="BI149" s="14" t="str">
        <f t="shared" si="280"/>
        <v xml:space="preserve"> </v>
      </c>
      <c r="BJ149" s="14" t="str">
        <f t="shared" si="281"/>
        <v xml:space="preserve">reputation(-1,6.25%), efficiency(-1,25%),  </v>
      </c>
      <c r="BK149" s="27" t="str">
        <f t="shared" si="518"/>
        <v xml:space="preserve">reputation(6.25),efficiency(25), </v>
      </c>
      <c r="BL149" s="14" t="str">
        <f t="shared" si="283"/>
        <v xml:space="preserve">local biz(1)
ease of access(1)
reputation(1)
aesthetics(1)
 </v>
      </c>
      <c r="BM149" s="14" t="str">
        <f t="shared" si="284"/>
        <v xml:space="preserve">biz enhancement(1,%),  </v>
      </c>
      <c r="BN149" s="14" t="str">
        <f t="shared" si="285"/>
        <v xml:space="preserve"> </v>
      </c>
      <c r="BO149" s="14" t="str">
        <f t="shared" si="286"/>
        <v xml:space="preserve">ease of access(2), reputation(3), efficiency(2), user rules and manuals(1), marketing(1), negotiation(1), aesthetics(2), functions(1), safety(1),  </v>
      </c>
      <c r="BP149" s="14" t="str">
        <f t="shared" si="287"/>
        <v xml:space="preserve">local biz(1,6.25%),  </v>
      </c>
      <c r="BQ149" s="27" t="str">
        <f t="shared" si="518"/>
        <v xml:space="preserve">local biz(6.25), </v>
      </c>
      <c r="BR149" s="14" t="str">
        <f t="shared" si="289"/>
        <v xml:space="preserve">local biz(1)
ease of access(1)
reputation(1)
aesthetics(1)
 </v>
      </c>
      <c r="BS149" s="14" t="str">
        <f t="shared" si="290"/>
        <v xml:space="preserve">biz project(1,%),  </v>
      </c>
      <c r="BT149" s="14" t="str">
        <f t="shared" si="291"/>
        <v xml:space="preserve"> </v>
      </c>
      <c r="BU149" s="14" t="str">
        <f t="shared" si="292"/>
        <v xml:space="preserve">ease of access(2), reputation(3), efficiency(2), user rules and manuals(1), marketing(1), negotiation(1), wood processing(1), aesthetics(2),  </v>
      </c>
      <c r="BV149" s="14" t="str">
        <f t="shared" si="293"/>
        <v xml:space="preserve">local biz(1,6.25%),  </v>
      </c>
      <c r="BW149" s="27" t="str">
        <f t="shared" si="518"/>
        <v xml:space="preserve">local biz(6.25), </v>
      </c>
      <c r="BX149" s="14" t="str">
        <f t="shared" si="295"/>
        <v xml:space="preserve">local biz(1)
ease of access(1)
reputation(1)
aesthetics(1)
interaction(1)
 </v>
      </c>
      <c r="BY149" s="14" t="str">
        <f t="shared" si="296"/>
        <v xml:space="preserve">biz project(1,%),  </v>
      </c>
      <c r="BZ149" s="14" t="str">
        <f t="shared" si="297"/>
        <v xml:space="preserve"> </v>
      </c>
      <c r="CA149" s="14" t="str">
        <f t="shared" si="298"/>
        <v xml:space="preserve">ease of access(2), reputation(3), efficiency(2), user rules and manuals(1), marketing(1), team building(1), social media(1), negotiation(1), web(2), infrastructrue(2), database(2), security(3), aesthetics(2), functions(1), interaction(2),  </v>
      </c>
      <c r="CB149" s="14" t="str">
        <f t="shared" si="299"/>
        <v xml:space="preserve">local biz(1,6.25%),  </v>
      </c>
      <c r="CC149" s="27" t="str">
        <f t="shared" si="519"/>
        <v xml:space="preserve">local biz(6.25), </v>
      </c>
      <c r="CD149" s="14" t="str">
        <f t="shared" si="301"/>
        <v xml:space="preserve">ease of access(1)
reputation(1)
aesthetics(1)
 </v>
      </c>
      <c r="CE149" s="14" t="str">
        <f t="shared" si="302"/>
        <v xml:space="preserve">biz project(1,%),  </v>
      </c>
      <c r="CF149" s="14" t="str">
        <f t="shared" si="303"/>
        <v xml:space="preserve"> </v>
      </c>
      <c r="CG149" s="14" t="str">
        <f t="shared" si="304"/>
        <v xml:space="preserve">ease of access(2), efficiency(2), user rules and manuals(1), marketing(1), team building(1), negotiation(1), infrastructrue(1), database(2), mobile apps(2), security(3), aesthetics(2), functions(1), interaction(2),  </v>
      </c>
      <c r="CH149" s="14" t="str">
        <f t="shared" si="305"/>
        <v xml:space="preserve">local biz(1,6.25%),  </v>
      </c>
      <c r="CI149" s="27" t="str">
        <f t="shared" si="519"/>
        <v xml:space="preserve">local biz(6.25), </v>
      </c>
      <c r="CJ149" s="14" t="str">
        <f t="shared" si="307"/>
        <v xml:space="preserve">ease of access(1)
reputation(1)
aesthetics(1)
 </v>
      </c>
      <c r="CK149" s="14" t="str">
        <f t="shared" si="308"/>
        <v xml:space="preserve">biz project(1,%),  </v>
      </c>
      <c r="CL149" s="14" t="str">
        <f t="shared" si="309"/>
        <v xml:space="preserve"> </v>
      </c>
      <c r="CM149" s="14" t="str">
        <f t="shared" si="310"/>
        <v xml:space="preserve">ease of access(2), reputation(3), efficiency(2), user rules and manuals(1), marketing(2), team building(1), social media(2), negotiation(1), web(2), infrastructrue(2), database(2), mobile apps(2), security(2), aesthetics(2), functions(1), interaction(2),  </v>
      </c>
      <c r="CN149" s="14" t="str">
        <f t="shared" si="311"/>
        <v xml:space="preserve">local biz(1,6.25%),  </v>
      </c>
      <c r="CO149" s="27" t="str">
        <f t="shared" si="519"/>
        <v xml:space="preserve">local biz(6.25), </v>
      </c>
      <c r="CP149" s="14" t="str">
        <f t="shared" si="313"/>
        <v xml:space="preserve">local biz(1)
metal processing(1)
functions(1)
 </v>
      </c>
      <c r="CQ149" s="14" t="str">
        <f t="shared" si="314"/>
        <v xml:space="preserve">local biz(1,50%), biz enhancement(1,50%),  </v>
      </c>
      <c r="CR149" s="14" t="str">
        <f t="shared" si="315"/>
        <v xml:space="preserve">local biz(50)
biz enhancement(50)
 </v>
      </c>
      <c r="CS149" s="14" t="str">
        <f t="shared" si="316"/>
        <v xml:space="preserve">ease of access(2), reputation(3), efficiency(2), metal processing(2), electronics(2), aesthetics(2), functions(2), safety(2),  </v>
      </c>
      <c r="CT149" s="14" t="str">
        <f t="shared" si="317"/>
        <v xml:space="preserve">reputation(1,6.25%),  </v>
      </c>
      <c r="CU149" s="27" t="str">
        <f t="shared" si="519"/>
        <v xml:space="preserve">reputation(6.25), </v>
      </c>
      <c r="CV149" s="14" t="str">
        <f t="shared" si="319"/>
        <v xml:space="preserve">non-profits(1)
wood processing(1)
aesthetics(1)
interaction(1)
 </v>
      </c>
      <c r="CW149" s="14" t="str">
        <f t="shared" si="320"/>
        <v xml:space="preserve">non-profits(1,50%), social project(1,50%),  </v>
      </c>
      <c r="CX149" s="14" t="str">
        <f t="shared" si="321"/>
        <v xml:space="preserve">non-profits(50)
social project(50)
 </v>
      </c>
      <c r="CY149" s="14" t="str">
        <f t="shared" si="322"/>
        <v xml:space="preserve">ease of access(2), efficiency(3), sensors(2), wood processing(2), plastic processing(2), electronics(2), aesthetics(2), functions(1), safety(1), interaction(2),  </v>
      </c>
      <c r="CZ149" s="14" t="str">
        <f t="shared" si="323"/>
        <v xml:space="preserve">media(1,6.25%), reputation(1,6.25%), portfolio(1,6.25%),  </v>
      </c>
      <c r="DA149" s="27" t="str">
        <f t="shared" si="519"/>
        <v xml:space="preserve">media(6.25),reputation(6.25),portfolio(6.25), </v>
      </c>
      <c r="DB149" s="14" t="str">
        <f t="shared" si="325"/>
        <v xml:space="preserve">non-profits(1)
aesthetics(1)
interaction(1)
 </v>
      </c>
      <c r="DC149" s="14" t="str">
        <f t="shared" si="326"/>
        <v xml:space="preserve">non-profits(1,50%), social project(1,50%),  </v>
      </c>
      <c r="DD149" s="14" t="str">
        <f t="shared" si="327"/>
        <v xml:space="preserve">non-profits(50)
social project(50)
 </v>
      </c>
      <c r="DE149" s="14" t="str">
        <f t="shared" si="328"/>
        <v xml:space="preserve">ease of access(2), efficiency(3), VR&amp;AR(2),  </v>
      </c>
      <c r="DF149" s="14" t="str">
        <f t="shared" si="329"/>
        <v xml:space="preserve">media(1,6.25%), reputation(1,6.25%), portfolio(1,6.25%),  </v>
      </c>
      <c r="DG149" s="27" t="str">
        <f t="shared" si="519"/>
        <v xml:space="preserve">media(6.25),reputation(6.25),portfolio(6.25), </v>
      </c>
      <c r="DH149" s="14" t="str">
        <f t="shared" si="331"/>
        <v xml:space="preserve">wood processing(1)
aesthetics(1)
safety(1)
 </v>
      </c>
      <c r="DI149" s="14" t="str">
        <f t="shared" si="332"/>
        <v xml:space="preserve">social project(1,100%),  </v>
      </c>
      <c r="DJ149" s="14" t="str">
        <f t="shared" si="333"/>
        <v xml:space="preserve">social project(100)
 </v>
      </c>
      <c r="DK149" s="14" t="str">
        <f t="shared" si="334"/>
        <v xml:space="preserve">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49" s="14" t="str">
        <f t="shared" si="335"/>
        <v xml:space="preserve">reputation(1,6.25%), portfolio(1,6.25%), team building(1,6.25%),  </v>
      </c>
      <c r="DM149" s="27" t="str">
        <f t="shared" si="519"/>
        <v xml:space="preserve">reputation(6.25),portfolio(6.25),team building(6.25), </v>
      </c>
      <c r="DN149" s="14" t="str">
        <f t="shared" si="337"/>
        <v xml:space="preserve">fame(1)
network(2)
suppliers(2)
spaciousness(1)
ease of access(2)
reputation(3)
project management(2)
wood processing(1)
plastic processing(1)
electronics(1)
aesthetics(2)
functions(1)
safety(1)
biz project(1)
 </v>
      </c>
      <c r="DO149" s="14" t="str">
        <f t="shared" si="338"/>
        <v xml:space="preserve">reputation(1,25%), portfolio(1,50%),  </v>
      </c>
      <c r="DP149" s="14" t="str">
        <f t="shared" si="339"/>
        <v xml:space="preserve">reputation(25)
portfolio(50)
 </v>
      </c>
      <c r="DQ149" s="14" t="str">
        <f t="shared" si="340"/>
        <v xml:space="preserve">media(3), suppliers(3), social media(2), wood processing(2), plastic processing(2), electronics(2), aesthetics(2),  </v>
      </c>
      <c r="DR149" s="14" t="str">
        <f t="shared" si="341"/>
        <v xml:space="preserve">suppliers(1,6.25%), reputation(1,6.25%),  </v>
      </c>
      <c r="DS149" s="27" t="str">
        <f t="shared" si="519"/>
        <v xml:space="preserve">suppliers(6.25),reputation(6.25), </v>
      </c>
      <c r="DT149" s="14" t="str">
        <f t="shared" si="343"/>
        <v xml:space="preserve">fame(1)
network(2)
reputation(3)
portfolio(2)
 </v>
      </c>
      <c r="DU149" s="14" t="str">
        <f t="shared" si="344"/>
        <v xml:space="preserve">fame(1,25%), govt(1,25%), non-profits(1,50%), reputation(1,25%),  </v>
      </c>
      <c r="DV149" s="14" t="str">
        <f t="shared" si="345"/>
        <v xml:space="preserve">fame(25)
govt(25)
non-profits(50)
reputation(25)
 </v>
      </c>
      <c r="DW149" s="14" t="str">
        <f t="shared" si="346"/>
        <v xml:space="preserve">social media(2),  </v>
      </c>
      <c r="DX149" s="14" t="str">
        <f t="shared" si="347"/>
        <v xml:space="preserve">fame(1,6.25%), reputation(1,6.25%),  </v>
      </c>
      <c r="DY149" s="27" t="str">
        <f t="shared" si="519"/>
        <v xml:space="preserve">fame(6.25),reputation(6.25), </v>
      </c>
      <c r="DZ149" s="14" t="str">
        <f t="shared" si="349"/>
        <v xml:space="preserve"> </v>
      </c>
      <c r="EA149" s="14" t="str">
        <f t="shared" si="350"/>
        <v xml:space="preserve"> </v>
      </c>
      <c r="EB149" s="14" t="str">
        <f t="shared" si="351"/>
        <v xml:space="preserve"> </v>
      </c>
      <c r="EC149" s="14" t="str">
        <f t="shared" si="352"/>
        <v xml:space="preserve"> </v>
      </c>
      <c r="ED149" s="14" t="str">
        <f t="shared" si="353"/>
        <v xml:space="preserve"> </v>
      </c>
      <c r="EE149" s="27" t="str">
        <f t="shared" si="519"/>
        <v xml:space="preserve"> </v>
      </c>
      <c r="EF149" s="14" t="str">
        <f t="shared" si="355"/>
        <v xml:space="preserve"> </v>
      </c>
      <c r="EG149" s="14" t="str">
        <f t="shared" si="356"/>
        <v xml:space="preserve"> </v>
      </c>
      <c r="EH149" s="14" t="str">
        <f t="shared" si="357"/>
        <v xml:space="preserve"> </v>
      </c>
      <c r="EI149" s="14" t="str">
        <f t="shared" si="358"/>
        <v xml:space="preserve"> </v>
      </c>
      <c r="EJ149" s="14" t="str">
        <f t="shared" si="359"/>
        <v xml:space="preserve"> </v>
      </c>
      <c r="EK149" s="27" t="str">
        <f t="shared" si="519"/>
        <v xml:space="preserve"> </v>
      </c>
      <c r="EL149" s="14" t="str">
        <f t="shared" si="361"/>
        <v xml:space="preserve"> </v>
      </c>
      <c r="EM149" s="14" t="str">
        <f t="shared" si="362"/>
        <v xml:space="preserve"> </v>
      </c>
      <c r="EN149" s="14" t="str">
        <f t="shared" si="363"/>
        <v xml:space="preserve"> </v>
      </c>
      <c r="EO149" s="14" t="str">
        <f t="shared" si="364"/>
        <v xml:space="preserve"> </v>
      </c>
      <c r="EP149" s="14" t="str">
        <f t="shared" si="365"/>
        <v xml:space="preserve"> </v>
      </c>
      <c r="EQ149" s="27" t="str">
        <f t="shared" si="520"/>
        <v xml:space="preserve"> </v>
      </c>
      <c r="ER149" s="14" t="str">
        <f t="shared" si="367"/>
        <v xml:space="preserve"> </v>
      </c>
      <c r="ES149" s="14" t="str">
        <f t="shared" si="368"/>
        <v xml:space="preserve"> </v>
      </c>
      <c r="ET149" s="14" t="str">
        <f t="shared" si="369"/>
        <v xml:space="preserve"> </v>
      </c>
      <c r="EU149" s="14" t="str">
        <f t="shared" si="370"/>
        <v xml:space="preserve"> </v>
      </c>
      <c r="EV149" s="14" t="str">
        <f t="shared" si="371"/>
        <v xml:space="preserve"> </v>
      </c>
      <c r="EW149" s="27" t="str">
        <f t="shared" si="520"/>
        <v xml:space="preserve"> </v>
      </c>
      <c r="EX149" s="14" t="str">
        <f t="shared" si="373"/>
        <v xml:space="preserve"> </v>
      </c>
      <c r="EY149" s="14" t="str">
        <f t="shared" si="374"/>
        <v xml:space="preserve"> </v>
      </c>
      <c r="EZ149" s="14" t="str">
        <f t="shared" si="375"/>
        <v xml:space="preserve"> </v>
      </c>
      <c r="FA149" s="14" t="str">
        <f t="shared" si="376"/>
        <v xml:space="preserve"> </v>
      </c>
      <c r="FB149" s="14" t="str">
        <f t="shared" si="377"/>
        <v xml:space="preserve"> </v>
      </c>
      <c r="FC149" s="27" t="str">
        <f t="shared" si="520"/>
        <v xml:space="preserve"> </v>
      </c>
      <c r="FD149" s="14" t="str">
        <f t="shared" si="379"/>
        <v xml:space="preserve"> </v>
      </c>
      <c r="FE149" s="14" t="str">
        <f t="shared" si="380"/>
        <v xml:space="preserve"> </v>
      </c>
      <c r="FF149" s="14" t="str">
        <f t="shared" si="381"/>
        <v xml:space="preserve"> </v>
      </c>
      <c r="FG149" s="14" t="str">
        <f t="shared" si="382"/>
        <v xml:space="preserve"> </v>
      </c>
      <c r="FH149" s="14" t="str">
        <f t="shared" si="383"/>
        <v xml:space="preserve"> </v>
      </c>
      <c r="FI149" s="27" t="str">
        <f t="shared" si="520"/>
        <v xml:space="preserve"> </v>
      </c>
      <c r="FJ149" s="14" t="str">
        <f t="shared" si="385"/>
        <v xml:space="preserve"> </v>
      </c>
      <c r="FK149" s="14" t="str">
        <f t="shared" si="386"/>
        <v xml:space="preserve"> </v>
      </c>
      <c r="FL149" s="14" t="str">
        <f t="shared" si="387"/>
        <v xml:space="preserve"> </v>
      </c>
      <c r="FM149" s="14" t="str">
        <f t="shared" si="388"/>
        <v xml:space="preserve"> </v>
      </c>
      <c r="FN149" s="14" t="str">
        <f t="shared" si="389"/>
        <v xml:space="preserve"> </v>
      </c>
      <c r="FO149" s="27" t="str">
        <f t="shared" si="520"/>
        <v xml:space="preserve"> </v>
      </c>
      <c r="FP149" s="14" t="str">
        <f t="shared" si="391"/>
        <v xml:space="preserve"> </v>
      </c>
      <c r="FQ149" s="14" t="str">
        <f t="shared" si="392"/>
        <v xml:space="preserve"> </v>
      </c>
      <c r="FR149" s="14" t="str">
        <f t="shared" si="393"/>
        <v xml:space="preserve"> </v>
      </c>
      <c r="FS149" s="14" t="str">
        <f t="shared" si="394"/>
        <v xml:space="preserve"> </v>
      </c>
      <c r="FT149" s="14" t="str">
        <f t="shared" si="395"/>
        <v xml:space="preserve"> </v>
      </c>
      <c r="FU149" s="27" t="str">
        <f t="shared" si="520"/>
        <v xml:space="preserve"> </v>
      </c>
      <c r="FV149" s="14" t="str">
        <f t="shared" si="397"/>
        <v xml:space="preserve"> </v>
      </c>
      <c r="FW149" s="14" t="str">
        <f t="shared" si="398"/>
        <v xml:space="preserve"> </v>
      </c>
      <c r="FX149" s="14" t="str">
        <f t="shared" si="399"/>
        <v xml:space="preserve"> </v>
      </c>
      <c r="FY149" s="14" t="str">
        <f t="shared" si="400"/>
        <v xml:space="preserve"> </v>
      </c>
      <c r="FZ149" s="14" t="str">
        <f t="shared" si="401"/>
        <v xml:space="preserve"> </v>
      </c>
      <c r="GA149" s="27" t="str">
        <f t="shared" si="520"/>
        <v xml:space="preserve"> </v>
      </c>
      <c r="GB149" s="14" t="str">
        <f t="shared" si="403"/>
        <v xml:space="preserve"> </v>
      </c>
      <c r="GC149" s="14" t="str">
        <f t="shared" si="404"/>
        <v xml:space="preserve"> </v>
      </c>
      <c r="GD149" s="14" t="str">
        <f t="shared" si="405"/>
        <v xml:space="preserve"> </v>
      </c>
      <c r="GE149" s="14" t="str">
        <f t="shared" si="406"/>
        <v xml:space="preserve"> </v>
      </c>
      <c r="GF149" s="14" t="str">
        <f t="shared" si="407"/>
        <v xml:space="preserve"> </v>
      </c>
      <c r="GG149" s="27" t="str">
        <f t="shared" si="520"/>
        <v xml:space="preserve"> </v>
      </c>
      <c r="GH149" s="14" t="str">
        <f t="shared" si="409"/>
        <v xml:space="preserve"> </v>
      </c>
      <c r="GI149" s="14" t="str">
        <f t="shared" si="410"/>
        <v xml:space="preserve"> </v>
      </c>
      <c r="GJ149" s="14" t="str">
        <f t="shared" si="411"/>
        <v xml:space="preserve"> </v>
      </c>
      <c r="GK149" s="14" t="str">
        <f t="shared" si="412"/>
        <v xml:space="preserve"> </v>
      </c>
      <c r="GL149" s="14" t="str">
        <f t="shared" si="413"/>
        <v xml:space="preserve"> </v>
      </c>
      <c r="GM149" s="27" t="str">
        <f t="shared" si="520"/>
        <v xml:space="preserve"> </v>
      </c>
      <c r="GN149" s="14" t="str">
        <f t="shared" si="415"/>
        <v xml:space="preserve"> </v>
      </c>
      <c r="GO149" s="14" t="str">
        <f t="shared" si="416"/>
        <v xml:space="preserve"> </v>
      </c>
      <c r="GP149" s="14" t="str">
        <f t="shared" si="417"/>
        <v xml:space="preserve"> </v>
      </c>
      <c r="GQ149" s="14" t="str">
        <f t="shared" si="418"/>
        <v xml:space="preserve"> </v>
      </c>
      <c r="GR149" s="14" t="str">
        <f t="shared" si="419"/>
        <v xml:space="preserve"> </v>
      </c>
      <c r="GS149" s="27" t="str">
        <f t="shared" si="520"/>
        <v xml:space="preserve"> </v>
      </c>
      <c r="GT149" s="14" t="str">
        <f t="shared" si="421"/>
        <v xml:space="preserve"> </v>
      </c>
      <c r="GU149" s="14" t="str">
        <f t="shared" si="422"/>
        <v xml:space="preserve"> </v>
      </c>
      <c r="GV149" s="14" t="str">
        <f t="shared" si="423"/>
        <v xml:space="preserve"> </v>
      </c>
      <c r="GW149" s="14" t="str">
        <f t="shared" si="424"/>
        <v xml:space="preserve"> </v>
      </c>
      <c r="GX149" s="14" t="str">
        <f t="shared" si="425"/>
        <v xml:space="preserve"> </v>
      </c>
      <c r="GY149" s="27" t="str">
        <f t="shared" si="520"/>
        <v xml:space="preserve"> </v>
      </c>
      <c r="GZ149" s="14" t="str">
        <f t="shared" si="427"/>
        <v xml:space="preserve"> </v>
      </c>
      <c r="HA149" s="14" t="str">
        <f t="shared" si="428"/>
        <v xml:space="preserve"> </v>
      </c>
      <c r="HB149" s="14" t="str">
        <f t="shared" si="429"/>
        <v xml:space="preserve"> </v>
      </c>
      <c r="HC149" s="14" t="str">
        <f t="shared" si="430"/>
        <v xml:space="preserve"> </v>
      </c>
      <c r="HD149" s="14" t="str">
        <f t="shared" si="431"/>
        <v xml:space="preserve"> </v>
      </c>
      <c r="HE149" s="27" t="str">
        <f t="shared" si="521"/>
        <v xml:space="preserve"> </v>
      </c>
      <c r="HF149" s="14" t="str">
        <f t="shared" si="433"/>
        <v xml:space="preserve"> </v>
      </c>
      <c r="HG149" s="14" t="str">
        <f t="shared" si="434"/>
        <v xml:space="preserve"> </v>
      </c>
      <c r="HH149" s="14" t="str">
        <f t="shared" si="435"/>
        <v xml:space="preserve"> </v>
      </c>
      <c r="HI149" s="14" t="str">
        <f t="shared" si="436"/>
        <v xml:space="preserve"> </v>
      </c>
      <c r="HJ149" s="14" t="str">
        <f t="shared" si="437"/>
        <v xml:space="preserve"> </v>
      </c>
      <c r="HK149" s="27" t="str">
        <f t="shared" si="521"/>
        <v xml:space="preserve"> </v>
      </c>
      <c r="HL149" s="14" t="str">
        <f t="shared" si="439"/>
        <v xml:space="preserve"> </v>
      </c>
      <c r="HM149" s="14" t="str">
        <f t="shared" si="440"/>
        <v xml:space="preserve"> </v>
      </c>
      <c r="HN149" s="14" t="str">
        <f t="shared" si="441"/>
        <v xml:space="preserve"> </v>
      </c>
      <c r="HO149" s="14" t="str">
        <f t="shared" si="442"/>
        <v xml:space="preserve"> </v>
      </c>
      <c r="HP149" s="14" t="str">
        <f t="shared" si="443"/>
        <v xml:space="preserve"> </v>
      </c>
      <c r="HQ149" s="27" t="str">
        <f t="shared" si="521"/>
        <v xml:space="preserve"> </v>
      </c>
    </row>
    <row r="150" spans="1:225" ht="15.75" customHeight="1">
      <c r="A150" s="7">
        <f t="shared" ref="A150:C150" si="530">A42</f>
        <v>0</v>
      </c>
      <c r="B150" s="7">
        <f t="shared" si="530"/>
        <v>0</v>
      </c>
      <c r="C150" s="7" t="str">
        <f t="shared" si="530"/>
        <v>fame</v>
      </c>
      <c r="D150" s="14" t="str">
        <f t="shared" si="446"/>
        <v xml:space="preserve"> </v>
      </c>
      <c r="E150" s="14" t="str">
        <f t="shared" si="447"/>
        <v xml:space="preserve"> </v>
      </c>
      <c r="F150" s="14" t="str">
        <f t="shared" si="448"/>
        <v xml:space="preserve"> </v>
      </c>
      <c r="G150" s="14" t="str">
        <f t="shared" si="449"/>
        <v xml:space="preserve">efficiency(1), user rules and manuals(2.1), organizational rules and manuals(2.1),  </v>
      </c>
      <c r="H150" s="14" t="str">
        <f t="shared" si="450"/>
        <v xml:space="preserve">efficiency(-1,6.25%),  </v>
      </c>
      <c r="I150" s="27" t="str">
        <f t="shared" ref="I150" si="531">IF(I42="",I151,$C150&amp;"("&amp;I42&amp;"),"&amp;I151)</f>
        <v xml:space="preserve">efficiency(6.25), </v>
      </c>
      <c r="J150" s="14" t="str">
        <f t="shared" si="229"/>
        <v xml:space="preserve"> </v>
      </c>
      <c r="K150" s="14" t="str">
        <f t="shared" si="230"/>
        <v xml:space="preserve"> </v>
      </c>
      <c r="L150" s="14" t="str">
        <f t="shared" si="231"/>
        <v xml:space="preserve"> </v>
      </c>
      <c r="M150" s="14" t="str">
        <f t="shared" si="232"/>
        <v xml:space="preserve">efficiency(0.1), organizational rules and manuals(1.1),  </v>
      </c>
      <c r="N150" s="14" t="str">
        <f t="shared" si="233"/>
        <v xml:space="preserve"> </v>
      </c>
      <c r="O150" s="27" t="str">
        <f t="shared" si="518"/>
        <v xml:space="preserve"> </v>
      </c>
      <c r="P150" s="14" t="str">
        <f t="shared" si="235"/>
        <v xml:space="preserve"> </v>
      </c>
      <c r="Q150" s="14" t="str">
        <f t="shared" si="236"/>
        <v xml:space="preserve"> </v>
      </c>
      <c r="R150" s="14" t="str">
        <f t="shared" si="237"/>
        <v xml:space="preserve"> </v>
      </c>
      <c r="S150" s="14" t="str">
        <f t="shared" si="238"/>
        <v xml:space="preserve">team building(0.1),  </v>
      </c>
      <c r="T150" s="14" t="str">
        <f t="shared" si="239"/>
        <v xml:space="preserve">business model(-1,6.25%), web(-1,6.25%), mobile apps(-1,6.25%), aesthetics(-1,6.25%),  </v>
      </c>
      <c r="U150" s="27" t="str">
        <f t="shared" si="518"/>
        <v xml:space="preserve">business model(6.25),web(6.25),mobile apps(6.25),aesthetics(6.25), </v>
      </c>
      <c r="V150" s="14" t="str">
        <f t="shared" si="241"/>
        <v xml:space="preserve"> </v>
      </c>
      <c r="W150" s="14" t="str">
        <f t="shared" si="242"/>
        <v xml:space="preserve">efficiency(-1,25%),  </v>
      </c>
      <c r="X150" s="14" t="str">
        <f t="shared" si="243"/>
        <v xml:space="preserve">efficiency(25)
 </v>
      </c>
      <c r="Y150" s="14" t="str">
        <f t="shared" si="244"/>
        <v xml:space="preserve">spaciousness(1), ease of access(3), reputation(2), user rules and manuals(0.1), project management(0.1), negotiation(0.1),  </v>
      </c>
      <c r="Z150" s="14" t="str">
        <f t="shared" si="245"/>
        <v xml:space="preserve">reputation(-1,%),  </v>
      </c>
      <c r="AA150" s="27" t="str">
        <f t="shared" si="518"/>
        <v xml:space="preserve"> </v>
      </c>
      <c r="AB150" s="14" t="str">
        <f t="shared" si="247"/>
        <v xml:space="preserve"> </v>
      </c>
      <c r="AC150" s="14" t="str">
        <f t="shared" si="248"/>
        <v xml:space="preserve"> </v>
      </c>
      <c r="AD150" s="14" t="str">
        <f t="shared" si="249"/>
        <v xml:space="preserve"> </v>
      </c>
      <c r="AE150" s="14" t="str">
        <f t="shared" si="250"/>
        <v xml:space="preserve">spaciousness(1), user rules and manuals(1.1), organizational rules and manuals(1.1),  </v>
      </c>
      <c r="AF150" s="14" t="str">
        <f t="shared" si="251"/>
        <v xml:space="preserve">local biz(-1,6.25%), investors(-1,6.25%), non-profits(-1,6.25%), efficiency(-1,6.25%),  </v>
      </c>
      <c r="AG150" s="27" t="str">
        <f t="shared" si="518"/>
        <v xml:space="preserve">local biz(6.25),investors(6.25),non-profits(6.25),efficiency(6.25), </v>
      </c>
      <c r="AH150" s="14" t="str">
        <f t="shared" si="253"/>
        <v xml:space="preserve">ease of access(1)
reputation(1)
 </v>
      </c>
      <c r="AI150" s="14" t="str">
        <f t="shared" si="254"/>
        <v xml:space="preserve"> </v>
      </c>
      <c r="AJ150" s="14" t="str">
        <f t="shared" si="255"/>
        <v xml:space="preserve"> </v>
      </c>
      <c r="AK150" s="14" t="str">
        <f t="shared" si="256"/>
        <v xml:space="preserve">spaciousness(1), ease of access(1), reputation(2), user rules and manuals(2.1), organizational rules and manuals(2.1), law(1.1), negotiation(1.1),  </v>
      </c>
      <c r="AL150" s="14" t="str">
        <f t="shared" si="257"/>
        <v xml:space="preserve">govt(-1,6.25%), non-profits(-1,6.25%), reputation(-1,6.25%),  </v>
      </c>
      <c r="AM150" s="27" t="str">
        <f t="shared" si="518"/>
        <v xml:space="preserve">govt(6.25),non-profits(6.25),reputation(6.25), </v>
      </c>
      <c r="AN150" s="14" t="str">
        <f t="shared" si="259"/>
        <v xml:space="preserve"> </v>
      </c>
      <c r="AO150" s="14" t="str">
        <f t="shared" si="260"/>
        <v xml:space="preserve"> </v>
      </c>
      <c r="AP150" s="14" t="str">
        <f t="shared" si="261"/>
        <v xml:space="preserve"> </v>
      </c>
      <c r="AQ150" s="14" t="str">
        <f t="shared" si="262"/>
        <v xml:space="preserve">spaciousness(2.1), reputation(3), organizational rules and manuals(2.1), team building(2.1),  </v>
      </c>
      <c r="AR150" s="14" t="str">
        <f t="shared" si="263"/>
        <v xml:space="preserve">reputation(-1,6.25%), efficiency(-1,6.25%),  </v>
      </c>
      <c r="AS150" s="27" t="str">
        <f t="shared" si="518"/>
        <v xml:space="preserve">reputation(6.25),efficiency(6.25), </v>
      </c>
      <c r="AT150" s="14" t="str">
        <f t="shared" si="265"/>
        <v xml:space="preserve"> </v>
      </c>
      <c r="AU150" s="14" t="str">
        <f t="shared" si="266"/>
        <v xml:space="preserve"> </v>
      </c>
      <c r="AV150" s="14" t="str">
        <f t="shared" si="267"/>
        <v xml:space="preserve"> </v>
      </c>
      <c r="AW150" s="14" t="str">
        <f t="shared" si="268"/>
        <v xml:space="preserve">user rules and manuals(2.1), team building(2.1),  </v>
      </c>
      <c r="AX150" s="14" t="str">
        <f t="shared" si="269"/>
        <v xml:space="preserve"> </v>
      </c>
      <c r="AY150" s="27" t="str">
        <f t="shared" si="518"/>
        <v xml:space="preserve"> </v>
      </c>
      <c r="AZ150" s="14" t="str">
        <f t="shared" si="271"/>
        <v xml:space="preserve"> </v>
      </c>
      <c r="BA150" s="14" t="str">
        <f t="shared" si="272"/>
        <v xml:space="preserve">efficiency(-1,12.5%), user rules and manuals(1,25%),  </v>
      </c>
      <c r="BB150" s="14" t="str">
        <f t="shared" si="273"/>
        <v xml:space="preserve">efficiency(12.5)
user rules and manuals(25)
 </v>
      </c>
      <c r="BC150" s="14" t="str">
        <f t="shared" si="274"/>
        <v xml:space="preserve">user rules and manuals(2.1), organizational rules and manuals(2.1),  </v>
      </c>
      <c r="BD150" s="14" t="str">
        <f t="shared" si="275"/>
        <v xml:space="preserve">reputation(-1,6.25%),  </v>
      </c>
      <c r="BE150" s="27" t="str">
        <f t="shared" si="518"/>
        <v xml:space="preserve">reputation(6.25), </v>
      </c>
      <c r="BF150" s="14" t="str">
        <f t="shared" si="277"/>
        <v xml:space="preserve"> </v>
      </c>
      <c r="BG150" s="14" t="str">
        <f t="shared" si="278"/>
        <v xml:space="preserve">user rules and manuals(1,25%), organizational rules and manuals(1,25%),  </v>
      </c>
      <c r="BH150" s="14" t="str">
        <f t="shared" si="279"/>
        <v xml:space="preserve">user rules and manuals(25)
organizational rules and manuals(25)
 </v>
      </c>
      <c r="BI150" s="14" t="str">
        <f t="shared" si="280"/>
        <v xml:space="preserve"> </v>
      </c>
      <c r="BJ150" s="14" t="str">
        <f t="shared" si="281"/>
        <v xml:space="preserve">reputation(-1,6.25%), efficiency(-1,25%),  </v>
      </c>
      <c r="BK150" s="27" t="str">
        <f t="shared" si="518"/>
        <v xml:space="preserve">reputation(6.25),efficiency(25), </v>
      </c>
      <c r="BL150" s="14" t="str">
        <f t="shared" si="283"/>
        <v xml:space="preserve">local biz(1)
ease of access(1)
reputation(1)
aesthetics(1)
 </v>
      </c>
      <c r="BM150" s="14" t="str">
        <f t="shared" si="284"/>
        <v xml:space="preserve">biz enhancement(1,%),  </v>
      </c>
      <c r="BN150" s="14" t="str">
        <f t="shared" si="285"/>
        <v xml:space="preserve"> </v>
      </c>
      <c r="BO150" s="14" t="str">
        <f t="shared" si="286"/>
        <v xml:space="preserve">ease of access(2), reputation(3), efficiency(2), user rules and manuals(1), marketing(1), negotiation(1), aesthetics(2), functions(1), safety(1),  </v>
      </c>
      <c r="BP150" s="14" t="str">
        <f t="shared" si="287"/>
        <v xml:space="preserve">local biz(1,6.25%),  </v>
      </c>
      <c r="BQ150" s="27" t="str">
        <f t="shared" si="518"/>
        <v xml:space="preserve">local biz(6.25), </v>
      </c>
      <c r="BR150" s="14" t="str">
        <f t="shared" si="289"/>
        <v xml:space="preserve">local biz(1)
ease of access(1)
reputation(1)
aesthetics(1)
 </v>
      </c>
      <c r="BS150" s="14" t="str">
        <f t="shared" si="290"/>
        <v xml:space="preserve">biz project(1,%),  </v>
      </c>
      <c r="BT150" s="14" t="str">
        <f t="shared" si="291"/>
        <v xml:space="preserve"> </v>
      </c>
      <c r="BU150" s="14" t="str">
        <f t="shared" si="292"/>
        <v xml:space="preserve">ease of access(2), reputation(3), efficiency(2), user rules and manuals(1), marketing(1), negotiation(1), wood processing(1), aesthetics(2),  </v>
      </c>
      <c r="BV150" s="14" t="str">
        <f t="shared" si="293"/>
        <v xml:space="preserve">local biz(1,6.25%),  </v>
      </c>
      <c r="BW150" s="27" t="str">
        <f t="shared" si="518"/>
        <v xml:space="preserve">local biz(6.25), </v>
      </c>
      <c r="BX150" s="14" t="str">
        <f t="shared" si="295"/>
        <v xml:space="preserve">local biz(1)
ease of access(1)
reputation(1)
aesthetics(1)
interaction(1)
 </v>
      </c>
      <c r="BY150" s="14" t="str">
        <f t="shared" si="296"/>
        <v xml:space="preserve">biz project(1,%),  </v>
      </c>
      <c r="BZ150" s="14" t="str">
        <f t="shared" si="297"/>
        <v xml:space="preserve"> </v>
      </c>
      <c r="CA150" s="14" t="str">
        <f t="shared" si="298"/>
        <v xml:space="preserve">ease of access(2), reputation(3), efficiency(2), user rules and manuals(1), marketing(1), team building(1), social media(1), negotiation(1), web(2), infrastructrue(2), database(2), security(3), aesthetics(2), functions(1), interaction(2),  </v>
      </c>
      <c r="CB150" s="14" t="str">
        <f t="shared" si="299"/>
        <v xml:space="preserve">local biz(1,6.25%),  </v>
      </c>
      <c r="CC150" s="27" t="str">
        <f t="shared" si="519"/>
        <v xml:space="preserve">local biz(6.25), </v>
      </c>
      <c r="CD150" s="14" t="str">
        <f t="shared" si="301"/>
        <v xml:space="preserve">ease of access(1)
reputation(1)
aesthetics(1)
 </v>
      </c>
      <c r="CE150" s="14" t="str">
        <f t="shared" si="302"/>
        <v xml:space="preserve">biz project(1,%),  </v>
      </c>
      <c r="CF150" s="14" t="str">
        <f t="shared" si="303"/>
        <v xml:space="preserve"> </v>
      </c>
      <c r="CG150" s="14" t="str">
        <f t="shared" si="304"/>
        <v xml:space="preserve">ease of access(2), efficiency(2), user rules and manuals(1), marketing(1), team building(1), negotiation(1), infrastructrue(1), database(2), mobile apps(2), security(3), aesthetics(2), functions(1), interaction(2),  </v>
      </c>
      <c r="CH150" s="14" t="str">
        <f t="shared" si="305"/>
        <v xml:space="preserve">local biz(1,6.25%),  </v>
      </c>
      <c r="CI150" s="27" t="str">
        <f t="shared" si="519"/>
        <v xml:space="preserve">local biz(6.25), </v>
      </c>
      <c r="CJ150" s="14" t="str">
        <f t="shared" si="307"/>
        <v xml:space="preserve">ease of access(1)
reputation(1)
aesthetics(1)
 </v>
      </c>
      <c r="CK150" s="14" t="str">
        <f t="shared" si="308"/>
        <v xml:space="preserve">biz project(1,%),  </v>
      </c>
      <c r="CL150" s="14" t="str">
        <f t="shared" si="309"/>
        <v xml:space="preserve"> </v>
      </c>
      <c r="CM150" s="14" t="str">
        <f t="shared" si="310"/>
        <v xml:space="preserve">ease of access(2), reputation(3), efficiency(2), user rules and manuals(1), marketing(2), team building(1), social media(2), negotiation(1), web(2), infrastructrue(2), database(2), mobile apps(2), security(2), aesthetics(2), functions(1), interaction(2),  </v>
      </c>
      <c r="CN150" s="14" t="str">
        <f t="shared" si="311"/>
        <v xml:space="preserve">local biz(1,6.25%),  </v>
      </c>
      <c r="CO150" s="27" t="str">
        <f t="shared" si="519"/>
        <v xml:space="preserve">local biz(6.25), </v>
      </c>
      <c r="CP150" s="14" t="str">
        <f t="shared" si="313"/>
        <v xml:space="preserve">local biz(1)
metal processing(1)
functions(1)
 </v>
      </c>
      <c r="CQ150" s="14" t="str">
        <f t="shared" si="314"/>
        <v xml:space="preserve">local biz(1,50%), biz enhancement(1,50%),  </v>
      </c>
      <c r="CR150" s="14" t="str">
        <f t="shared" si="315"/>
        <v xml:space="preserve">local biz(50)
biz enhancement(50)
 </v>
      </c>
      <c r="CS150" s="14" t="str">
        <f t="shared" si="316"/>
        <v xml:space="preserve">ease of access(2), reputation(3), efficiency(2), metal processing(2), electronics(2), aesthetics(2), functions(2), safety(2),  </v>
      </c>
      <c r="CT150" s="14" t="str">
        <f t="shared" si="317"/>
        <v xml:space="preserve">reputation(1,6.25%),  </v>
      </c>
      <c r="CU150" s="27" t="str">
        <f t="shared" si="519"/>
        <v xml:space="preserve">reputation(6.25), </v>
      </c>
      <c r="CV150" s="14" t="str">
        <f t="shared" si="319"/>
        <v xml:space="preserve">non-profits(1)
wood processing(1)
aesthetics(1)
interaction(1)
 </v>
      </c>
      <c r="CW150" s="14" t="str">
        <f t="shared" si="320"/>
        <v xml:space="preserve">non-profits(1,50%), social project(1,50%),  </v>
      </c>
      <c r="CX150" s="14" t="str">
        <f t="shared" si="321"/>
        <v xml:space="preserve">non-profits(50)
social project(50)
 </v>
      </c>
      <c r="CY150" s="14" t="str">
        <f t="shared" si="322"/>
        <v xml:space="preserve">ease of access(2), efficiency(3), sensors(2), wood processing(2), plastic processing(2), electronics(2), aesthetics(2), functions(1), safety(1), interaction(2),  </v>
      </c>
      <c r="CZ150" s="14" t="str">
        <f t="shared" si="323"/>
        <v xml:space="preserve">media(1,6.25%), reputation(1,6.25%), portfolio(1,6.25%),  </v>
      </c>
      <c r="DA150" s="27" t="str">
        <f t="shared" si="519"/>
        <v xml:space="preserve">media(6.25),reputation(6.25),portfolio(6.25), </v>
      </c>
      <c r="DB150" s="14" t="str">
        <f t="shared" si="325"/>
        <v xml:space="preserve">non-profits(1)
aesthetics(1)
interaction(1)
 </v>
      </c>
      <c r="DC150" s="14" t="str">
        <f t="shared" si="326"/>
        <v xml:space="preserve">non-profits(1,50%), social project(1,50%),  </v>
      </c>
      <c r="DD150" s="14" t="str">
        <f t="shared" si="327"/>
        <v xml:space="preserve">non-profits(50)
social project(50)
 </v>
      </c>
      <c r="DE150" s="14" t="str">
        <f t="shared" si="328"/>
        <v xml:space="preserve">ease of access(2), efficiency(3), VR&amp;AR(2),  </v>
      </c>
      <c r="DF150" s="14" t="str">
        <f t="shared" si="329"/>
        <v xml:space="preserve">media(1,6.25%), reputation(1,6.25%), portfolio(1,6.25%),  </v>
      </c>
      <c r="DG150" s="27" t="str">
        <f t="shared" si="519"/>
        <v xml:space="preserve">media(6.25),reputation(6.25),portfolio(6.25), </v>
      </c>
      <c r="DH150" s="14" t="str">
        <f t="shared" si="331"/>
        <v xml:space="preserve">wood processing(1)
aesthetics(1)
safety(1)
 </v>
      </c>
      <c r="DI150" s="14" t="str">
        <f t="shared" si="332"/>
        <v xml:space="preserve">social project(1,100%),  </v>
      </c>
      <c r="DJ150" s="14" t="str">
        <f t="shared" si="333"/>
        <v xml:space="preserve">social project(100)
 </v>
      </c>
      <c r="DK150" s="14" t="str">
        <f t="shared" si="334"/>
        <v xml:space="preserve">fame(2), 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0" s="14" t="str">
        <f t="shared" si="335"/>
        <v xml:space="preserve">reputation(1,6.25%), portfolio(1,6.25%), team building(1,6.25%),  </v>
      </c>
      <c r="DM150" s="27" t="str">
        <f t="shared" si="519"/>
        <v xml:space="preserve">reputation(6.25),portfolio(6.25),team building(6.25), </v>
      </c>
      <c r="DN150" s="14" t="str">
        <f t="shared" si="337"/>
        <v xml:space="preserve">fame(1)
network(2)
suppliers(2)
spaciousness(1)
ease of access(2)
reputation(3)
project management(2)
wood processing(1)
plastic processing(1)
electronics(1)
aesthetics(2)
functions(1)
safety(1)
biz project(1)
 </v>
      </c>
      <c r="DO150" s="14" t="str">
        <f t="shared" si="338"/>
        <v xml:space="preserve">reputation(1,25%), portfolio(1,50%),  </v>
      </c>
      <c r="DP150" s="14" t="str">
        <f t="shared" si="339"/>
        <v xml:space="preserve">reputation(25)
portfolio(50)
 </v>
      </c>
      <c r="DQ150" s="14" t="str">
        <f t="shared" si="340"/>
        <v xml:space="preserve">media(3), suppliers(3), social media(2), wood processing(2), plastic processing(2), electronics(2), aesthetics(2),  </v>
      </c>
      <c r="DR150" s="14" t="str">
        <f t="shared" si="341"/>
        <v xml:space="preserve">suppliers(1,6.25%), reputation(1,6.25%),  </v>
      </c>
      <c r="DS150" s="27" t="str">
        <f t="shared" si="519"/>
        <v xml:space="preserve">suppliers(6.25),reputation(6.25), </v>
      </c>
      <c r="DT150" s="14" t="str">
        <f t="shared" si="343"/>
        <v xml:space="preserve">fame(1)
network(2)
reputation(3)
portfolio(2)
 </v>
      </c>
      <c r="DU150" s="14" t="str">
        <f t="shared" si="344"/>
        <v xml:space="preserve">fame(1,25%), govt(1,25%), non-profits(1,50%), reputation(1,25%),  </v>
      </c>
      <c r="DV150" s="14" t="str">
        <f t="shared" si="345"/>
        <v xml:space="preserve">fame(25)
govt(25)
non-profits(50)
reputation(25)
 </v>
      </c>
      <c r="DW150" s="14" t="str">
        <f t="shared" si="346"/>
        <v xml:space="preserve">social media(2),  </v>
      </c>
      <c r="DX150" s="14" t="str">
        <f t="shared" si="347"/>
        <v xml:space="preserve">fame(1,6.25%), reputation(1,6.25%),  </v>
      </c>
      <c r="DY150" s="27" t="str">
        <f t="shared" si="519"/>
        <v xml:space="preserve">fame(6.25),reputation(6.25), </v>
      </c>
      <c r="DZ150" s="14" t="str">
        <f t="shared" si="349"/>
        <v xml:space="preserve"> </v>
      </c>
      <c r="EA150" s="14" t="str">
        <f t="shared" si="350"/>
        <v xml:space="preserve"> </v>
      </c>
      <c r="EB150" s="14" t="str">
        <f t="shared" si="351"/>
        <v xml:space="preserve"> </v>
      </c>
      <c r="EC150" s="14" t="str">
        <f t="shared" si="352"/>
        <v xml:space="preserve"> </v>
      </c>
      <c r="ED150" s="14" t="str">
        <f t="shared" si="353"/>
        <v xml:space="preserve"> </v>
      </c>
      <c r="EE150" s="27" t="str">
        <f t="shared" si="519"/>
        <v xml:space="preserve"> </v>
      </c>
      <c r="EF150" s="14" t="str">
        <f t="shared" si="355"/>
        <v xml:space="preserve"> </v>
      </c>
      <c r="EG150" s="14" t="str">
        <f t="shared" si="356"/>
        <v xml:space="preserve"> </v>
      </c>
      <c r="EH150" s="14" t="str">
        <f t="shared" si="357"/>
        <v xml:space="preserve"> </v>
      </c>
      <c r="EI150" s="14" t="str">
        <f t="shared" si="358"/>
        <v xml:space="preserve"> </v>
      </c>
      <c r="EJ150" s="14" t="str">
        <f t="shared" si="359"/>
        <v xml:space="preserve"> </v>
      </c>
      <c r="EK150" s="27" t="str">
        <f t="shared" si="519"/>
        <v xml:space="preserve"> </v>
      </c>
      <c r="EL150" s="14" t="str">
        <f t="shared" si="361"/>
        <v xml:space="preserve"> </v>
      </c>
      <c r="EM150" s="14" t="str">
        <f t="shared" si="362"/>
        <v xml:space="preserve"> </v>
      </c>
      <c r="EN150" s="14" t="str">
        <f t="shared" si="363"/>
        <v xml:space="preserve"> </v>
      </c>
      <c r="EO150" s="14" t="str">
        <f t="shared" si="364"/>
        <v xml:space="preserve"> </v>
      </c>
      <c r="EP150" s="14" t="str">
        <f t="shared" si="365"/>
        <v xml:space="preserve"> </v>
      </c>
      <c r="EQ150" s="27" t="str">
        <f t="shared" si="520"/>
        <v xml:space="preserve"> </v>
      </c>
      <c r="ER150" s="14" t="str">
        <f t="shared" si="367"/>
        <v xml:space="preserve"> </v>
      </c>
      <c r="ES150" s="14" t="str">
        <f t="shared" si="368"/>
        <v xml:space="preserve"> </v>
      </c>
      <c r="ET150" s="14" t="str">
        <f t="shared" si="369"/>
        <v xml:space="preserve"> </v>
      </c>
      <c r="EU150" s="14" t="str">
        <f t="shared" si="370"/>
        <v xml:space="preserve"> </v>
      </c>
      <c r="EV150" s="14" t="str">
        <f t="shared" si="371"/>
        <v xml:space="preserve"> </v>
      </c>
      <c r="EW150" s="27" t="str">
        <f t="shared" si="520"/>
        <v xml:space="preserve"> </v>
      </c>
      <c r="EX150" s="14" t="str">
        <f t="shared" si="373"/>
        <v xml:space="preserve"> </v>
      </c>
      <c r="EY150" s="14" t="str">
        <f t="shared" si="374"/>
        <v xml:space="preserve"> </v>
      </c>
      <c r="EZ150" s="14" t="str">
        <f t="shared" si="375"/>
        <v xml:space="preserve"> </v>
      </c>
      <c r="FA150" s="14" t="str">
        <f t="shared" si="376"/>
        <v xml:space="preserve"> </v>
      </c>
      <c r="FB150" s="14" t="str">
        <f t="shared" si="377"/>
        <v xml:space="preserve"> </v>
      </c>
      <c r="FC150" s="27" t="str">
        <f t="shared" si="520"/>
        <v xml:space="preserve"> </v>
      </c>
      <c r="FD150" s="14" t="str">
        <f t="shared" si="379"/>
        <v xml:space="preserve"> </v>
      </c>
      <c r="FE150" s="14" t="str">
        <f t="shared" si="380"/>
        <v xml:space="preserve"> </v>
      </c>
      <c r="FF150" s="14" t="str">
        <f t="shared" si="381"/>
        <v xml:space="preserve"> </v>
      </c>
      <c r="FG150" s="14" t="str">
        <f t="shared" si="382"/>
        <v xml:space="preserve"> </v>
      </c>
      <c r="FH150" s="14" t="str">
        <f t="shared" si="383"/>
        <v xml:space="preserve"> </v>
      </c>
      <c r="FI150" s="27" t="str">
        <f t="shared" si="520"/>
        <v xml:space="preserve"> </v>
      </c>
      <c r="FJ150" s="14" t="str">
        <f t="shared" si="385"/>
        <v xml:space="preserve"> </v>
      </c>
      <c r="FK150" s="14" t="str">
        <f t="shared" si="386"/>
        <v xml:space="preserve"> </v>
      </c>
      <c r="FL150" s="14" t="str">
        <f t="shared" si="387"/>
        <v xml:space="preserve"> </v>
      </c>
      <c r="FM150" s="14" t="str">
        <f t="shared" si="388"/>
        <v xml:space="preserve"> </v>
      </c>
      <c r="FN150" s="14" t="str">
        <f t="shared" si="389"/>
        <v xml:space="preserve"> </v>
      </c>
      <c r="FO150" s="27" t="str">
        <f t="shared" si="520"/>
        <v xml:space="preserve"> </v>
      </c>
      <c r="FP150" s="14" t="str">
        <f t="shared" si="391"/>
        <v xml:space="preserve"> </v>
      </c>
      <c r="FQ150" s="14" t="str">
        <f t="shared" si="392"/>
        <v xml:space="preserve"> </v>
      </c>
      <c r="FR150" s="14" t="str">
        <f t="shared" si="393"/>
        <v xml:space="preserve"> </v>
      </c>
      <c r="FS150" s="14" t="str">
        <f t="shared" si="394"/>
        <v xml:space="preserve"> </v>
      </c>
      <c r="FT150" s="14" t="str">
        <f t="shared" si="395"/>
        <v xml:space="preserve"> </v>
      </c>
      <c r="FU150" s="27" t="str">
        <f t="shared" si="520"/>
        <v xml:space="preserve"> </v>
      </c>
      <c r="FV150" s="14" t="str">
        <f t="shared" si="397"/>
        <v xml:space="preserve"> </v>
      </c>
      <c r="FW150" s="14" t="str">
        <f t="shared" si="398"/>
        <v xml:space="preserve"> </v>
      </c>
      <c r="FX150" s="14" t="str">
        <f t="shared" si="399"/>
        <v xml:space="preserve"> </v>
      </c>
      <c r="FY150" s="14" t="str">
        <f t="shared" si="400"/>
        <v xml:space="preserve"> </v>
      </c>
      <c r="FZ150" s="14" t="str">
        <f t="shared" si="401"/>
        <v xml:space="preserve"> </v>
      </c>
      <c r="GA150" s="27" t="str">
        <f t="shared" si="520"/>
        <v xml:space="preserve"> </v>
      </c>
      <c r="GB150" s="14" t="str">
        <f t="shared" si="403"/>
        <v xml:space="preserve"> </v>
      </c>
      <c r="GC150" s="14" t="str">
        <f t="shared" si="404"/>
        <v xml:space="preserve"> </v>
      </c>
      <c r="GD150" s="14" t="str">
        <f t="shared" si="405"/>
        <v xml:space="preserve"> </v>
      </c>
      <c r="GE150" s="14" t="str">
        <f t="shared" si="406"/>
        <v xml:space="preserve"> </v>
      </c>
      <c r="GF150" s="14" t="str">
        <f t="shared" si="407"/>
        <v xml:space="preserve"> </v>
      </c>
      <c r="GG150" s="27" t="str">
        <f t="shared" si="520"/>
        <v xml:space="preserve"> </v>
      </c>
      <c r="GH150" s="14" t="str">
        <f t="shared" si="409"/>
        <v xml:space="preserve"> </v>
      </c>
      <c r="GI150" s="14" t="str">
        <f t="shared" si="410"/>
        <v xml:space="preserve"> </v>
      </c>
      <c r="GJ150" s="14" t="str">
        <f t="shared" si="411"/>
        <v xml:space="preserve"> </v>
      </c>
      <c r="GK150" s="14" t="str">
        <f t="shared" si="412"/>
        <v xml:space="preserve"> </v>
      </c>
      <c r="GL150" s="14" t="str">
        <f t="shared" si="413"/>
        <v xml:space="preserve"> </v>
      </c>
      <c r="GM150" s="27" t="str">
        <f t="shared" si="520"/>
        <v xml:space="preserve"> </v>
      </c>
      <c r="GN150" s="14" t="str">
        <f t="shared" si="415"/>
        <v xml:space="preserve"> </v>
      </c>
      <c r="GO150" s="14" t="str">
        <f t="shared" si="416"/>
        <v xml:space="preserve"> </v>
      </c>
      <c r="GP150" s="14" t="str">
        <f t="shared" si="417"/>
        <v xml:space="preserve"> </v>
      </c>
      <c r="GQ150" s="14" t="str">
        <f t="shared" si="418"/>
        <v xml:space="preserve"> </v>
      </c>
      <c r="GR150" s="14" t="str">
        <f t="shared" si="419"/>
        <v xml:space="preserve"> </v>
      </c>
      <c r="GS150" s="27" t="str">
        <f t="shared" si="520"/>
        <v xml:space="preserve"> </v>
      </c>
      <c r="GT150" s="14" t="str">
        <f t="shared" si="421"/>
        <v xml:space="preserve"> </v>
      </c>
      <c r="GU150" s="14" t="str">
        <f t="shared" si="422"/>
        <v xml:space="preserve"> </v>
      </c>
      <c r="GV150" s="14" t="str">
        <f t="shared" si="423"/>
        <v xml:space="preserve"> </v>
      </c>
      <c r="GW150" s="14" t="str">
        <f t="shared" si="424"/>
        <v xml:space="preserve"> </v>
      </c>
      <c r="GX150" s="14" t="str">
        <f t="shared" si="425"/>
        <v xml:space="preserve"> </v>
      </c>
      <c r="GY150" s="27" t="str">
        <f t="shared" si="520"/>
        <v xml:space="preserve"> </v>
      </c>
      <c r="GZ150" s="14" t="str">
        <f t="shared" si="427"/>
        <v xml:space="preserve"> </v>
      </c>
      <c r="HA150" s="14" t="str">
        <f t="shared" si="428"/>
        <v xml:space="preserve"> </v>
      </c>
      <c r="HB150" s="14" t="str">
        <f t="shared" si="429"/>
        <v xml:space="preserve"> </v>
      </c>
      <c r="HC150" s="14" t="str">
        <f t="shared" si="430"/>
        <v xml:space="preserve"> </v>
      </c>
      <c r="HD150" s="14" t="str">
        <f t="shared" si="431"/>
        <v xml:space="preserve"> </v>
      </c>
      <c r="HE150" s="27" t="str">
        <f t="shared" si="521"/>
        <v xml:space="preserve"> </v>
      </c>
      <c r="HF150" s="14" t="str">
        <f t="shared" si="433"/>
        <v xml:space="preserve"> </v>
      </c>
      <c r="HG150" s="14" t="str">
        <f t="shared" si="434"/>
        <v xml:space="preserve"> </v>
      </c>
      <c r="HH150" s="14" t="str">
        <f t="shared" si="435"/>
        <v xml:space="preserve"> </v>
      </c>
      <c r="HI150" s="14" t="str">
        <f t="shared" si="436"/>
        <v xml:space="preserve"> </v>
      </c>
      <c r="HJ150" s="14" t="str">
        <f t="shared" si="437"/>
        <v xml:space="preserve"> </v>
      </c>
      <c r="HK150" s="27" t="str">
        <f t="shared" si="521"/>
        <v xml:space="preserve"> </v>
      </c>
      <c r="HL150" s="14" t="str">
        <f t="shared" si="439"/>
        <v xml:space="preserve"> </v>
      </c>
      <c r="HM150" s="14" t="str">
        <f t="shared" si="440"/>
        <v xml:space="preserve"> </v>
      </c>
      <c r="HN150" s="14" t="str">
        <f t="shared" si="441"/>
        <v xml:space="preserve"> </v>
      </c>
      <c r="HO150" s="14" t="str">
        <f t="shared" si="442"/>
        <v xml:space="preserve"> </v>
      </c>
      <c r="HP150" s="14" t="str">
        <f t="shared" si="443"/>
        <v xml:space="preserve"> </v>
      </c>
      <c r="HQ150" s="27" t="str">
        <f t="shared" si="521"/>
        <v xml:space="preserve"> </v>
      </c>
    </row>
    <row r="151" spans="1:225" ht="15.75" customHeight="1">
      <c r="A151" s="7">
        <f t="shared" ref="A151:C151" si="532">A43</f>
        <v>0</v>
      </c>
      <c r="B151" s="7">
        <f t="shared" si="532"/>
        <v>0</v>
      </c>
      <c r="C151" s="7" t="str">
        <f t="shared" si="532"/>
        <v>network</v>
      </c>
      <c r="D151" s="14" t="str">
        <f t="shared" si="446"/>
        <v xml:space="preserve"> </v>
      </c>
      <c r="E151" s="14" t="str">
        <f t="shared" si="447"/>
        <v xml:space="preserve"> </v>
      </c>
      <c r="F151" s="14" t="str">
        <f t="shared" si="448"/>
        <v xml:space="preserve"> </v>
      </c>
      <c r="G151" s="14" t="str">
        <f t="shared" si="449"/>
        <v xml:space="preserve">efficiency(1), user rules and manuals(2.1), organizational rules and manuals(2.1),  </v>
      </c>
      <c r="H151" s="14" t="str">
        <f t="shared" si="450"/>
        <v xml:space="preserve">efficiency(-1,6.25%),  </v>
      </c>
      <c r="I151" s="27" t="str">
        <f t="shared" ref="I151" si="533">IF(I43="",I152,$C151&amp;"("&amp;I43&amp;"),"&amp;I152)</f>
        <v xml:space="preserve">efficiency(6.25), </v>
      </c>
      <c r="J151" s="14" t="str">
        <f t="shared" si="229"/>
        <v xml:space="preserve"> </v>
      </c>
      <c r="K151" s="14" t="str">
        <f t="shared" si="230"/>
        <v xml:space="preserve"> </v>
      </c>
      <c r="L151" s="14" t="str">
        <f t="shared" si="231"/>
        <v xml:space="preserve"> </v>
      </c>
      <c r="M151" s="14" t="str">
        <f t="shared" si="232"/>
        <v xml:space="preserve">efficiency(0.1), organizational rules and manuals(1.1),  </v>
      </c>
      <c r="N151" s="14" t="str">
        <f t="shared" si="233"/>
        <v xml:space="preserve"> </v>
      </c>
      <c r="O151" s="27" t="str">
        <f t="shared" si="518"/>
        <v xml:space="preserve"> </v>
      </c>
      <c r="P151" s="14" t="str">
        <f t="shared" si="235"/>
        <v xml:space="preserve"> </v>
      </c>
      <c r="Q151" s="14" t="str">
        <f t="shared" si="236"/>
        <v xml:space="preserve"> </v>
      </c>
      <c r="R151" s="14" t="str">
        <f t="shared" si="237"/>
        <v xml:space="preserve"> </v>
      </c>
      <c r="S151" s="14" t="str">
        <f t="shared" si="238"/>
        <v xml:space="preserve">team building(0.1),  </v>
      </c>
      <c r="T151" s="14" t="str">
        <f t="shared" si="239"/>
        <v xml:space="preserve">business model(-1,6.25%), web(-1,6.25%), mobile apps(-1,6.25%), aesthetics(-1,6.25%),  </v>
      </c>
      <c r="U151" s="27" t="str">
        <f t="shared" si="518"/>
        <v xml:space="preserve">business model(6.25),web(6.25),mobile apps(6.25),aesthetics(6.25), </v>
      </c>
      <c r="V151" s="14" t="str">
        <f t="shared" si="241"/>
        <v xml:space="preserve"> </v>
      </c>
      <c r="W151" s="14" t="str">
        <f t="shared" si="242"/>
        <v xml:space="preserve">efficiency(-1,25%),  </v>
      </c>
      <c r="X151" s="14" t="str">
        <f t="shared" si="243"/>
        <v xml:space="preserve">efficiency(25)
 </v>
      </c>
      <c r="Y151" s="14" t="str">
        <f t="shared" si="244"/>
        <v xml:space="preserve">spaciousness(1), ease of access(3), reputation(2), user rules and manuals(0.1), project management(0.1), negotiation(0.1),  </v>
      </c>
      <c r="Z151" s="14" t="str">
        <f t="shared" si="245"/>
        <v xml:space="preserve">reputation(-1,%),  </v>
      </c>
      <c r="AA151" s="27" t="str">
        <f t="shared" si="518"/>
        <v xml:space="preserve"> </v>
      </c>
      <c r="AB151" s="14" t="str">
        <f t="shared" si="247"/>
        <v xml:space="preserve"> </v>
      </c>
      <c r="AC151" s="14" t="str">
        <f t="shared" si="248"/>
        <v xml:space="preserve"> </v>
      </c>
      <c r="AD151" s="14" t="str">
        <f t="shared" si="249"/>
        <v xml:space="preserve"> </v>
      </c>
      <c r="AE151" s="14" t="str">
        <f t="shared" si="250"/>
        <v xml:space="preserve">spaciousness(1), user rules and manuals(1.1), organizational rules and manuals(1.1),  </v>
      </c>
      <c r="AF151" s="14" t="str">
        <f t="shared" si="251"/>
        <v xml:space="preserve">local biz(-1,6.25%), investors(-1,6.25%), non-profits(-1,6.25%), efficiency(-1,6.25%),  </v>
      </c>
      <c r="AG151" s="27" t="str">
        <f t="shared" si="518"/>
        <v xml:space="preserve">local biz(6.25),investors(6.25),non-profits(6.25),efficiency(6.25), </v>
      </c>
      <c r="AH151" s="14" t="str">
        <f t="shared" si="253"/>
        <v xml:space="preserve">ease of access(1)
reputation(1)
 </v>
      </c>
      <c r="AI151" s="14" t="str">
        <f t="shared" si="254"/>
        <v xml:space="preserve"> </v>
      </c>
      <c r="AJ151" s="14" t="str">
        <f t="shared" si="255"/>
        <v xml:space="preserve"> </v>
      </c>
      <c r="AK151" s="14" t="str">
        <f t="shared" si="256"/>
        <v xml:space="preserve">spaciousness(1), ease of access(1), reputation(2), user rules and manuals(2.1), organizational rules and manuals(2.1), law(1.1), negotiation(1.1),  </v>
      </c>
      <c r="AL151" s="14" t="str">
        <f t="shared" si="257"/>
        <v xml:space="preserve">govt(-1,6.25%), non-profits(-1,6.25%), reputation(-1,6.25%),  </v>
      </c>
      <c r="AM151" s="27" t="str">
        <f t="shared" si="518"/>
        <v xml:space="preserve">govt(6.25),non-profits(6.25),reputation(6.25), </v>
      </c>
      <c r="AN151" s="14" t="str">
        <f t="shared" si="259"/>
        <v xml:space="preserve"> </v>
      </c>
      <c r="AO151" s="14" t="str">
        <f t="shared" si="260"/>
        <v xml:space="preserve"> </v>
      </c>
      <c r="AP151" s="14" t="str">
        <f t="shared" si="261"/>
        <v xml:space="preserve"> </v>
      </c>
      <c r="AQ151" s="14" t="str">
        <f t="shared" si="262"/>
        <v xml:space="preserve">spaciousness(2.1), reputation(3), organizational rules and manuals(2.1), team building(2.1),  </v>
      </c>
      <c r="AR151" s="14" t="str">
        <f t="shared" si="263"/>
        <v xml:space="preserve">reputation(-1,6.25%), efficiency(-1,6.25%),  </v>
      </c>
      <c r="AS151" s="27" t="str">
        <f t="shared" si="518"/>
        <v xml:space="preserve">reputation(6.25),efficiency(6.25), </v>
      </c>
      <c r="AT151" s="14" t="str">
        <f t="shared" si="265"/>
        <v xml:space="preserve"> </v>
      </c>
      <c r="AU151" s="14" t="str">
        <f t="shared" si="266"/>
        <v xml:space="preserve"> </v>
      </c>
      <c r="AV151" s="14" t="str">
        <f t="shared" si="267"/>
        <v xml:space="preserve"> </v>
      </c>
      <c r="AW151" s="14" t="str">
        <f t="shared" si="268"/>
        <v xml:space="preserve">user rules and manuals(2.1), team building(2.1),  </v>
      </c>
      <c r="AX151" s="14" t="str">
        <f t="shared" si="269"/>
        <v xml:space="preserve"> </v>
      </c>
      <c r="AY151" s="27" t="str">
        <f t="shared" si="518"/>
        <v xml:space="preserve"> </v>
      </c>
      <c r="AZ151" s="14" t="str">
        <f t="shared" si="271"/>
        <v xml:space="preserve"> </v>
      </c>
      <c r="BA151" s="14" t="str">
        <f t="shared" si="272"/>
        <v xml:space="preserve">efficiency(-1,12.5%), user rules and manuals(1,25%),  </v>
      </c>
      <c r="BB151" s="14" t="str">
        <f t="shared" si="273"/>
        <v xml:space="preserve">efficiency(12.5)
user rules and manuals(25)
 </v>
      </c>
      <c r="BC151" s="14" t="str">
        <f t="shared" si="274"/>
        <v xml:space="preserve">user rules and manuals(2.1), organizational rules and manuals(2.1),  </v>
      </c>
      <c r="BD151" s="14" t="str">
        <f t="shared" si="275"/>
        <v xml:space="preserve">reputation(-1,6.25%),  </v>
      </c>
      <c r="BE151" s="27" t="str">
        <f t="shared" si="518"/>
        <v xml:space="preserve">reputation(6.25), </v>
      </c>
      <c r="BF151" s="14" t="str">
        <f t="shared" si="277"/>
        <v xml:space="preserve"> </v>
      </c>
      <c r="BG151" s="14" t="str">
        <f t="shared" si="278"/>
        <v xml:space="preserve">user rules and manuals(1,25%), organizational rules and manuals(1,25%),  </v>
      </c>
      <c r="BH151" s="14" t="str">
        <f t="shared" si="279"/>
        <v xml:space="preserve">user rules and manuals(25)
organizational rules and manuals(25)
 </v>
      </c>
      <c r="BI151" s="14" t="str">
        <f t="shared" si="280"/>
        <v xml:space="preserve"> </v>
      </c>
      <c r="BJ151" s="14" t="str">
        <f t="shared" si="281"/>
        <v xml:space="preserve">reputation(-1,6.25%), efficiency(-1,25%),  </v>
      </c>
      <c r="BK151" s="27" t="str">
        <f t="shared" si="518"/>
        <v xml:space="preserve">reputation(6.25),efficiency(25), </v>
      </c>
      <c r="BL151" s="14" t="str">
        <f t="shared" si="283"/>
        <v xml:space="preserve">local biz(1)
ease of access(1)
reputation(1)
aesthetics(1)
 </v>
      </c>
      <c r="BM151" s="14" t="str">
        <f t="shared" si="284"/>
        <v xml:space="preserve">biz enhancement(1,%),  </v>
      </c>
      <c r="BN151" s="14" t="str">
        <f t="shared" si="285"/>
        <v xml:space="preserve"> </v>
      </c>
      <c r="BO151" s="14" t="str">
        <f t="shared" si="286"/>
        <v xml:space="preserve">ease of access(2), reputation(3), efficiency(2), user rules and manuals(1), marketing(1), negotiation(1), aesthetics(2), functions(1), safety(1),  </v>
      </c>
      <c r="BP151" s="14" t="str">
        <f t="shared" si="287"/>
        <v xml:space="preserve">local biz(1,6.25%),  </v>
      </c>
      <c r="BQ151" s="27" t="str">
        <f t="shared" si="518"/>
        <v xml:space="preserve">local biz(6.25), </v>
      </c>
      <c r="BR151" s="14" t="str">
        <f t="shared" si="289"/>
        <v xml:space="preserve">local biz(1)
ease of access(1)
reputation(1)
aesthetics(1)
 </v>
      </c>
      <c r="BS151" s="14" t="str">
        <f t="shared" si="290"/>
        <v xml:space="preserve">biz project(1,%),  </v>
      </c>
      <c r="BT151" s="14" t="str">
        <f t="shared" si="291"/>
        <v xml:space="preserve"> </v>
      </c>
      <c r="BU151" s="14" t="str">
        <f t="shared" si="292"/>
        <v xml:space="preserve">ease of access(2), reputation(3), efficiency(2), user rules and manuals(1), marketing(1), negotiation(1), wood processing(1), aesthetics(2),  </v>
      </c>
      <c r="BV151" s="14" t="str">
        <f t="shared" si="293"/>
        <v xml:space="preserve">local biz(1,6.25%),  </v>
      </c>
      <c r="BW151" s="27" t="str">
        <f t="shared" si="518"/>
        <v xml:space="preserve">local biz(6.25), </v>
      </c>
      <c r="BX151" s="14" t="str">
        <f t="shared" si="295"/>
        <v xml:space="preserve">local biz(1)
ease of access(1)
reputation(1)
aesthetics(1)
interaction(1)
 </v>
      </c>
      <c r="BY151" s="14" t="str">
        <f t="shared" si="296"/>
        <v xml:space="preserve">biz project(1,%),  </v>
      </c>
      <c r="BZ151" s="14" t="str">
        <f t="shared" si="297"/>
        <v xml:space="preserve"> </v>
      </c>
      <c r="CA151" s="14" t="str">
        <f t="shared" si="298"/>
        <v xml:space="preserve">ease of access(2), reputation(3), efficiency(2), user rules and manuals(1), marketing(1), team building(1), social media(1), negotiation(1), web(2), infrastructrue(2), database(2), security(3), aesthetics(2), functions(1), interaction(2),  </v>
      </c>
      <c r="CB151" s="14" t="str">
        <f t="shared" si="299"/>
        <v xml:space="preserve">local biz(1,6.25%),  </v>
      </c>
      <c r="CC151" s="27" t="str">
        <f t="shared" si="519"/>
        <v xml:space="preserve">local biz(6.25), </v>
      </c>
      <c r="CD151" s="14" t="str">
        <f t="shared" si="301"/>
        <v xml:space="preserve">ease of access(1)
reputation(1)
aesthetics(1)
 </v>
      </c>
      <c r="CE151" s="14" t="str">
        <f t="shared" si="302"/>
        <v xml:space="preserve">biz project(1,%),  </v>
      </c>
      <c r="CF151" s="14" t="str">
        <f t="shared" si="303"/>
        <v xml:space="preserve"> </v>
      </c>
      <c r="CG151" s="14" t="str">
        <f t="shared" si="304"/>
        <v xml:space="preserve">ease of access(2), efficiency(2), user rules and manuals(1), marketing(1), team building(1), negotiation(1), infrastructrue(1), database(2), mobile apps(2), security(3), aesthetics(2), functions(1), interaction(2),  </v>
      </c>
      <c r="CH151" s="14" t="str">
        <f t="shared" si="305"/>
        <v xml:space="preserve">local biz(1,6.25%),  </v>
      </c>
      <c r="CI151" s="27" t="str">
        <f t="shared" si="519"/>
        <v xml:space="preserve">local biz(6.25), </v>
      </c>
      <c r="CJ151" s="14" t="str">
        <f t="shared" si="307"/>
        <v xml:space="preserve">ease of access(1)
reputation(1)
aesthetics(1)
 </v>
      </c>
      <c r="CK151" s="14" t="str">
        <f t="shared" si="308"/>
        <v xml:space="preserve">biz project(1,%),  </v>
      </c>
      <c r="CL151" s="14" t="str">
        <f t="shared" si="309"/>
        <v xml:space="preserve"> </v>
      </c>
      <c r="CM151" s="14" t="str">
        <f t="shared" si="310"/>
        <v xml:space="preserve">ease of access(2), reputation(3), efficiency(2), user rules and manuals(1), marketing(2), team building(1), social media(2), negotiation(1), web(2), infrastructrue(2), database(2), mobile apps(2), security(2), aesthetics(2), functions(1), interaction(2),  </v>
      </c>
      <c r="CN151" s="14" t="str">
        <f t="shared" si="311"/>
        <v xml:space="preserve">local biz(1,6.25%),  </v>
      </c>
      <c r="CO151" s="27" t="str">
        <f t="shared" si="519"/>
        <v xml:space="preserve">local biz(6.25), </v>
      </c>
      <c r="CP151" s="14" t="str">
        <f t="shared" si="313"/>
        <v xml:space="preserve">local biz(1)
metal processing(1)
functions(1)
 </v>
      </c>
      <c r="CQ151" s="14" t="str">
        <f t="shared" si="314"/>
        <v xml:space="preserve">local biz(1,50%), biz enhancement(1,50%),  </v>
      </c>
      <c r="CR151" s="14" t="str">
        <f t="shared" si="315"/>
        <v xml:space="preserve">local biz(50)
biz enhancement(50)
 </v>
      </c>
      <c r="CS151" s="14" t="str">
        <f t="shared" si="316"/>
        <v xml:space="preserve">ease of access(2), reputation(3), efficiency(2), metal processing(2), electronics(2), aesthetics(2), functions(2), safety(2),  </v>
      </c>
      <c r="CT151" s="14" t="str">
        <f t="shared" si="317"/>
        <v xml:space="preserve">reputation(1,6.25%),  </v>
      </c>
      <c r="CU151" s="27" t="str">
        <f t="shared" si="519"/>
        <v xml:space="preserve">reputation(6.25), </v>
      </c>
      <c r="CV151" s="14" t="str">
        <f t="shared" si="319"/>
        <v xml:space="preserve">non-profits(1)
wood processing(1)
aesthetics(1)
interaction(1)
 </v>
      </c>
      <c r="CW151" s="14" t="str">
        <f t="shared" si="320"/>
        <v xml:space="preserve">non-profits(1,50%), social project(1,50%),  </v>
      </c>
      <c r="CX151" s="14" t="str">
        <f t="shared" si="321"/>
        <v xml:space="preserve">non-profits(50)
social project(50)
 </v>
      </c>
      <c r="CY151" s="14" t="str">
        <f t="shared" si="322"/>
        <v xml:space="preserve">ease of access(2), efficiency(3), sensors(2), wood processing(2), plastic processing(2), electronics(2), aesthetics(2), functions(1), safety(1), interaction(2),  </v>
      </c>
      <c r="CZ151" s="14" t="str">
        <f t="shared" si="323"/>
        <v xml:space="preserve">media(1,6.25%), reputation(1,6.25%), portfolio(1,6.25%),  </v>
      </c>
      <c r="DA151" s="27" t="str">
        <f t="shared" si="519"/>
        <v xml:space="preserve">media(6.25),reputation(6.25),portfolio(6.25), </v>
      </c>
      <c r="DB151" s="14" t="str">
        <f t="shared" si="325"/>
        <v xml:space="preserve">non-profits(1)
aesthetics(1)
interaction(1)
 </v>
      </c>
      <c r="DC151" s="14" t="str">
        <f t="shared" si="326"/>
        <v xml:space="preserve">non-profits(1,50%), social project(1,50%),  </v>
      </c>
      <c r="DD151" s="14" t="str">
        <f t="shared" si="327"/>
        <v xml:space="preserve">non-profits(50)
social project(50)
 </v>
      </c>
      <c r="DE151" s="14" t="str">
        <f t="shared" si="328"/>
        <v xml:space="preserve">ease of access(2), efficiency(3), VR&amp;AR(2),  </v>
      </c>
      <c r="DF151" s="14" t="str">
        <f t="shared" si="329"/>
        <v xml:space="preserve">media(1,6.25%), reputation(1,6.25%), portfolio(1,6.25%),  </v>
      </c>
      <c r="DG151" s="27" t="str">
        <f t="shared" si="519"/>
        <v xml:space="preserve">media(6.25),reputation(6.25),portfolio(6.25), </v>
      </c>
      <c r="DH151" s="14" t="str">
        <f t="shared" si="331"/>
        <v xml:space="preserve">wood processing(1)
aesthetics(1)
safety(1)
 </v>
      </c>
      <c r="DI151" s="14" t="str">
        <f t="shared" si="332"/>
        <v xml:space="preserve">social project(1,100%),  </v>
      </c>
      <c r="DJ151" s="14" t="str">
        <f t="shared" si="333"/>
        <v xml:space="preserve">social project(100)
 </v>
      </c>
      <c r="DK151" s="14" t="str">
        <f t="shared" si="334"/>
        <v xml:space="preserve">network(2), 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1" s="14" t="str">
        <f t="shared" si="335"/>
        <v xml:space="preserve">reputation(1,6.25%), portfolio(1,6.25%), team building(1,6.25%),  </v>
      </c>
      <c r="DM151" s="27" t="str">
        <f t="shared" si="519"/>
        <v xml:space="preserve">reputation(6.25),portfolio(6.25),team building(6.25), </v>
      </c>
      <c r="DN151" s="14" t="str">
        <f t="shared" si="337"/>
        <v xml:space="preserve">network(2)
suppliers(2)
spaciousness(1)
ease of access(2)
reputation(3)
project management(2)
wood processing(1)
plastic processing(1)
electronics(1)
aesthetics(2)
functions(1)
safety(1)
biz project(1)
 </v>
      </c>
      <c r="DO151" s="14" t="str">
        <f t="shared" si="338"/>
        <v xml:space="preserve">reputation(1,25%), portfolio(1,50%),  </v>
      </c>
      <c r="DP151" s="14" t="str">
        <f t="shared" si="339"/>
        <v xml:space="preserve">reputation(25)
portfolio(50)
 </v>
      </c>
      <c r="DQ151" s="14" t="str">
        <f t="shared" si="340"/>
        <v xml:space="preserve">media(3), suppliers(3), social media(2), wood processing(2), plastic processing(2), electronics(2), aesthetics(2),  </v>
      </c>
      <c r="DR151" s="14" t="str">
        <f t="shared" si="341"/>
        <v xml:space="preserve">suppliers(1,6.25%), reputation(1,6.25%),  </v>
      </c>
      <c r="DS151" s="27" t="str">
        <f t="shared" si="519"/>
        <v xml:space="preserve">suppliers(6.25),reputation(6.25), </v>
      </c>
      <c r="DT151" s="14" t="str">
        <f t="shared" si="343"/>
        <v xml:space="preserve">network(2)
reputation(3)
portfolio(2)
 </v>
      </c>
      <c r="DU151" s="14" t="str">
        <f t="shared" si="344"/>
        <v xml:space="preserve">govt(1,25%), non-profits(1,50%), reputation(1,25%),  </v>
      </c>
      <c r="DV151" s="14" t="str">
        <f t="shared" si="345"/>
        <v xml:space="preserve">govt(25)
non-profits(50)
reputation(25)
 </v>
      </c>
      <c r="DW151" s="14" t="str">
        <f t="shared" si="346"/>
        <v xml:space="preserve">social media(2),  </v>
      </c>
      <c r="DX151" s="14" t="str">
        <f t="shared" si="347"/>
        <v xml:space="preserve">reputation(1,6.25%),  </v>
      </c>
      <c r="DY151" s="27" t="str">
        <f t="shared" si="519"/>
        <v xml:space="preserve">reputation(6.25), </v>
      </c>
      <c r="DZ151" s="14" t="str">
        <f t="shared" si="349"/>
        <v xml:space="preserve"> </v>
      </c>
      <c r="EA151" s="14" t="str">
        <f t="shared" si="350"/>
        <v xml:space="preserve"> </v>
      </c>
      <c r="EB151" s="14" t="str">
        <f t="shared" si="351"/>
        <v xml:space="preserve"> </v>
      </c>
      <c r="EC151" s="14" t="str">
        <f t="shared" si="352"/>
        <v xml:space="preserve"> </v>
      </c>
      <c r="ED151" s="14" t="str">
        <f t="shared" si="353"/>
        <v xml:space="preserve"> </v>
      </c>
      <c r="EE151" s="27" t="str">
        <f t="shared" si="519"/>
        <v xml:space="preserve"> </v>
      </c>
      <c r="EF151" s="14" t="str">
        <f t="shared" si="355"/>
        <v xml:space="preserve"> </v>
      </c>
      <c r="EG151" s="14" t="str">
        <f t="shared" si="356"/>
        <v xml:space="preserve"> </v>
      </c>
      <c r="EH151" s="14" t="str">
        <f t="shared" si="357"/>
        <v xml:space="preserve"> </v>
      </c>
      <c r="EI151" s="14" t="str">
        <f t="shared" si="358"/>
        <v xml:space="preserve"> </v>
      </c>
      <c r="EJ151" s="14" t="str">
        <f t="shared" si="359"/>
        <v xml:space="preserve"> </v>
      </c>
      <c r="EK151" s="27" t="str">
        <f t="shared" si="519"/>
        <v xml:space="preserve"> </v>
      </c>
      <c r="EL151" s="14" t="str">
        <f t="shared" si="361"/>
        <v xml:space="preserve"> </v>
      </c>
      <c r="EM151" s="14" t="str">
        <f t="shared" si="362"/>
        <v xml:space="preserve"> </v>
      </c>
      <c r="EN151" s="14" t="str">
        <f t="shared" si="363"/>
        <v xml:space="preserve"> </v>
      </c>
      <c r="EO151" s="14" t="str">
        <f t="shared" si="364"/>
        <v xml:space="preserve"> </v>
      </c>
      <c r="EP151" s="14" t="str">
        <f t="shared" si="365"/>
        <v xml:space="preserve"> </v>
      </c>
      <c r="EQ151" s="27" t="str">
        <f t="shared" si="520"/>
        <v xml:space="preserve"> </v>
      </c>
      <c r="ER151" s="14" t="str">
        <f t="shared" si="367"/>
        <v xml:space="preserve"> </v>
      </c>
      <c r="ES151" s="14" t="str">
        <f t="shared" si="368"/>
        <v xml:space="preserve"> </v>
      </c>
      <c r="ET151" s="14" t="str">
        <f t="shared" si="369"/>
        <v xml:space="preserve"> </v>
      </c>
      <c r="EU151" s="14" t="str">
        <f t="shared" si="370"/>
        <v xml:space="preserve"> </v>
      </c>
      <c r="EV151" s="14" t="str">
        <f t="shared" si="371"/>
        <v xml:space="preserve"> </v>
      </c>
      <c r="EW151" s="27" t="str">
        <f t="shared" si="520"/>
        <v xml:space="preserve"> </v>
      </c>
      <c r="EX151" s="14" t="str">
        <f t="shared" si="373"/>
        <v xml:space="preserve"> </v>
      </c>
      <c r="EY151" s="14" t="str">
        <f t="shared" si="374"/>
        <v xml:space="preserve"> </v>
      </c>
      <c r="EZ151" s="14" t="str">
        <f t="shared" si="375"/>
        <v xml:space="preserve"> </v>
      </c>
      <c r="FA151" s="14" t="str">
        <f t="shared" si="376"/>
        <v xml:space="preserve"> </v>
      </c>
      <c r="FB151" s="14" t="str">
        <f t="shared" si="377"/>
        <v xml:space="preserve"> </v>
      </c>
      <c r="FC151" s="27" t="str">
        <f t="shared" si="520"/>
        <v xml:space="preserve"> </v>
      </c>
      <c r="FD151" s="14" t="str">
        <f t="shared" si="379"/>
        <v xml:space="preserve"> </v>
      </c>
      <c r="FE151" s="14" t="str">
        <f t="shared" si="380"/>
        <v xml:space="preserve"> </v>
      </c>
      <c r="FF151" s="14" t="str">
        <f t="shared" si="381"/>
        <v xml:space="preserve"> </v>
      </c>
      <c r="FG151" s="14" t="str">
        <f t="shared" si="382"/>
        <v xml:space="preserve"> </v>
      </c>
      <c r="FH151" s="14" t="str">
        <f t="shared" si="383"/>
        <v xml:space="preserve"> </v>
      </c>
      <c r="FI151" s="27" t="str">
        <f t="shared" si="520"/>
        <v xml:space="preserve"> </v>
      </c>
      <c r="FJ151" s="14" t="str">
        <f t="shared" si="385"/>
        <v xml:space="preserve"> </v>
      </c>
      <c r="FK151" s="14" t="str">
        <f t="shared" si="386"/>
        <v xml:space="preserve"> </v>
      </c>
      <c r="FL151" s="14" t="str">
        <f t="shared" si="387"/>
        <v xml:space="preserve"> </v>
      </c>
      <c r="FM151" s="14" t="str">
        <f t="shared" si="388"/>
        <v xml:space="preserve"> </v>
      </c>
      <c r="FN151" s="14" t="str">
        <f t="shared" si="389"/>
        <v xml:space="preserve"> </v>
      </c>
      <c r="FO151" s="27" t="str">
        <f t="shared" si="520"/>
        <v xml:space="preserve"> </v>
      </c>
      <c r="FP151" s="14" t="str">
        <f t="shared" si="391"/>
        <v xml:space="preserve"> </v>
      </c>
      <c r="FQ151" s="14" t="str">
        <f t="shared" si="392"/>
        <v xml:space="preserve"> </v>
      </c>
      <c r="FR151" s="14" t="str">
        <f t="shared" si="393"/>
        <v xml:space="preserve"> </v>
      </c>
      <c r="FS151" s="14" t="str">
        <f t="shared" si="394"/>
        <v xml:space="preserve"> </v>
      </c>
      <c r="FT151" s="14" t="str">
        <f t="shared" si="395"/>
        <v xml:space="preserve"> </v>
      </c>
      <c r="FU151" s="27" t="str">
        <f t="shared" si="520"/>
        <v xml:space="preserve"> </v>
      </c>
      <c r="FV151" s="14" t="str">
        <f t="shared" si="397"/>
        <v xml:space="preserve"> </v>
      </c>
      <c r="FW151" s="14" t="str">
        <f t="shared" si="398"/>
        <v xml:space="preserve"> </v>
      </c>
      <c r="FX151" s="14" t="str">
        <f t="shared" si="399"/>
        <v xml:space="preserve"> </v>
      </c>
      <c r="FY151" s="14" t="str">
        <f t="shared" si="400"/>
        <v xml:space="preserve"> </v>
      </c>
      <c r="FZ151" s="14" t="str">
        <f t="shared" si="401"/>
        <v xml:space="preserve"> </v>
      </c>
      <c r="GA151" s="27" t="str">
        <f t="shared" si="520"/>
        <v xml:space="preserve"> </v>
      </c>
      <c r="GB151" s="14" t="str">
        <f t="shared" si="403"/>
        <v xml:space="preserve"> </v>
      </c>
      <c r="GC151" s="14" t="str">
        <f t="shared" si="404"/>
        <v xml:space="preserve"> </v>
      </c>
      <c r="GD151" s="14" t="str">
        <f t="shared" si="405"/>
        <v xml:space="preserve"> </v>
      </c>
      <c r="GE151" s="14" t="str">
        <f t="shared" si="406"/>
        <v xml:space="preserve"> </v>
      </c>
      <c r="GF151" s="14" t="str">
        <f t="shared" si="407"/>
        <v xml:space="preserve"> </v>
      </c>
      <c r="GG151" s="27" t="str">
        <f t="shared" si="520"/>
        <v xml:space="preserve"> </v>
      </c>
      <c r="GH151" s="14" t="str">
        <f t="shared" si="409"/>
        <v xml:space="preserve"> </v>
      </c>
      <c r="GI151" s="14" t="str">
        <f t="shared" si="410"/>
        <v xml:space="preserve"> </v>
      </c>
      <c r="GJ151" s="14" t="str">
        <f t="shared" si="411"/>
        <v xml:space="preserve"> </v>
      </c>
      <c r="GK151" s="14" t="str">
        <f t="shared" si="412"/>
        <v xml:space="preserve"> </v>
      </c>
      <c r="GL151" s="14" t="str">
        <f t="shared" si="413"/>
        <v xml:space="preserve"> </v>
      </c>
      <c r="GM151" s="27" t="str">
        <f t="shared" si="520"/>
        <v xml:space="preserve"> </v>
      </c>
      <c r="GN151" s="14" t="str">
        <f t="shared" si="415"/>
        <v xml:space="preserve"> </v>
      </c>
      <c r="GO151" s="14" t="str">
        <f t="shared" si="416"/>
        <v xml:space="preserve"> </v>
      </c>
      <c r="GP151" s="14" t="str">
        <f t="shared" si="417"/>
        <v xml:space="preserve"> </v>
      </c>
      <c r="GQ151" s="14" t="str">
        <f t="shared" si="418"/>
        <v xml:space="preserve"> </v>
      </c>
      <c r="GR151" s="14" t="str">
        <f t="shared" si="419"/>
        <v xml:space="preserve"> </v>
      </c>
      <c r="GS151" s="27" t="str">
        <f t="shared" si="520"/>
        <v xml:space="preserve"> </v>
      </c>
      <c r="GT151" s="14" t="str">
        <f t="shared" si="421"/>
        <v xml:space="preserve"> </v>
      </c>
      <c r="GU151" s="14" t="str">
        <f t="shared" si="422"/>
        <v xml:space="preserve"> </v>
      </c>
      <c r="GV151" s="14" t="str">
        <f t="shared" si="423"/>
        <v xml:space="preserve"> </v>
      </c>
      <c r="GW151" s="14" t="str">
        <f t="shared" si="424"/>
        <v xml:space="preserve"> </v>
      </c>
      <c r="GX151" s="14" t="str">
        <f t="shared" si="425"/>
        <v xml:space="preserve"> </v>
      </c>
      <c r="GY151" s="27" t="str">
        <f t="shared" si="520"/>
        <v xml:space="preserve"> </v>
      </c>
      <c r="GZ151" s="14" t="str">
        <f t="shared" si="427"/>
        <v xml:space="preserve"> </v>
      </c>
      <c r="HA151" s="14" t="str">
        <f t="shared" si="428"/>
        <v xml:space="preserve"> </v>
      </c>
      <c r="HB151" s="14" t="str">
        <f t="shared" si="429"/>
        <v xml:space="preserve"> </v>
      </c>
      <c r="HC151" s="14" t="str">
        <f t="shared" si="430"/>
        <v xml:space="preserve"> </v>
      </c>
      <c r="HD151" s="14" t="str">
        <f t="shared" si="431"/>
        <v xml:space="preserve"> </v>
      </c>
      <c r="HE151" s="27" t="str">
        <f t="shared" si="521"/>
        <v xml:space="preserve"> </v>
      </c>
      <c r="HF151" s="14" t="str">
        <f t="shared" si="433"/>
        <v xml:space="preserve"> </v>
      </c>
      <c r="HG151" s="14" t="str">
        <f t="shared" si="434"/>
        <v xml:space="preserve"> </v>
      </c>
      <c r="HH151" s="14" t="str">
        <f t="shared" si="435"/>
        <v xml:space="preserve"> </v>
      </c>
      <c r="HI151" s="14" t="str">
        <f t="shared" si="436"/>
        <v xml:space="preserve"> </v>
      </c>
      <c r="HJ151" s="14" t="str">
        <f t="shared" si="437"/>
        <v xml:space="preserve"> </v>
      </c>
      <c r="HK151" s="27" t="str">
        <f t="shared" si="521"/>
        <v xml:space="preserve"> </v>
      </c>
      <c r="HL151" s="14" t="str">
        <f t="shared" si="439"/>
        <v xml:space="preserve"> </v>
      </c>
      <c r="HM151" s="14" t="str">
        <f t="shared" si="440"/>
        <v xml:space="preserve"> </v>
      </c>
      <c r="HN151" s="14" t="str">
        <f t="shared" si="441"/>
        <v xml:space="preserve"> </v>
      </c>
      <c r="HO151" s="14" t="str">
        <f t="shared" si="442"/>
        <v xml:space="preserve"> </v>
      </c>
      <c r="HP151" s="14" t="str">
        <f t="shared" si="443"/>
        <v xml:space="preserve"> </v>
      </c>
      <c r="HQ151" s="27" t="str">
        <f t="shared" si="521"/>
        <v xml:space="preserve"> </v>
      </c>
    </row>
    <row r="152" spans="1:225" ht="15.75" customHeight="1">
      <c r="A152" s="7">
        <f t="shared" ref="A152:C152" si="534">A44</f>
        <v>0</v>
      </c>
      <c r="B152" s="7">
        <f t="shared" si="534"/>
        <v>0</v>
      </c>
      <c r="C152" s="7" t="str">
        <f t="shared" si="534"/>
        <v>level of understanding</v>
      </c>
      <c r="D152" s="14" t="str">
        <f t="shared" si="446"/>
        <v xml:space="preserve"> </v>
      </c>
      <c r="E152" s="14" t="str">
        <f t="shared" si="447"/>
        <v xml:space="preserve"> </v>
      </c>
      <c r="F152" s="14" t="str">
        <f t="shared" si="448"/>
        <v xml:space="preserve"> </v>
      </c>
      <c r="G152" s="14" t="str">
        <f t="shared" si="449"/>
        <v xml:space="preserve">efficiency(1), user rules and manuals(2.1), organizational rules and manuals(2.1),  </v>
      </c>
      <c r="H152" s="14" t="str">
        <f t="shared" si="450"/>
        <v xml:space="preserve">efficiency(-1,6.25%),  </v>
      </c>
      <c r="I152" s="27" t="str">
        <f t="shared" ref="I152" si="535">IF(I44="",I153,$C152&amp;"("&amp;I44&amp;"),"&amp;I153)</f>
        <v xml:space="preserve">efficiency(6.25), </v>
      </c>
      <c r="J152" s="14" t="str">
        <f t="shared" si="229"/>
        <v xml:space="preserve"> </v>
      </c>
      <c r="K152" s="14" t="str">
        <f t="shared" si="230"/>
        <v xml:space="preserve"> </v>
      </c>
      <c r="L152" s="14" t="str">
        <f t="shared" si="231"/>
        <v xml:space="preserve"> </v>
      </c>
      <c r="M152" s="14" t="str">
        <f t="shared" si="232"/>
        <v xml:space="preserve">efficiency(0.1), organizational rules and manuals(1.1),  </v>
      </c>
      <c r="N152" s="14" t="str">
        <f t="shared" si="233"/>
        <v xml:space="preserve"> </v>
      </c>
      <c r="O152" s="27" t="str">
        <f t="shared" si="518"/>
        <v xml:space="preserve"> </v>
      </c>
      <c r="P152" s="14" t="str">
        <f t="shared" si="235"/>
        <v xml:space="preserve"> </v>
      </c>
      <c r="Q152" s="14" t="str">
        <f t="shared" si="236"/>
        <v xml:space="preserve"> </v>
      </c>
      <c r="R152" s="14" t="str">
        <f t="shared" si="237"/>
        <v xml:space="preserve"> </v>
      </c>
      <c r="S152" s="14" t="str">
        <f t="shared" si="238"/>
        <v xml:space="preserve">team building(0.1),  </v>
      </c>
      <c r="T152" s="14" t="str">
        <f t="shared" si="239"/>
        <v xml:space="preserve">business model(-1,6.25%), web(-1,6.25%), mobile apps(-1,6.25%), aesthetics(-1,6.25%),  </v>
      </c>
      <c r="U152" s="27" t="str">
        <f t="shared" si="518"/>
        <v xml:space="preserve">business model(6.25),web(6.25),mobile apps(6.25),aesthetics(6.25), </v>
      </c>
      <c r="V152" s="14" t="str">
        <f t="shared" si="241"/>
        <v xml:space="preserve"> </v>
      </c>
      <c r="W152" s="14" t="str">
        <f t="shared" si="242"/>
        <v xml:space="preserve">efficiency(-1,25%),  </v>
      </c>
      <c r="X152" s="14" t="str">
        <f t="shared" si="243"/>
        <v xml:space="preserve">efficiency(25)
 </v>
      </c>
      <c r="Y152" s="14" t="str">
        <f t="shared" si="244"/>
        <v xml:space="preserve">spaciousness(1), ease of access(3), reputation(2), user rules and manuals(0.1), project management(0.1), negotiation(0.1),  </v>
      </c>
      <c r="Z152" s="14" t="str">
        <f t="shared" si="245"/>
        <v xml:space="preserve">reputation(-1,%),  </v>
      </c>
      <c r="AA152" s="27" t="str">
        <f t="shared" si="518"/>
        <v xml:space="preserve"> </v>
      </c>
      <c r="AB152" s="14" t="str">
        <f t="shared" si="247"/>
        <v xml:space="preserve"> </v>
      </c>
      <c r="AC152" s="14" t="str">
        <f t="shared" si="248"/>
        <v xml:space="preserve"> </v>
      </c>
      <c r="AD152" s="14" t="str">
        <f t="shared" si="249"/>
        <v xml:space="preserve"> </v>
      </c>
      <c r="AE152" s="14" t="str">
        <f t="shared" si="250"/>
        <v xml:space="preserve">spaciousness(1), user rules and manuals(1.1), organizational rules and manuals(1.1),  </v>
      </c>
      <c r="AF152" s="14" t="str">
        <f t="shared" si="251"/>
        <v xml:space="preserve">local biz(-1,6.25%), investors(-1,6.25%), non-profits(-1,6.25%), efficiency(-1,6.25%),  </v>
      </c>
      <c r="AG152" s="27" t="str">
        <f t="shared" si="518"/>
        <v xml:space="preserve">local biz(6.25),investors(6.25),non-profits(6.25),efficiency(6.25), </v>
      </c>
      <c r="AH152" s="14" t="str">
        <f t="shared" si="253"/>
        <v xml:space="preserve">ease of access(1)
reputation(1)
 </v>
      </c>
      <c r="AI152" s="14" t="str">
        <f t="shared" si="254"/>
        <v xml:space="preserve"> </v>
      </c>
      <c r="AJ152" s="14" t="str">
        <f t="shared" si="255"/>
        <v xml:space="preserve"> </v>
      </c>
      <c r="AK152" s="14" t="str">
        <f t="shared" si="256"/>
        <v xml:space="preserve">spaciousness(1), ease of access(1), reputation(2), user rules and manuals(2.1), organizational rules and manuals(2.1), law(1.1), negotiation(1.1),  </v>
      </c>
      <c r="AL152" s="14" t="str">
        <f t="shared" si="257"/>
        <v xml:space="preserve">govt(-1,6.25%), non-profits(-1,6.25%), reputation(-1,6.25%),  </v>
      </c>
      <c r="AM152" s="27" t="str">
        <f t="shared" si="518"/>
        <v xml:space="preserve">govt(6.25),non-profits(6.25),reputation(6.25), </v>
      </c>
      <c r="AN152" s="14" t="str">
        <f t="shared" si="259"/>
        <v xml:space="preserve"> </v>
      </c>
      <c r="AO152" s="14" t="str">
        <f t="shared" si="260"/>
        <v xml:space="preserve"> </v>
      </c>
      <c r="AP152" s="14" t="str">
        <f t="shared" si="261"/>
        <v xml:space="preserve"> </v>
      </c>
      <c r="AQ152" s="14" t="str">
        <f t="shared" si="262"/>
        <v xml:space="preserve">spaciousness(2.1), reputation(3), organizational rules and manuals(2.1), team building(2.1),  </v>
      </c>
      <c r="AR152" s="14" t="str">
        <f t="shared" si="263"/>
        <v xml:space="preserve">reputation(-1,6.25%), efficiency(-1,6.25%),  </v>
      </c>
      <c r="AS152" s="27" t="str">
        <f t="shared" si="518"/>
        <v xml:space="preserve">reputation(6.25),efficiency(6.25), </v>
      </c>
      <c r="AT152" s="14" t="str">
        <f t="shared" si="265"/>
        <v xml:space="preserve"> </v>
      </c>
      <c r="AU152" s="14" t="str">
        <f t="shared" si="266"/>
        <v xml:space="preserve"> </v>
      </c>
      <c r="AV152" s="14" t="str">
        <f t="shared" si="267"/>
        <v xml:space="preserve"> </v>
      </c>
      <c r="AW152" s="14" t="str">
        <f t="shared" si="268"/>
        <v xml:space="preserve">user rules and manuals(2.1), team building(2.1),  </v>
      </c>
      <c r="AX152" s="14" t="str">
        <f t="shared" si="269"/>
        <v xml:space="preserve"> </v>
      </c>
      <c r="AY152" s="27" t="str">
        <f t="shared" si="518"/>
        <v xml:space="preserve"> </v>
      </c>
      <c r="AZ152" s="14" t="str">
        <f t="shared" si="271"/>
        <v xml:space="preserve"> </v>
      </c>
      <c r="BA152" s="14" t="str">
        <f t="shared" si="272"/>
        <v xml:space="preserve">efficiency(-1,12.5%), user rules and manuals(1,25%),  </v>
      </c>
      <c r="BB152" s="14" t="str">
        <f t="shared" si="273"/>
        <v xml:space="preserve">efficiency(12.5)
user rules and manuals(25)
 </v>
      </c>
      <c r="BC152" s="14" t="str">
        <f t="shared" si="274"/>
        <v xml:space="preserve">user rules and manuals(2.1), organizational rules and manuals(2.1),  </v>
      </c>
      <c r="BD152" s="14" t="str">
        <f t="shared" si="275"/>
        <v xml:space="preserve">reputation(-1,6.25%),  </v>
      </c>
      <c r="BE152" s="27" t="str">
        <f t="shared" si="518"/>
        <v xml:space="preserve">reputation(6.25), </v>
      </c>
      <c r="BF152" s="14" t="str">
        <f t="shared" si="277"/>
        <v xml:space="preserve"> </v>
      </c>
      <c r="BG152" s="14" t="str">
        <f t="shared" si="278"/>
        <v xml:space="preserve">user rules and manuals(1,25%), organizational rules and manuals(1,25%),  </v>
      </c>
      <c r="BH152" s="14" t="str">
        <f t="shared" si="279"/>
        <v xml:space="preserve">user rules and manuals(25)
organizational rules and manuals(25)
 </v>
      </c>
      <c r="BI152" s="14" t="str">
        <f t="shared" si="280"/>
        <v xml:space="preserve"> </v>
      </c>
      <c r="BJ152" s="14" t="str">
        <f t="shared" si="281"/>
        <v xml:space="preserve">reputation(-1,6.25%), efficiency(-1,25%),  </v>
      </c>
      <c r="BK152" s="27" t="str">
        <f t="shared" si="518"/>
        <v xml:space="preserve">reputation(6.25),efficiency(25), </v>
      </c>
      <c r="BL152" s="14" t="str">
        <f t="shared" si="283"/>
        <v xml:space="preserve">local biz(1)
ease of access(1)
reputation(1)
aesthetics(1)
 </v>
      </c>
      <c r="BM152" s="14" t="str">
        <f t="shared" si="284"/>
        <v xml:space="preserve">biz enhancement(1,%),  </v>
      </c>
      <c r="BN152" s="14" t="str">
        <f t="shared" si="285"/>
        <v xml:space="preserve"> </v>
      </c>
      <c r="BO152" s="14" t="str">
        <f t="shared" si="286"/>
        <v xml:space="preserve">ease of access(2), reputation(3), efficiency(2), user rules and manuals(1), marketing(1), negotiation(1), aesthetics(2), functions(1), safety(1),  </v>
      </c>
      <c r="BP152" s="14" t="str">
        <f t="shared" si="287"/>
        <v xml:space="preserve">local biz(1,6.25%),  </v>
      </c>
      <c r="BQ152" s="27" t="str">
        <f t="shared" si="518"/>
        <v xml:space="preserve">local biz(6.25), </v>
      </c>
      <c r="BR152" s="14" t="str">
        <f t="shared" si="289"/>
        <v xml:space="preserve">local biz(1)
ease of access(1)
reputation(1)
aesthetics(1)
 </v>
      </c>
      <c r="BS152" s="14" t="str">
        <f t="shared" si="290"/>
        <v xml:space="preserve">biz project(1,%),  </v>
      </c>
      <c r="BT152" s="14" t="str">
        <f t="shared" si="291"/>
        <v xml:space="preserve"> </v>
      </c>
      <c r="BU152" s="14" t="str">
        <f t="shared" si="292"/>
        <v xml:space="preserve">ease of access(2), reputation(3), efficiency(2), user rules and manuals(1), marketing(1), negotiation(1), wood processing(1), aesthetics(2),  </v>
      </c>
      <c r="BV152" s="14" t="str">
        <f t="shared" si="293"/>
        <v xml:space="preserve">local biz(1,6.25%),  </v>
      </c>
      <c r="BW152" s="27" t="str">
        <f t="shared" si="518"/>
        <v xml:space="preserve">local biz(6.25), </v>
      </c>
      <c r="BX152" s="14" t="str">
        <f t="shared" si="295"/>
        <v xml:space="preserve">local biz(1)
ease of access(1)
reputation(1)
aesthetics(1)
interaction(1)
 </v>
      </c>
      <c r="BY152" s="14" t="str">
        <f t="shared" si="296"/>
        <v xml:space="preserve">biz project(1,%),  </v>
      </c>
      <c r="BZ152" s="14" t="str">
        <f t="shared" si="297"/>
        <v xml:space="preserve"> </v>
      </c>
      <c r="CA152" s="14" t="str">
        <f t="shared" si="298"/>
        <v xml:space="preserve">ease of access(2), reputation(3), efficiency(2), user rules and manuals(1), marketing(1), team building(1), social media(1), negotiation(1), web(2), infrastructrue(2), database(2), security(3), aesthetics(2), functions(1), interaction(2),  </v>
      </c>
      <c r="CB152" s="14" t="str">
        <f t="shared" si="299"/>
        <v xml:space="preserve">local biz(1,6.25%),  </v>
      </c>
      <c r="CC152" s="27" t="str">
        <f t="shared" si="519"/>
        <v xml:space="preserve">local biz(6.25), </v>
      </c>
      <c r="CD152" s="14" t="str">
        <f t="shared" si="301"/>
        <v xml:space="preserve">ease of access(1)
reputation(1)
aesthetics(1)
 </v>
      </c>
      <c r="CE152" s="14" t="str">
        <f t="shared" si="302"/>
        <v xml:space="preserve">biz project(1,%),  </v>
      </c>
      <c r="CF152" s="14" t="str">
        <f t="shared" si="303"/>
        <v xml:space="preserve"> </v>
      </c>
      <c r="CG152" s="14" t="str">
        <f t="shared" si="304"/>
        <v xml:space="preserve">ease of access(2), efficiency(2), user rules and manuals(1), marketing(1), team building(1), negotiation(1), infrastructrue(1), database(2), mobile apps(2), security(3), aesthetics(2), functions(1), interaction(2),  </v>
      </c>
      <c r="CH152" s="14" t="str">
        <f t="shared" si="305"/>
        <v xml:space="preserve">local biz(1,6.25%),  </v>
      </c>
      <c r="CI152" s="27" t="str">
        <f t="shared" si="519"/>
        <v xml:space="preserve">local biz(6.25), </v>
      </c>
      <c r="CJ152" s="14" t="str">
        <f t="shared" si="307"/>
        <v xml:space="preserve">ease of access(1)
reputation(1)
aesthetics(1)
 </v>
      </c>
      <c r="CK152" s="14" t="str">
        <f t="shared" si="308"/>
        <v xml:space="preserve">biz project(1,%),  </v>
      </c>
      <c r="CL152" s="14" t="str">
        <f t="shared" si="309"/>
        <v xml:space="preserve"> </v>
      </c>
      <c r="CM152" s="14" t="str">
        <f t="shared" si="310"/>
        <v xml:space="preserve">ease of access(2), reputation(3), efficiency(2), user rules and manuals(1), marketing(2), team building(1), social media(2), negotiation(1), web(2), infrastructrue(2), database(2), mobile apps(2), security(2), aesthetics(2), functions(1), interaction(2),  </v>
      </c>
      <c r="CN152" s="14" t="str">
        <f t="shared" si="311"/>
        <v xml:space="preserve">local biz(1,6.25%),  </v>
      </c>
      <c r="CO152" s="27" t="str">
        <f t="shared" si="519"/>
        <v xml:space="preserve">local biz(6.25), </v>
      </c>
      <c r="CP152" s="14" t="str">
        <f t="shared" si="313"/>
        <v xml:space="preserve">local biz(1)
metal processing(1)
functions(1)
 </v>
      </c>
      <c r="CQ152" s="14" t="str">
        <f t="shared" si="314"/>
        <v xml:space="preserve">local biz(1,50%), biz enhancement(1,50%),  </v>
      </c>
      <c r="CR152" s="14" t="str">
        <f t="shared" si="315"/>
        <v xml:space="preserve">local biz(50)
biz enhancement(50)
 </v>
      </c>
      <c r="CS152" s="14" t="str">
        <f t="shared" si="316"/>
        <v xml:space="preserve">ease of access(2), reputation(3), efficiency(2), metal processing(2), electronics(2), aesthetics(2), functions(2), safety(2),  </v>
      </c>
      <c r="CT152" s="14" t="str">
        <f t="shared" si="317"/>
        <v xml:space="preserve">reputation(1,6.25%),  </v>
      </c>
      <c r="CU152" s="27" t="str">
        <f t="shared" si="519"/>
        <v xml:space="preserve">reputation(6.25), </v>
      </c>
      <c r="CV152" s="14" t="str">
        <f t="shared" si="319"/>
        <v xml:space="preserve">non-profits(1)
wood processing(1)
aesthetics(1)
interaction(1)
 </v>
      </c>
      <c r="CW152" s="14" t="str">
        <f t="shared" si="320"/>
        <v xml:space="preserve">non-profits(1,50%), social project(1,50%),  </v>
      </c>
      <c r="CX152" s="14" t="str">
        <f t="shared" si="321"/>
        <v xml:space="preserve">non-profits(50)
social project(50)
 </v>
      </c>
      <c r="CY152" s="14" t="str">
        <f t="shared" si="322"/>
        <v xml:space="preserve">ease of access(2), efficiency(3), sensors(2), wood processing(2), plastic processing(2), electronics(2), aesthetics(2), functions(1), safety(1), interaction(2),  </v>
      </c>
      <c r="CZ152" s="14" t="str">
        <f t="shared" si="323"/>
        <v xml:space="preserve">media(1,6.25%), reputation(1,6.25%), portfolio(1,6.25%),  </v>
      </c>
      <c r="DA152" s="27" t="str">
        <f t="shared" si="519"/>
        <v xml:space="preserve">media(6.25),reputation(6.25),portfolio(6.25), </v>
      </c>
      <c r="DB152" s="14" t="str">
        <f t="shared" si="325"/>
        <v xml:space="preserve">non-profits(1)
aesthetics(1)
interaction(1)
 </v>
      </c>
      <c r="DC152" s="14" t="str">
        <f t="shared" si="326"/>
        <v xml:space="preserve">non-profits(1,50%), social project(1,50%),  </v>
      </c>
      <c r="DD152" s="14" t="str">
        <f t="shared" si="327"/>
        <v xml:space="preserve">non-profits(50)
social project(50)
 </v>
      </c>
      <c r="DE152" s="14" t="str">
        <f t="shared" si="328"/>
        <v xml:space="preserve">ease of access(2), efficiency(3), VR&amp;AR(2),  </v>
      </c>
      <c r="DF152" s="14" t="str">
        <f t="shared" si="329"/>
        <v xml:space="preserve">media(1,6.25%), reputation(1,6.25%), portfolio(1,6.25%),  </v>
      </c>
      <c r="DG152" s="27" t="str">
        <f t="shared" si="519"/>
        <v xml:space="preserve">media(6.25),reputation(6.25),portfolio(6.25), </v>
      </c>
      <c r="DH152" s="14" t="str">
        <f t="shared" si="331"/>
        <v xml:space="preserve">wood processing(1)
aesthetics(1)
safety(1)
 </v>
      </c>
      <c r="DI152" s="14" t="str">
        <f t="shared" si="332"/>
        <v xml:space="preserve">social project(1,100%),  </v>
      </c>
      <c r="DJ152" s="14" t="str">
        <f t="shared" si="333"/>
        <v xml:space="preserve">social project(100)
 </v>
      </c>
      <c r="DK152" s="14" t="str">
        <f t="shared" si="334"/>
        <v xml:space="preserve">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2" s="14" t="str">
        <f t="shared" si="335"/>
        <v xml:space="preserve">reputation(1,6.25%), portfolio(1,6.25%), team building(1,6.25%),  </v>
      </c>
      <c r="DM152" s="27" t="str">
        <f t="shared" si="519"/>
        <v xml:space="preserve">reputation(6.25),portfolio(6.25),team building(6.25), </v>
      </c>
      <c r="DN152" s="14" t="str">
        <f t="shared" si="337"/>
        <v xml:space="preserve">suppliers(2)
spaciousness(1)
ease of access(2)
reputation(3)
project management(2)
wood processing(1)
plastic processing(1)
electronics(1)
aesthetics(2)
functions(1)
safety(1)
biz project(1)
 </v>
      </c>
      <c r="DO152" s="14" t="str">
        <f t="shared" si="338"/>
        <v xml:space="preserve">reputation(1,25%), portfolio(1,50%),  </v>
      </c>
      <c r="DP152" s="14" t="str">
        <f t="shared" si="339"/>
        <v xml:space="preserve">reputation(25)
portfolio(50)
 </v>
      </c>
      <c r="DQ152" s="14" t="str">
        <f t="shared" si="340"/>
        <v xml:space="preserve">media(3), suppliers(3), social media(2), wood processing(2), plastic processing(2), electronics(2), aesthetics(2),  </v>
      </c>
      <c r="DR152" s="14" t="str">
        <f t="shared" si="341"/>
        <v xml:space="preserve">suppliers(1,6.25%), reputation(1,6.25%),  </v>
      </c>
      <c r="DS152" s="27" t="str">
        <f t="shared" si="519"/>
        <v xml:space="preserve">suppliers(6.25),reputation(6.25), </v>
      </c>
      <c r="DT152" s="14" t="str">
        <f t="shared" si="343"/>
        <v xml:space="preserve">reputation(3)
portfolio(2)
 </v>
      </c>
      <c r="DU152" s="14" t="str">
        <f t="shared" si="344"/>
        <v xml:space="preserve">govt(1,25%), non-profits(1,50%), reputation(1,25%),  </v>
      </c>
      <c r="DV152" s="14" t="str">
        <f t="shared" si="345"/>
        <v xml:space="preserve">govt(25)
non-profits(50)
reputation(25)
 </v>
      </c>
      <c r="DW152" s="14" t="str">
        <f t="shared" si="346"/>
        <v xml:space="preserve">social media(2),  </v>
      </c>
      <c r="DX152" s="14" t="str">
        <f t="shared" si="347"/>
        <v xml:space="preserve">reputation(1,6.25%),  </v>
      </c>
      <c r="DY152" s="27" t="str">
        <f t="shared" si="519"/>
        <v xml:space="preserve">reputation(6.25), </v>
      </c>
      <c r="DZ152" s="14" t="str">
        <f t="shared" si="349"/>
        <v xml:space="preserve"> </v>
      </c>
      <c r="EA152" s="14" t="str">
        <f t="shared" si="350"/>
        <v xml:space="preserve"> </v>
      </c>
      <c r="EB152" s="14" t="str">
        <f t="shared" si="351"/>
        <v xml:space="preserve"> </v>
      </c>
      <c r="EC152" s="14" t="str">
        <f t="shared" si="352"/>
        <v xml:space="preserve"> </v>
      </c>
      <c r="ED152" s="14" t="str">
        <f t="shared" si="353"/>
        <v xml:space="preserve"> </v>
      </c>
      <c r="EE152" s="27" t="str">
        <f t="shared" si="519"/>
        <v xml:space="preserve"> </v>
      </c>
      <c r="EF152" s="14" t="str">
        <f t="shared" si="355"/>
        <v xml:space="preserve"> </v>
      </c>
      <c r="EG152" s="14" t="str">
        <f t="shared" si="356"/>
        <v xml:space="preserve"> </v>
      </c>
      <c r="EH152" s="14" t="str">
        <f t="shared" si="357"/>
        <v xml:space="preserve"> </v>
      </c>
      <c r="EI152" s="14" t="str">
        <f t="shared" si="358"/>
        <v xml:space="preserve"> </v>
      </c>
      <c r="EJ152" s="14" t="str">
        <f t="shared" si="359"/>
        <v xml:space="preserve"> </v>
      </c>
      <c r="EK152" s="27" t="str">
        <f t="shared" si="519"/>
        <v xml:space="preserve"> </v>
      </c>
      <c r="EL152" s="14" t="str">
        <f t="shared" si="361"/>
        <v xml:space="preserve"> </v>
      </c>
      <c r="EM152" s="14" t="str">
        <f t="shared" si="362"/>
        <v xml:space="preserve"> </v>
      </c>
      <c r="EN152" s="14" t="str">
        <f t="shared" si="363"/>
        <v xml:space="preserve"> </v>
      </c>
      <c r="EO152" s="14" t="str">
        <f t="shared" si="364"/>
        <v xml:space="preserve"> </v>
      </c>
      <c r="EP152" s="14" t="str">
        <f t="shared" si="365"/>
        <v xml:space="preserve"> </v>
      </c>
      <c r="EQ152" s="27" t="str">
        <f t="shared" si="520"/>
        <v xml:space="preserve"> </v>
      </c>
      <c r="ER152" s="14" t="str">
        <f t="shared" si="367"/>
        <v xml:space="preserve"> </v>
      </c>
      <c r="ES152" s="14" t="str">
        <f t="shared" si="368"/>
        <v xml:space="preserve"> </v>
      </c>
      <c r="ET152" s="14" t="str">
        <f t="shared" si="369"/>
        <v xml:space="preserve"> </v>
      </c>
      <c r="EU152" s="14" t="str">
        <f t="shared" si="370"/>
        <v xml:space="preserve"> </v>
      </c>
      <c r="EV152" s="14" t="str">
        <f t="shared" si="371"/>
        <v xml:space="preserve"> </v>
      </c>
      <c r="EW152" s="27" t="str">
        <f t="shared" si="520"/>
        <v xml:space="preserve"> </v>
      </c>
      <c r="EX152" s="14" t="str">
        <f t="shared" si="373"/>
        <v xml:space="preserve"> </v>
      </c>
      <c r="EY152" s="14" t="str">
        <f t="shared" si="374"/>
        <v xml:space="preserve"> </v>
      </c>
      <c r="EZ152" s="14" t="str">
        <f t="shared" si="375"/>
        <v xml:space="preserve"> </v>
      </c>
      <c r="FA152" s="14" t="str">
        <f t="shared" si="376"/>
        <v xml:space="preserve"> </v>
      </c>
      <c r="FB152" s="14" t="str">
        <f t="shared" si="377"/>
        <v xml:space="preserve"> </v>
      </c>
      <c r="FC152" s="27" t="str">
        <f t="shared" si="520"/>
        <v xml:space="preserve"> </v>
      </c>
      <c r="FD152" s="14" t="str">
        <f t="shared" si="379"/>
        <v xml:space="preserve"> </v>
      </c>
      <c r="FE152" s="14" t="str">
        <f t="shared" si="380"/>
        <v xml:space="preserve"> </v>
      </c>
      <c r="FF152" s="14" t="str">
        <f t="shared" si="381"/>
        <v xml:space="preserve"> </v>
      </c>
      <c r="FG152" s="14" t="str">
        <f t="shared" si="382"/>
        <v xml:space="preserve"> </v>
      </c>
      <c r="FH152" s="14" t="str">
        <f t="shared" si="383"/>
        <v xml:space="preserve"> </v>
      </c>
      <c r="FI152" s="27" t="str">
        <f t="shared" si="520"/>
        <v xml:space="preserve"> </v>
      </c>
      <c r="FJ152" s="14" t="str">
        <f t="shared" si="385"/>
        <v xml:space="preserve"> </v>
      </c>
      <c r="FK152" s="14" t="str">
        <f t="shared" si="386"/>
        <v xml:space="preserve"> </v>
      </c>
      <c r="FL152" s="14" t="str">
        <f t="shared" si="387"/>
        <v xml:space="preserve"> </v>
      </c>
      <c r="FM152" s="14" t="str">
        <f t="shared" si="388"/>
        <v xml:space="preserve"> </v>
      </c>
      <c r="FN152" s="14" t="str">
        <f t="shared" si="389"/>
        <v xml:space="preserve"> </v>
      </c>
      <c r="FO152" s="27" t="str">
        <f t="shared" si="520"/>
        <v xml:space="preserve"> </v>
      </c>
      <c r="FP152" s="14" t="str">
        <f t="shared" si="391"/>
        <v xml:space="preserve"> </v>
      </c>
      <c r="FQ152" s="14" t="str">
        <f t="shared" si="392"/>
        <v xml:space="preserve"> </v>
      </c>
      <c r="FR152" s="14" t="str">
        <f t="shared" si="393"/>
        <v xml:space="preserve"> </v>
      </c>
      <c r="FS152" s="14" t="str">
        <f t="shared" si="394"/>
        <v xml:space="preserve"> </v>
      </c>
      <c r="FT152" s="14" t="str">
        <f t="shared" si="395"/>
        <v xml:space="preserve"> </v>
      </c>
      <c r="FU152" s="27" t="str">
        <f t="shared" si="520"/>
        <v xml:space="preserve"> </v>
      </c>
      <c r="FV152" s="14" t="str">
        <f t="shared" si="397"/>
        <v xml:space="preserve"> </v>
      </c>
      <c r="FW152" s="14" t="str">
        <f t="shared" si="398"/>
        <v xml:space="preserve"> </v>
      </c>
      <c r="FX152" s="14" t="str">
        <f t="shared" si="399"/>
        <v xml:space="preserve"> </v>
      </c>
      <c r="FY152" s="14" t="str">
        <f t="shared" si="400"/>
        <v xml:space="preserve"> </v>
      </c>
      <c r="FZ152" s="14" t="str">
        <f t="shared" si="401"/>
        <v xml:space="preserve"> </v>
      </c>
      <c r="GA152" s="27" t="str">
        <f t="shared" si="520"/>
        <v xml:space="preserve"> </v>
      </c>
      <c r="GB152" s="14" t="str">
        <f t="shared" si="403"/>
        <v xml:space="preserve"> </v>
      </c>
      <c r="GC152" s="14" t="str">
        <f t="shared" si="404"/>
        <v xml:space="preserve"> </v>
      </c>
      <c r="GD152" s="14" t="str">
        <f t="shared" si="405"/>
        <v xml:space="preserve"> </v>
      </c>
      <c r="GE152" s="14" t="str">
        <f t="shared" si="406"/>
        <v xml:space="preserve"> </v>
      </c>
      <c r="GF152" s="14" t="str">
        <f t="shared" si="407"/>
        <v xml:space="preserve"> </v>
      </c>
      <c r="GG152" s="27" t="str">
        <f t="shared" si="520"/>
        <v xml:space="preserve"> </v>
      </c>
      <c r="GH152" s="14" t="str">
        <f t="shared" si="409"/>
        <v xml:space="preserve"> </v>
      </c>
      <c r="GI152" s="14" t="str">
        <f t="shared" si="410"/>
        <v xml:space="preserve"> </v>
      </c>
      <c r="GJ152" s="14" t="str">
        <f t="shared" si="411"/>
        <v xml:space="preserve"> </v>
      </c>
      <c r="GK152" s="14" t="str">
        <f t="shared" si="412"/>
        <v xml:space="preserve"> </v>
      </c>
      <c r="GL152" s="14" t="str">
        <f t="shared" si="413"/>
        <v xml:space="preserve"> </v>
      </c>
      <c r="GM152" s="27" t="str">
        <f t="shared" si="520"/>
        <v xml:space="preserve"> </v>
      </c>
      <c r="GN152" s="14" t="str">
        <f t="shared" si="415"/>
        <v xml:space="preserve"> </v>
      </c>
      <c r="GO152" s="14" t="str">
        <f t="shared" si="416"/>
        <v xml:space="preserve"> </v>
      </c>
      <c r="GP152" s="14" t="str">
        <f t="shared" si="417"/>
        <v xml:space="preserve"> </v>
      </c>
      <c r="GQ152" s="14" t="str">
        <f t="shared" si="418"/>
        <v xml:space="preserve"> </v>
      </c>
      <c r="GR152" s="14" t="str">
        <f t="shared" si="419"/>
        <v xml:space="preserve"> </v>
      </c>
      <c r="GS152" s="27" t="str">
        <f t="shared" si="520"/>
        <v xml:space="preserve"> </v>
      </c>
      <c r="GT152" s="14" t="str">
        <f t="shared" si="421"/>
        <v xml:space="preserve"> </v>
      </c>
      <c r="GU152" s="14" t="str">
        <f t="shared" si="422"/>
        <v xml:space="preserve"> </v>
      </c>
      <c r="GV152" s="14" t="str">
        <f t="shared" si="423"/>
        <v xml:space="preserve"> </v>
      </c>
      <c r="GW152" s="14" t="str">
        <f t="shared" si="424"/>
        <v xml:space="preserve"> </v>
      </c>
      <c r="GX152" s="14" t="str">
        <f t="shared" si="425"/>
        <v xml:space="preserve"> </v>
      </c>
      <c r="GY152" s="27" t="str">
        <f t="shared" si="520"/>
        <v xml:space="preserve"> </v>
      </c>
      <c r="GZ152" s="14" t="str">
        <f t="shared" si="427"/>
        <v xml:space="preserve"> </v>
      </c>
      <c r="HA152" s="14" t="str">
        <f t="shared" si="428"/>
        <v xml:space="preserve"> </v>
      </c>
      <c r="HB152" s="14" t="str">
        <f t="shared" si="429"/>
        <v xml:space="preserve"> </v>
      </c>
      <c r="HC152" s="14" t="str">
        <f t="shared" si="430"/>
        <v xml:space="preserve"> </v>
      </c>
      <c r="HD152" s="14" t="str">
        <f t="shared" si="431"/>
        <v xml:space="preserve"> </v>
      </c>
      <c r="HE152" s="27" t="str">
        <f t="shared" si="521"/>
        <v xml:space="preserve"> </v>
      </c>
      <c r="HF152" s="14" t="str">
        <f t="shared" si="433"/>
        <v xml:space="preserve"> </v>
      </c>
      <c r="HG152" s="14" t="str">
        <f t="shared" si="434"/>
        <v xml:space="preserve"> </v>
      </c>
      <c r="HH152" s="14" t="str">
        <f t="shared" si="435"/>
        <v xml:space="preserve"> </v>
      </c>
      <c r="HI152" s="14" t="str">
        <f t="shared" si="436"/>
        <v xml:space="preserve"> </v>
      </c>
      <c r="HJ152" s="14" t="str">
        <f t="shared" si="437"/>
        <v xml:space="preserve"> </v>
      </c>
      <c r="HK152" s="27" t="str">
        <f t="shared" si="521"/>
        <v xml:space="preserve"> </v>
      </c>
      <c r="HL152" s="14" t="str">
        <f t="shared" si="439"/>
        <v xml:space="preserve"> </v>
      </c>
      <c r="HM152" s="14" t="str">
        <f t="shared" si="440"/>
        <v xml:space="preserve"> </v>
      </c>
      <c r="HN152" s="14" t="str">
        <f t="shared" si="441"/>
        <v xml:space="preserve"> </v>
      </c>
      <c r="HO152" s="14" t="str">
        <f t="shared" si="442"/>
        <v xml:space="preserve"> </v>
      </c>
      <c r="HP152" s="14" t="str">
        <f t="shared" si="443"/>
        <v xml:space="preserve"> </v>
      </c>
      <c r="HQ152" s="27" t="str">
        <f t="shared" si="521"/>
        <v xml:space="preserve"> </v>
      </c>
    </row>
    <row r="153" spans="1:225" ht="15.75" customHeight="1">
      <c r="A153" s="7">
        <f t="shared" ref="A153:C153" si="536">A45</f>
        <v>0</v>
      </c>
      <c r="B153" s="7">
        <f t="shared" si="536"/>
        <v>0</v>
      </c>
      <c r="C153" s="7" t="str">
        <f t="shared" si="536"/>
        <v>ambition</v>
      </c>
      <c r="D153" s="14" t="str">
        <f t="shared" si="446"/>
        <v xml:space="preserve"> </v>
      </c>
      <c r="E153" s="14" t="str">
        <f t="shared" si="447"/>
        <v xml:space="preserve"> </v>
      </c>
      <c r="F153" s="14" t="str">
        <f t="shared" si="448"/>
        <v xml:space="preserve"> </v>
      </c>
      <c r="G153" s="14" t="str">
        <f t="shared" si="449"/>
        <v xml:space="preserve">efficiency(1), user rules and manuals(2.1), organizational rules and manuals(2.1),  </v>
      </c>
      <c r="H153" s="14" t="str">
        <f t="shared" si="450"/>
        <v xml:space="preserve">efficiency(-1,6.25%),  </v>
      </c>
      <c r="I153" s="27" t="str">
        <f t="shared" ref="I153" si="537">IF(I45="",I154,$C153&amp;"("&amp;I45&amp;"),"&amp;I154)</f>
        <v xml:space="preserve">efficiency(6.25), </v>
      </c>
      <c r="J153" s="14" t="str">
        <f t="shared" si="229"/>
        <v xml:space="preserve"> </v>
      </c>
      <c r="K153" s="14" t="str">
        <f t="shared" si="230"/>
        <v xml:space="preserve"> </v>
      </c>
      <c r="L153" s="14" t="str">
        <f t="shared" si="231"/>
        <v xml:space="preserve"> </v>
      </c>
      <c r="M153" s="14" t="str">
        <f t="shared" si="232"/>
        <v xml:space="preserve">efficiency(0.1), organizational rules and manuals(1.1),  </v>
      </c>
      <c r="N153" s="14" t="str">
        <f t="shared" si="233"/>
        <v xml:space="preserve"> </v>
      </c>
      <c r="O153" s="27" t="str">
        <f t="shared" si="518"/>
        <v xml:space="preserve"> </v>
      </c>
      <c r="P153" s="14" t="str">
        <f t="shared" si="235"/>
        <v xml:space="preserve"> </v>
      </c>
      <c r="Q153" s="14" t="str">
        <f t="shared" si="236"/>
        <v xml:space="preserve"> </v>
      </c>
      <c r="R153" s="14" t="str">
        <f t="shared" si="237"/>
        <v xml:space="preserve"> </v>
      </c>
      <c r="S153" s="14" t="str">
        <f t="shared" si="238"/>
        <v xml:space="preserve">team building(0.1),  </v>
      </c>
      <c r="T153" s="14" t="str">
        <f t="shared" si="239"/>
        <v xml:space="preserve">business model(-1,6.25%), web(-1,6.25%), mobile apps(-1,6.25%), aesthetics(-1,6.25%),  </v>
      </c>
      <c r="U153" s="27" t="str">
        <f t="shared" si="518"/>
        <v xml:space="preserve">business model(6.25),web(6.25),mobile apps(6.25),aesthetics(6.25), </v>
      </c>
      <c r="V153" s="14" t="str">
        <f t="shared" si="241"/>
        <v xml:space="preserve"> </v>
      </c>
      <c r="W153" s="14" t="str">
        <f t="shared" si="242"/>
        <v xml:space="preserve">efficiency(-1,25%),  </v>
      </c>
      <c r="X153" s="14" t="str">
        <f t="shared" si="243"/>
        <v xml:space="preserve">efficiency(25)
 </v>
      </c>
      <c r="Y153" s="14" t="str">
        <f t="shared" si="244"/>
        <v xml:space="preserve">spaciousness(1), ease of access(3), reputation(2), user rules and manuals(0.1), project management(0.1), negotiation(0.1),  </v>
      </c>
      <c r="Z153" s="14" t="str">
        <f t="shared" si="245"/>
        <v xml:space="preserve">reputation(-1,%),  </v>
      </c>
      <c r="AA153" s="27" t="str">
        <f t="shared" si="518"/>
        <v xml:space="preserve"> </v>
      </c>
      <c r="AB153" s="14" t="str">
        <f t="shared" si="247"/>
        <v xml:space="preserve"> </v>
      </c>
      <c r="AC153" s="14" t="str">
        <f t="shared" si="248"/>
        <v xml:space="preserve"> </v>
      </c>
      <c r="AD153" s="14" t="str">
        <f t="shared" si="249"/>
        <v xml:space="preserve"> </v>
      </c>
      <c r="AE153" s="14" t="str">
        <f t="shared" si="250"/>
        <v xml:space="preserve">spaciousness(1), user rules and manuals(1.1), organizational rules and manuals(1.1),  </v>
      </c>
      <c r="AF153" s="14" t="str">
        <f t="shared" si="251"/>
        <v xml:space="preserve">local biz(-1,6.25%), investors(-1,6.25%), non-profits(-1,6.25%), efficiency(-1,6.25%),  </v>
      </c>
      <c r="AG153" s="27" t="str">
        <f t="shared" si="518"/>
        <v xml:space="preserve">local biz(6.25),investors(6.25),non-profits(6.25),efficiency(6.25), </v>
      </c>
      <c r="AH153" s="14" t="str">
        <f t="shared" si="253"/>
        <v xml:space="preserve">ease of access(1)
reputation(1)
 </v>
      </c>
      <c r="AI153" s="14" t="str">
        <f t="shared" si="254"/>
        <v xml:space="preserve"> </v>
      </c>
      <c r="AJ153" s="14" t="str">
        <f t="shared" si="255"/>
        <v xml:space="preserve"> </v>
      </c>
      <c r="AK153" s="14" t="str">
        <f t="shared" si="256"/>
        <v xml:space="preserve">spaciousness(1), ease of access(1), reputation(2), user rules and manuals(2.1), organizational rules and manuals(2.1), law(1.1), negotiation(1.1),  </v>
      </c>
      <c r="AL153" s="14" t="str">
        <f t="shared" si="257"/>
        <v xml:space="preserve">govt(-1,6.25%), non-profits(-1,6.25%), reputation(-1,6.25%),  </v>
      </c>
      <c r="AM153" s="27" t="str">
        <f t="shared" si="518"/>
        <v xml:space="preserve">govt(6.25),non-profits(6.25),reputation(6.25), </v>
      </c>
      <c r="AN153" s="14" t="str">
        <f t="shared" si="259"/>
        <v xml:space="preserve"> </v>
      </c>
      <c r="AO153" s="14" t="str">
        <f t="shared" si="260"/>
        <v xml:space="preserve"> </v>
      </c>
      <c r="AP153" s="14" t="str">
        <f t="shared" si="261"/>
        <v xml:space="preserve"> </v>
      </c>
      <c r="AQ153" s="14" t="str">
        <f t="shared" si="262"/>
        <v xml:space="preserve">spaciousness(2.1), reputation(3), organizational rules and manuals(2.1), team building(2.1),  </v>
      </c>
      <c r="AR153" s="14" t="str">
        <f t="shared" si="263"/>
        <v xml:space="preserve">reputation(-1,6.25%), efficiency(-1,6.25%),  </v>
      </c>
      <c r="AS153" s="27" t="str">
        <f t="shared" si="518"/>
        <v xml:space="preserve">reputation(6.25),efficiency(6.25), </v>
      </c>
      <c r="AT153" s="14" t="str">
        <f t="shared" si="265"/>
        <v xml:space="preserve"> </v>
      </c>
      <c r="AU153" s="14" t="str">
        <f t="shared" si="266"/>
        <v xml:space="preserve"> </v>
      </c>
      <c r="AV153" s="14" t="str">
        <f t="shared" si="267"/>
        <v xml:space="preserve"> </v>
      </c>
      <c r="AW153" s="14" t="str">
        <f t="shared" si="268"/>
        <v xml:space="preserve">user rules and manuals(2.1), team building(2.1),  </v>
      </c>
      <c r="AX153" s="14" t="str">
        <f t="shared" si="269"/>
        <v xml:space="preserve"> </v>
      </c>
      <c r="AY153" s="27" t="str">
        <f t="shared" si="518"/>
        <v xml:space="preserve"> </v>
      </c>
      <c r="AZ153" s="14" t="str">
        <f t="shared" si="271"/>
        <v xml:space="preserve"> </v>
      </c>
      <c r="BA153" s="14" t="str">
        <f t="shared" si="272"/>
        <v xml:space="preserve">efficiency(-1,12.5%), user rules and manuals(1,25%),  </v>
      </c>
      <c r="BB153" s="14" t="str">
        <f t="shared" si="273"/>
        <v xml:space="preserve">efficiency(12.5)
user rules and manuals(25)
 </v>
      </c>
      <c r="BC153" s="14" t="str">
        <f t="shared" si="274"/>
        <v xml:space="preserve">user rules and manuals(2.1), organizational rules and manuals(2.1),  </v>
      </c>
      <c r="BD153" s="14" t="str">
        <f t="shared" si="275"/>
        <v xml:space="preserve">reputation(-1,6.25%),  </v>
      </c>
      <c r="BE153" s="27" t="str">
        <f t="shared" si="518"/>
        <v xml:space="preserve">reputation(6.25), </v>
      </c>
      <c r="BF153" s="14" t="str">
        <f t="shared" si="277"/>
        <v xml:space="preserve"> </v>
      </c>
      <c r="BG153" s="14" t="str">
        <f t="shared" si="278"/>
        <v xml:space="preserve">user rules and manuals(1,25%), organizational rules and manuals(1,25%),  </v>
      </c>
      <c r="BH153" s="14" t="str">
        <f t="shared" si="279"/>
        <v xml:space="preserve">user rules and manuals(25)
organizational rules and manuals(25)
 </v>
      </c>
      <c r="BI153" s="14" t="str">
        <f t="shared" si="280"/>
        <v xml:space="preserve"> </v>
      </c>
      <c r="BJ153" s="14" t="str">
        <f t="shared" si="281"/>
        <v xml:space="preserve">reputation(-1,6.25%), efficiency(-1,25%),  </v>
      </c>
      <c r="BK153" s="27" t="str">
        <f t="shared" si="518"/>
        <v xml:space="preserve">reputation(6.25),efficiency(25), </v>
      </c>
      <c r="BL153" s="14" t="str">
        <f t="shared" si="283"/>
        <v xml:space="preserve">local biz(1)
ease of access(1)
reputation(1)
aesthetics(1)
 </v>
      </c>
      <c r="BM153" s="14" t="str">
        <f t="shared" si="284"/>
        <v xml:space="preserve">biz enhancement(1,%),  </v>
      </c>
      <c r="BN153" s="14" t="str">
        <f t="shared" si="285"/>
        <v xml:space="preserve"> </v>
      </c>
      <c r="BO153" s="14" t="str">
        <f t="shared" si="286"/>
        <v xml:space="preserve">ease of access(2), reputation(3), efficiency(2), user rules and manuals(1), marketing(1), negotiation(1), aesthetics(2), functions(1), safety(1),  </v>
      </c>
      <c r="BP153" s="14" t="str">
        <f t="shared" si="287"/>
        <v xml:space="preserve">local biz(1,6.25%),  </v>
      </c>
      <c r="BQ153" s="27" t="str">
        <f t="shared" si="518"/>
        <v xml:space="preserve">local biz(6.25), </v>
      </c>
      <c r="BR153" s="14" t="str">
        <f t="shared" si="289"/>
        <v xml:space="preserve">local biz(1)
ease of access(1)
reputation(1)
aesthetics(1)
 </v>
      </c>
      <c r="BS153" s="14" t="str">
        <f t="shared" si="290"/>
        <v xml:space="preserve">biz project(1,%),  </v>
      </c>
      <c r="BT153" s="14" t="str">
        <f t="shared" si="291"/>
        <v xml:space="preserve"> </v>
      </c>
      <c r="BU153" s="14" t="str">
        <f t="shared" si="292"/>
        <v xml:space="preserve">ease of access(2), reputation(3), efficiency(2), user rules and manuals(1), marketing(1), negotiation(1), wood processing(1), aesthetics(2),  </v>
      </c>
      <c r="BV153" s="14" t="str">
        <f t="shared" si="293"/>
        <v xml:space="preserve">local biz(1,6.25%),  </v>
      </c>
      <c r="BW153" s="27" t="str">
        <f t="shared" si="518"/>
        <v xml:space="preserve">local biz(6.25), </v>
      </c>
      <c r="BX153" s="14" t="str">
        <f t="shared" si="295"/>
        <v xml:space="preserve">local biz(1)
ease of access(1)
reputation(1)
aesthetics(1)
interaction(1)
 </v>
      </c>
      <c r="BY153" s="14" t="str">
        <f t="shared" si="296"/>
        <v xml:space="preserve">biz project(1,%),  </v>
      </c>
      <c r="BZ153" s="14" t="str">
        <f t="shared" si="297"/>
        <v xml:space="preserve"> </v>
      </c>
      <c r="CA153" s="14" t="str">
        <f t="shared" si="298"/>
        <v xml:space="preserve">ease of access(2), reputation(3), efficiency(2), user rules and manuals(1), marketing(1), team building(1), social media(1), negotiation(1), web(2), infrastructrue(2), database(2), security(3), aesthetics(2), functions(1), interaction(2),  </v>
      </c>
      <c r="CB153" s="14" t="str">
        <f t="shared" si="299"/>
        <v xml:space="preserve">local biz(1,6.25%),  </v>
      </c>
      <c r="CC153" s="27" t="str">
        <f t="shared" si="519"/>
        <v xml:space="preserve">local biz(6.25), </v>
      </c>
      <c r="CD153" s="14" t="str">
        <f t="shared" si="301"/>
        <v xml:space="preserve">ease of access(1)
reputation(1)
aesthetics(1)
 </v>
      </c>
      <c r="CE153" s="14" t="str">
        <f t="shared" si="302"/>
        <v xml:space="preserve">biz project(1,%),  </v>
      </c>
      <c r="CF153" s="14" t="str">
        <f t="shared" si="303"/>
        <v xml:space="preserve"> </v>
      </c>
      <c r="CG153" s="14" t="str">
        <f t="shared" si="304"/>
        <v xml:space="preserve">ease of access(2), efficiency(2), user rules and manuals(1), marketing(1), team building(1), negotiation(1), infrastructrue(1), database(2), mobile apps(2), security(3), aesthetics(2), functions(1), interaction(2),  </v>
      </c>
      <c r="CH153" s="14" t="str">
        <f t="shared" si="305"/>
        <v xml:space="preserve">local biz(1,6.25%),  </v>
      </c>
      <c r="CI153" s="27" t="str">
        <f t="shared" si="519"/>
        <v xml:space="preserve">local biz(6.25), </v>
      </c>
      <c r="CJ153" s="14" t="str">
        <f t="shared" si="307"/>
        <v xml:space="preserve">ease of access(1)
reputation(1)
aesthetics(1)
 </v>
      </c>
      <c r="CK153" s="14" t="str">
        <f t="shared" si="308"/>
        <v xml:space="preserve">biz project(1,%),  </v>
      </c>
      <c r="CL153" s="14" t="str">
        <f t="shared" si="309"/>
        <v xml:space="preserve"> </v>
      </c>
      <c r="CM153" s="14" t="str">
        <f t="shared" si="310"/>
        <v xml:space="preserve">ease of access(2), reputation(3), efficiency(2), user rules and manuals(1), marketing(2), team building(1), social media(2), negotiation(1), web(2), infrastructrue(2), database(2), mobile apps(2), security(2), aesthetics(2), functions(1), interaction(2),  </v>
      </c>
      <c r="CN153" s="14" t="str">
        <f t="shared" si="311"/>
        <v xml:space="preserve">local biz(1,6.25%),  </v>
      </c>
      <c r="CO153" s="27" t="str">
        <f t="shared" si="519"/>
        <v xml:space="preserve">local biz(6.25), </v>
      </c>
      <c r="CP153" s="14" t="str">
        <f t="shared" si="313"/>
        <v xml:space="preserve">local biz(1)
metal processing(1)
functions(1)
 </v>
      </c>
      <c r="CQ153" s="14" t="str">
        <f t="shared" si="314"/>
        <v xml:space="preserve">local biz(1,50%), biz enhancement(1,50%),  </v>
      </c>
      <c r="CR153" s="14" t="str">
        <f t="shared" si="315"/>
        <v xml:space="preserve">local biz(50)
biz enhancement(50)
 </v>
      </c>
      <c r="CS153" s="14" t="str">
        <f t="shared" si="316"/>
        <v xml:space="preserve">ease of access(2), reputation(3), efficiency(2), metal processing(2), electronics(2), aesthetics(2), functions(2), safety(2),  </v>
      </c>
      <c r="CT153" s="14" t="str">
        <f t="shared" si="317"/>
        <v xml:space="preserve">reputation(1,6.25%),  </v>
      </c>
      <c r="CU153" s="27" t="str">
        <f t="shared" si="519"/>
        <v xml:space="preserve">reputation(6.25), </v>
      </c>
      <c r="CV153" s="14" t="str">
        <f t="shared" si="319"/>
        <v xml:space="preserve">non-profits(1)
wood processing(1)
aesthetics(1)
interaction(1)
 </v>
      </c>
      <c r="CW153" s="14" t="str">
        <f t="shared" si="320"/>
        <v xml:space="preserve">non-profits(1,50%), social project(1,50%),  </v>
      </c>
      <c r="CX153" s="14" t="str">
        <f t="shared" si="321"/>
        <v xml:space="preserve">non-profits(50)
social project(50)
 </v>
      </c>
      <c r="CY153" s="14" t="str">
        <f t="shared" si="322"/>
        <v xml:space="preserve">ease of access(2), efficiency(3), sensors(2), wood processing(2), plastic processing(2), electronics(2), aesthetics(2), functions(1), safety(1), interaction(2),  </v>
      </c>
      <c r="CZ153" s="14" t="str">
        <f t="shared" si="323"/>
        <v xml:space="preserve">media(1,6.25%), reputation(1,6.25%), portfolio(1,6.25%),  </v>
      </c>
      <c r="DA153" s="27" t="str">
        <f t="shared" si="519"/>
        <v xml:space="preserve">media(6.25),reputation(6.25),portfolio(6.25), </v>
      </c>
      <c r="DB153" s="14" t="str">
        <f t="shared" si="325"/>
        <v xml:space="preserve">non-profits(1)
aesthetics(1)
interaction(1)
 </v>
      </c>
      <c r="DC153" s="14" t="str">
        <f t="shared" si="326"/>
        <v xml:space="preserve">non-profits(1,50%), social project(1,50%),  </v>
      </c>
      <c r="DD153" s="14" t="str">
        <f t="shared" si="327"/>
        <v xml:space="preserve">non-profits(50)
social project(50)
 </v>
      </c>
      <c r="DE153" s="14" t="str">
        <f t="shared" si="328"/>
        <v xml:space="preserve">ease of access(2), efficiency(3), VR&amp;AR(2),  </v>
      </c>
      <c r="DF153" s="14" t="str">
        <f t="shared" si="329"/>
        <v xml:space="preserve">media(1,6.25%), reputation(1,6.25%), portfolio(1,6.25%),  </v>
      </c>
      <c r="DG153" s="27" t="str">
        <f t="shared" si="519"/>
        <v xml:space="preserve">media(6.25),reputation(6.25),portfolio(6.25), </v>
      </c>
      <c r="DH153" s="14" t="str">
        <f t="shared" si="331"/>
        <v xml:space="preserve">wood processing(1)
aesthetics(1)
safety(1)
 </v>
      </c>
      <c r="DI153" s="14" t="str">
        <f t="shared" si="332"/>
        <v xml:space="preserve">social project(1,100%),  </v>
      </c>
      <c r="DJ153" s="14" t="str">
        <f t="shared" si="333"/>
        <v xml:space="preserve">social project(100)
 </v>
      </c>
      <c r="DK153" s="14" t="str">
        <f t="shared" si="334"/>
        <v xml:space="preserve">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3" s="14" t="str">
        <f t="shared" si="335"/>
        <v xml:space="preserve">reputation(1,6.25%), portfolio(1,6.25%), team building(1,6.25%),  </v>
      </c>
      <c r="DM153" s="27" t="str">
        <f t="shared" si="519"/>
        <v xml:space="preserve">reputation(6.25),portfolio(6.25),team building(6.25), </v>
      </c>
      <c r="DN153" s="14" t="str">
        <f t="shared" si="337"/>
        <v xml:space="preserve">suppliers(2)
spaciousness(1)
ease of access(2)
reputation(3)
project management(2)
wood processing(1)
plastic processing(1)
electronics(1)
aesthetics(2)
functions(1)
safety(1)
biz project(1)
 </v>
      </c>
      <c r="DO153" s="14" t="str">
        <f t="shared" si="338"/>
        <v xml:space="preserve">reputation(1,25%), portfolio(1,50%),  </v>
      </c>
      <c r="DP153" s="14" t="str">
        <f t="shared" si="339"/>
        <v xml:space="preserve">reputation(25)
portfolio(50)
 </v>
      </c>
      <c r="DQ153" s="14" t="str">
        <f t="shared" si="340"/>
        <v xml:space="preserve">media(3), suppliers(3), social media(2), wood processing(2), plastic processing(2), electronics(2), aesthetics(2),  </v>
      </c>
      <c r="DR153" s="14" t="str">
        <f t="shared" si="341"/>
        <v xml:space="preserve">suppliers(1,6.25%), reputation(1,6.25%),  </v>
      </c>
      <c r="DS153" s="27" t="str">
        <f t="shared" si="519"/>
        <v xml:space="preserve">suppliers(6.25),reputation(6.25), </v>
      </c>
      <c r="DT153" s="14" t="str">
        <f t="shared" si="343"/>
        <v xml:space="preserve">reputation(3)
portfolio(2)
 </v>
      </c>
      <c r="DU153" s="14" t="str">
        <f t="shared" si="344"/>
        <v xml:space="preserve">govt(1,25%), non-profits(1,50%), reputation(1,25%),  </v>
      </c>
      <c r="DV153" s="14" t="str">
        <f t="shared" si="345"/>
        <v xml:space="preserve">govt(25)
non-profits(50)
reputation(25)
 </v>
      </c>
      <c r="DW153" s="14" t="str">
        <f t="shared" si="346"/>
        <v xml:space="preserve">social media(2),  </v>
      </c>
      <c r="DX153" s="14" t="str">
        <f t="shared" si="347"/>
        <v xml:space="preserve">reputation(1,6.25%),  </v>
      </c>
      <c r="DY153" s="27" t="str">
        <f t="shared" si="519"/>
        <v xml:space="preserve">reputation(6.25), </v>
      </c>
      <c r="DZ153" s="14" t="str">
        <f t="shared" si="349"/>
        <v xml:space="preserve"> </v>
      </c>
      <c r="EA153" s="14" t="str">
        <f t="shared" si="350"/>
        <v xml:space="preserve"> </v>
      </c>
      <c r="EB153" s="14" t="str">
        <f t="shared" si="351"/>
        <v xml:space="preserve"> </v>
      </c>
      <c r="EC153" s="14" t="str">
        <f t="shared" si="352"/>
        <v xml:space="preserve"> </v>
      </c>
      <c r="ED153" s="14" t="str">
        <f t="shared" si="353"/>
        <v xml:space="preserve"> </v>
      </c>
      <c r="EE153" s="27" t="str">
        <f t="shared" si="519"/>
        <v xml:space="preserve"> </v>
      </c>
      <c r="EF153" s="14" t="str">
        <f t="shared" si="355"/>
        <v xml:space="preserve"> </v>
      </c>
      <c r="EG153" s="14" t="str">
        <f t="shared" si="356"/>
        <v xml:space="preserve"> </v>
      </c>
      <c r="EH153" s="14" t="str">
        <f t="shared" si="357"/>
        <v xml:space="preserve"> </v>
      </c>
      <c r="EI153" s="14" t="str">
        <f t="shared" si="358"/>
        <v xml:space="preserve"> </v>
      </c>
      <c r="EJ153" s="14" t="str">
        <f t="shared" si="359"/>
        <v xml:space="preserve"> </v>
      </c>
      <c r="EK153" s="27" t="str">
        <f t="shared" si="519"/>
        <v xml:space="preserve"> </v>
      </c>
      <c r="EL153" s="14" t="str">
        <f t="shared" si="361"/>
        <v xml:space="preserve"> </v>
      </c>
      <c r="EM153" s="14" t="str">
        <f t="shared" si="362"/>
        <v xml:space="preserve"> </v>
      </c>
      <c r="EN153" s="14" t="str">
        <f t="shared" si="363"/>
        <v xml:space="preserve"> </v>
      </c>
      <c r="EO153" s="14" t="str">
        <f t="shared" si="364"/>
        <v xml:space="preserve"> </v>
      </c>
      <c r="EP153" s="14" t="str">
        <f t="shared" si="365"/>
        <v xml:space="preserve"> </v>
      </c>
      <c r="EQ153" s="27" t="str">
        <f t="shared" si="520"/>
        <v xml:space="preserve"> </v>
      </c>
      <c r="ER153" s="14" t="str">
        <f t="shared" si="367"/>
        <v xml:space="preserve"> </v>
      </c>
      <c r="ES153" s="14" t="str">
        <f t="shared" si="368"/>
        <v xml:space="preserve"> </v>
      </c>
      <c r="ET153" s="14" t="str">
        <f t="shared" si="369"/>
        <v xml:space="preserve"> </v>
      </c>
      <c r="EU153" s="14" t="str">
        <f t="shared" si="370"/>
        <v xml:space="preserve"> </v>
      </c>
      <c r="EV153" s="14" t="str">
        <f t="shared" si="371"/>
        <v xml:space="preserve"> </v>
      </c>
      <c r="EW153" s="27" t="str">
        <f t="shared" si="520"/>
        <v xml:space="preserve"> </v>
      </c>
      <c r="EX153" s="14" t="str">
        <f t="shared" si="373"/>
        <v xml:space="preserve"> </v>
      </c>
      <c r="EY153" s="14" t="str">
        <f t="shared" si="374"/>
        <v xml:space="preserve"> </v>
      </c>
      <c r="EZ153" s="14" t="str">
        <f t="shared" si="375"/>
        <v xml:space="preserve"> </v>
      </c>
      <c r="FA153" s="14" t="str">
        <f t="shared" si="376"/>
        <v xml:space="preserve"> </v>
      </c>
      <c r="FB153" s="14" t="str">
        <f t="shared" si="377"/>
        <v xml:space="preserve"> </v>
      </c>
      <c r="FC153" s="27" t="str">
        <f t="shared" si="520"/>
        <v xml:space="preserve"> </v>
      </c>
      <c r="FD153" s="14" t="str">
        <f t="shared" si="379"/>
        <v xml:space="preserve"> </v>
      </c>
      <c r="FE153" s="14" t="str">
        <f t="shared" si="380"/>
        <v xml:space="preserve"> </v>
      </c>
      <c r="FF153" s="14" t="str">
        <f t="shared" si="381"/>
        <v xml:space="preserve"> </v>
      </c>
      <c r="FG153" s="14" t="str">
        <f t="shared" si="382"/>
        <v xml:space="preserve"> </v>
      </c>
      <c r="FH153" s="14" t="str">
        <f t="shared" si="383"/>
        <v xml:space="preserve"> </v>
      </c>
      <c r="FI153" s="27" t="str">
        <f t="shared" si="520"/>
        <v xml:space="preserve"> </v>
      </c>
      <c r="FJ153" s="14" t="str">
        <f t="shared" si="385"/>
        <v xml:space="preserve"> </v>
      </c>
      <c r="FK153" s="14" t="str">
        <f t="shared" si="386"/>
        <v xml:space="preserve"> </v>
      </c>
      <c r="FL153" s="14" t="str">
        <f t="shared" si="387"/>
        <v xml:space="preserve"> </v>
      </c>
      <c r="FM153" s="14" t="str">
        <f t="shared" si="388"/>
        <v xml:space="preserve"> </v>
      </c>
      <c r="FN153" s="14" t="str">
        <f t="shared" si="389"/>
        <v xml:space="preserve"> </v>
      </c>
      <c r="FO153" s="27" t="str">
        <f t="shared" si="520"/>
        <v xml:space="preserve"> </v>
      </c>
      <c r="FP153" s="14" t="str">
        <f t="shared" si="391"/>
        <v xml:space="preserve"> </v>
      </c>
      <c r="FQ153" s="14" t="str">
        <f t="shared" si="392"/>
        <v xml:space="preserve"> </v>
      </c>
      <c r="FR153" s="14" t="str">
        <f t="shared" si="393"/>
        <v xml:space="preserve"> </v>
      </c>
      <c r="FS153" s="14" t="str">
        <f t="shared" si="394"/>
        <v xml:space="preserve"> </v>
      </c>
      <c r="FT153" s="14" t="str">
        <f t="shared" si="395"/>
        <v xml:space="preserve"> </v>
      </c>
      <c r="FU153" s="27" t="str">
        <f t="shared" si="520"/>
        <v xml:space="preserve"> </v>
      </c>
      <c r="FV153" s="14" t="str">
        <f t="shared" si="397"/>
        <v xml:space="preserve"> </v>
      </c>
      <c r="FW153" s="14" t="str">
        <f t="shared" si="398"/>
        <v xml:space="preserve"> </v>
      </c>
      <c r="FX153" s="14" t="str">
        <f t="shared" si="399"/>
        <v xml:space="preserve"> </v>
      </c>
      <c r="FY153" s="14" t="str">
        <f t="shared" si="400"/>
        <v xml:space="preserve"> </v>
      </c>
      <c r="FZ153" s="14" t="str">
        <f t="shared" si="401"/>
        <v xml:space="preserve"> </v>
      </c>
      <c r="GA153" s="27" t="str">
        <f t="shared" si="520"/>
        <v xml:space="preserve"> </v>
      </c>
      <c r="GB153" s="14" t="str">
        <f t="shared" si="403"/>
        <v xml:space="preserve"> </v>
      </c>
      <c r="GC153" s="14" t="str">
        <f t="shared" si="404"/>
        <v xml:space="preserve"> </v>
      </c>
      <c r="GD153" s="14" t="str">
        <f t="shared" si="405"/>
        <v xml:space="preserve"> </v>
      </c>
      <c r="GE153" s="14" t="str">
        <f t="shared" si="406"/>
        <v xml:space="preserve"> </v>
      </c>
      <c r="GF153" s="14" t="str">
        <f t="shared" si="407"/>
        <v xml:space="preserve"> </v>
      </c>
      <c r="GG153" s="27" t="str">
        <f t="shared" si="520"/>
        <v xml:space="preserve"> </v>
      </c>
      <c r="GH153" s="14" t="str">
        <f t="shared" si="409"/>
        <v xml:space="preserve"> </v>
      </c>
      <c r="GI153" s="14" t="str">
        <f t="shared" si="410"/>
        <v xml:space="preserve"> </v>
      </c>
      <c r="GJ153" s="14" t="str">
        <f t="shared" si="411"/>
        <v xml:space="preserve"> </v>
      </c>
      <c r="GK153" s="14" t="str">
        <f t="shared" si="412"/>
        <v xml:space="preserve"> </v>
      </c>
      <c r="GL153" s="14" t="str">
        <f t="shared" si="413"/>
        <v xml:space="preserve"> </v>
      </c>
      <c r="GM153" s="27" t="str">
        <f t="shared" si="520"/>
        <v xml:space="preserve"> </v>
      </c>
      <c r="GN153" s="14" t="str">
        <f t="shared" si="415"/>
        <v xml:space="preserve"> </v>
      </c>
      <c r="GO153" s="14" t="str">
        <f t="shared" si="416"/>
        <v xml:space="preserve"> </v>
      </c>
      <c r="GP153" s="14" t="str">
        <f t="shared" si="417"/>
        <v xml:space="preserve"> </v>
      </c>
      <c r="GQ153" s="14" t="str">
        <f t="shared" si="418"/>
        <v xml:space="preserve"> </v>
      </c>
      <c r="GR153" s="14" t="str">
        <f t="shared" si="419"/>
        <v xml:space="preserve"> </v>
      </c>
      <c r="GS153" s="27" t="str">
        <f t="shared" si="520"/>
        <v xml:space="preserve"> </v>
      </c>
      <c r="GT153" s="14" t="str">
        <f t="shared" si="421"/>
        <v xml:space="preserve"> </v>
      </c>
      <c r="GU153" s="14" t="str">
        <f t="shared" si="422"/>
        <v xml:space="preserve"> </v>
      </c>
      <c r="GV153" s="14" t="str">
        <f t="shared" si="423"/>
        <v xml:space="preserve"> </v>
      </c>
      <c r="GW153" s="14" t="str">
        <f t="shared" si="424"/>
        <v xml:space="preserve"> </v>
      </c>
      <c r="GX153" s="14" t="str">
        <f t="shared" si="425"/>
        <v xml:space="preserve"> </v>
      </c>
      <c r="GY153" s="27" t="str">
        <f t="shared" si="520"/>
        <v xml:space="preserve"> </v>
      </c>
      <c r="GZ153" s="14" t="str">
        <f t="shared" si="427"/>
        <v xml:space="preserve"> </v>
      </c>
      <c r="HA153" s="14" t="str">
        <f t="shared" si="428"/>
        <v xml:space="preserve"> </v>
      </c>
      <c r="HB153" s="14" t="str">
        <f t="shared" si="429"/>
        <v xml:space="preserve"> </v>
      </c>
      <c r="HC153" s="14" t="str">
        <f t="shared" si="430"/>
        <v xml:space="preserve"> </v>
      </c>
      <c r="HD153" s="14" t="str">
        <f t="shared" si="431"/>
        <v xml:space="preserve"> </v>
      </c>
      <c r="HE153" s="27" t="str">
        <f t="shared" si="521"/>
        <v xml:space="preserve"> </v>
      </c>
      <c r="HF153" s="14" t="str">
        <f t="shared" si="433"/>
        <v xml:space="preserve"> </v>
      </c>
      <c r="HG153" s="14" t="str">
        <f t="shared" si="434"/>
        <v xml:space="preserve"> </v>
      </c>
      <c r="HH153" s="14" t="str">
        <f t="shared" si="435"/>
        <v xml:space="preserve"> </v>
      </c>
      <c r="HI153" s="14" t="str">
        <f t="shared" si="436"/>
        <v xml:space="preserve"> </v>
      </c>
      <c r="HJ153" s="14" t="str">
        <f t="shared" si="437"/>
        <v xml:space="preserve"> </v>
      </c>
      <c r="HK153" s="27" t="str">
        <f t="shared" si="521"/>
        <v xml:space="preserve"> </v>
      </c>
      <c r="HL153" s="14" t="str">
        <f t="shared" si="439"/>
        <v xml:space="preserve"> </v>
      </c>
      <c r="HM153" s="14" t="str">
        <f t="shared" si="440"/>
        <v xml:space="preserve"> </v>
      </c>
      <c r="HN153" s="14" t="str">
        <f t="shared" si="441"/>
        <v xml:space="preserve"> </v>
      </c>
      <c r="HO153" s="14" t="str">
        <f t="shared" si="442"/>
        <v xml:space="preserve"> </v>
      </c>
      <c r="HP153" s="14" t="str">
        <f t="shared" si="443"/>
        <v xml:space="preserve"> </v>
      </c>
      <c r="HQ153" s="27" t="str">
        <f t="shared" si="521"/>
        <v xml:space="preserve"> </v>
      </c>
    </row>
    <row r="154" spans="1:225" ht="15.75" customHeight="1">
      <c r="A154" s="7">
        <f t="shared" ref="A154:C154" si="538">A46</f>
        <v>0</v>
      </c>
      <c r="B154" s="7">
        <f t="shared" si="538"/>
        <v>0</v>
      </c>
      <c r="C154" s="7" t="str">
        <f t="shared" si="538"/>
        <v>knowledge</v>
      </c>
      <c r="D154" s="14" t="str">
        <f t="shared" si="446"/>
        <v xml:space="preserve"> </v>
      </c>
      <c r="E154" s="14" t="str">
        <f t="shared" si="447"/>
        <v xml:space="preserve"> </v>
      </c>
      <c r="F154" s="14" t="str">
        <f t="shared" si="448"/>
        <v xml:space="preserve"> </v>
      </c>
      <c r="G154" s="14" t="str">
        <f t="shared" si="449"/>
        <v xml:space="preserve">efficiency(1), user rules and manuals(2.1), organizational rules and manuals(2.1),  </v>
      </c>
      <c r="H154" s="14" t="str">
        <f t="shared" si="450"/>
        <v xml:space="preserve">efficiency(-1,6.25%),  </v>
      </c>
      <c r="I154" s="27" t="str">
        <f t="shared" ref="I154" si="539">IF(I46="",I155,$C154&amp;"("&amp;I46&amp;"),"&amp;I155)</f>
        <v xml:space="preserve">efficiency(6.25), </v>
      </c>
      <c r="J154" s="14" t="str">
        <f t="shared" si="229"/>
        <v xml:space="preserve"> </v>
      </c>
      <c r="K154" s="14" t="str">
        <f t="shared" si="230"/>
        <v xml:space="preserve"> </v>
      </c>
      <c r="L154" s="14" t="str">
        <f t="shared" si="231"/>
        <v xml:space="preserve"> </v>
      </c>
      <c r="M154" s="14" t="str">
        <f t="shared" si="232"/>
        <v xml:space="preserve">efficiency(0.1), organizational rules and manuals(1.1),  </v>
      </c>
      <c r="N154" s="14" t="str">
        <f t="shared" si="233"/>
        <v xml:space="preserve"> </v>
      </c>
      <c r="O154" s="27" t="str">
        <f t="shared" si="518"/>
        <v xml:space="preserve"> </v>
      </c>
      <c r="P154" s="14" t="str">
        <f t="shared" si="235"/>
        <v xml:space="preserve"> </v>
      </c>
      <c r="Q154" s="14" t="str">
        <f t="shared" si="236"/>
        <v xml:space="preserve"> </v>
      </c>
      <c r="R154" s="14" t="str">
        <f t="shared" si="237"/>
        <v xml:space="preserve"> </v>
      </c>
      <c r="S154" s="14" t="str">
        <f t="shared" si="238"/>
        <v xml:space="preserve">team building(0.1),  </v>
      </c>
      <c r="T154" s="14" t="str">
        <f t="shared" si="239"/>
        <v xml:space="preserve">business model(-1,6.25%), web(-1,6.25%), mobile apps(-1,6.25%), aesthetics(-1,6.25%),  </v>
      </c>
      <c r="U154" s="27" t="str">
        <f t="shared" si="518"/>
        <v xml:space="preserve">business model(6.25),web(6.25),mobile apps(6.25),aesthetics(6.25), </v>
      </c>
      <c r="V154" s="14" t="str">
        <f t="shared" si="241"/>
        <v xml:space="preserve"> </v>
      </c>
      <c r="W154" s="14" t="str">
        <f t="shared" si="242"/>
        <v xml:space="preserve">efficiency(-1,25%),  </v>
      </c>
      <c r="X154" s="14" t="str">
        <f t="shared" si="243"/>
        <v xml:space="preserve">efficiency(25)
 </v>
      </c>
      <c r="Y154" s="14" t="str">
        <f t="shared" si="244"/>
        <v xml:space="preserve">spaciousness(1), ease of access(3), reputation(2), user rules and manuals(0.1), project management(0.1), negotiation(0.1),  </v>
      </c>
      <c r="Z154" s="14" t="str">
        <f t="shared" si="245"/>
        <v xml:space="preserve">reputation(-1,%),  </v>
      </c>
      <c r="AA154" s="27" t="str">
        <f t="shared" si="518"/>
        <v xml:space="preserve"> </v>
      </c>
      <c r="AB154" s="14" t="str">
        <f t="shared" si="247"/>
        <v xml:space="preserve"> </v>
      </c>
      <c r="AC154" s="14" t="str">
        <f t="shared" si="248"/>
        <v xml:space="preserve"> </v>
      </c>
      <c r="AD154" s="14" t="str">
        <f t="shared" si="249"/>
        <v xml:space="preserve"> </v>
      </c>
      <c r="AE154" s="14" t="str">
        <f t="shared" si="250"/>
        <v xml:space="preserve">spaciousness(1), user rules and manuals(1.1), organizational rules and manuals(1.1),  </v>
      </c>
      <c r="AF154" s="14" t="str">
        <f t="shared" si="251"/>
        <v xml:space="preserve">local biz(-1,6.25%), investors(-1,6.25%), non-profits(-1,6.25%), efficiency(-1,6.25%),  </v>
      </c>
      <c r="AG154" s="27" t="str">
        <f t="shared" si="518"/>
        <v xml:space="preserve">local biz(6.25),investors(6.25),non-profits(6.25),efficiency(6.25), </v>
      </c>
      <c r="AH154" s="14" t="str">
        <f t="shared" si="253"/>
        <v xml:space="preserve">ease of access(1)
reputation(1)
 </v>
      </c>
      <c r="AI154" s="14" t="str">
        <f t="shared" si="254"/>
        <v xml:space="preserve"> </v>
      </c>
      <c r="AJ154" s="14" t="str">
        <f t="shared" si="255"/>
        <v xml:space="preserve"> </v>
      </c>
      <c r="AK154" s="14" t="str">
        <f t="shared" si="256"/>
        <v xml:space="preserve">spaciousness(1), ease of access(1), reputation(2), user rules and manuals(2.1), organizational rules and manuals(2.1), law(1.1), negotiation(1.1),  </v>
      </c>
      <c r="AL154" s="14" t="str">
        <f t="shared" si="257"/>
        <v xml:space="preserve">govt(-1,6.25%), non-profits(-1,6.25%), reputation(-1,6.25%),  </v>
      </c>
      <c r="AM154" s="27" t="str">
        <f t="shared" si="518"/>
        <v xml:space="preserve">govt(6.25),non-profits(6.25),reputation(6.25), </v>
      </c>
      <c r="AN154" s="14" t="str">
        <f t="shared" si="259"/>
        <v xml:space="preserve"> </v>
      </c>
      <c r="AO154" s="14" t="str">
        <f t="shared" si="260"/>
        <v xml:space="preserve"> </v>
      </c>
      <c r="AP154" s="14" t="str">
        <f t="shared" si="261"/>
        <v xml:space="preserve"> </v>
      </c>
      <c r="AQ154" s="14" t="str">
        <f t="shared" si="262"/>
        <v xml:space="preserve">spaciousness(2.1), reputation(3), organizational rules and manuals(2.1), team building(2.1),  </v>
      </c>
      <c r="AR154" s="14" t="str">
        <f t="shared" si="263"/>
        <v xml:space="preserve">reputation(-1,6.25%), efficiency(-1,6.25%),  </v>
      </c>
      <c r="AS154" s="27" t="str">
        <f t="shared" si="518"/>
        <v xml:space="preserve">reputation(6.25),efficiency(6.25), </v>
      </c>
      <c r="AT154" s="14" t="str">
        <f t="shared" si="265"/>
        <v xml:space="preserve"> </v>
      </c>
      <c r="AU154" s="14" t="str">
        <f t="shared" si="266"/>
        <v xml:space="preserve"> </v>
      </c>
      <c r="AV154" s="14" t="str">
        <f t="shared" si="267"/>
        <v xml:space="preserve"> </v>
      </c>
      <c r="AW154" s="14" t="str">
        <f t="shared" si="268"/>
        <v xml:space="preserve">user rules and manuals(2.1), team building(2.1),  </v>
      </c>
      <c r="AX154" s="14" t="str">
        <f t="shared" si="269"/>
        <v xml:space="preserve"> </v>
      </c>
      <c r="AY154" s="27" t="str">
        <f t="shared" si="518"/>
        <v xml:space="preserve"> </v>
      </c>
      <c r="AZ154" s="14" t="str">
        <f t="shared" si="271"/>
        <v xml:space="preserve"> </v>
      </c>
      <c r="BA154" s="14" t="str">
        <f t="shared" si="272"/>
        <v xml:space="preserve">efficiency(-1,12.5%), user rules and manuals(1,25%),  </v>
      </c>
      <c r="BB154" s="14" t="str">
        <f t="shared" si="273"/>
        <v xml:space="preserve">efficiency(12.5)
user rules and manuals(25)
 </v>
      </c>
      <c r="BC154" s="14" t="str">
        <f t="shared" si="274"/>
        <v xml:space="preserve">user rules and manuals(2.1), organizational rules and manuals(2.1),  </v>
      </c>
      <c r="BD154" s="14" t="str">
        <f t="shared" si="275"/>
        <v xml:space="preserve">reputation(-1,6.25%),  </v>
      </c>
      <c r="BE154" s="27" t="str">
        <f t="shared" si="518"/>
        <v xml:space="preserve">reputation(6.25), </v>
      </c>
      <c r="BF154" s="14" t="str">
        <f t="shared" si="277"/>
        <v xml:space="preserve"> </v>
      </c>
      <c r="BG154" s="14" t="str">
        <f t="shared" si="278"/>
        <v xml:space="preserve">user rules and manuals(1,25%), organizational rules and manuals(1,25%),  </v>
      </c>
      <c r="BH154" s="14" t="str">
        <f t="shared" si="279"/>
        <v xml:space="preserve">user rules and manuals(25)
organizational rules and manuals(25)
 </v>
      </c>
      <c r="BI154" s="14" t="str">
        <f t="shared" si="280"/>
        <v xml:space="preserve"> </v>
      </c>
      <c r="BJ154" s="14" t="str">
        <f t="shared" si="281"/>
        <v xml:space="preserve">reputation(-1,6.25%), efficiency(-1,25%),  </v>
      </c>
      <c r="BK154" s="27" t="str">
        <f t="shared" si="518"/>
        <v xml:space="preserve">reputation(6.25),efficiency(25), </v>
      </c>
      <c r="BL154" s="14" t="str">
        <f t="shared" si="283"/>
        <v xml:space="preserve">local biz(1)
ease of access(1)
reputation(1)
aesthetics(1)
 </v>
      </c>
      <c r="BM154" s="14" t="str">
        <f t="shared" si="284"/>
        <v xml:space="preserve">biz enhancement(1,%),  </v>
      </c>
      <c r="BN154" s="14" t="str">
        <f t="shared" si="285"/>
        <v xml:space="preserve"> </v>
      </c>
      <c r="BO154" s="14" t="str">
        <f t="shared" si="286"/>
        <v xml:space="preserve">ease of access(2), reputation(3), efficiency(2), user rules and manuals(1), marketing(1), negotiation(1), aesthetics(2), functions(1), safety(1),  </v>
      </c>
      <c r="BP154" s="14" t="str">
        <f t="shared" si="287"/>
        <v xml:space="preserve">local biz(1,6.25%),  </v>
      </c>
      <c r="BQ154" s="27" t="str">
        <f t="shared" si="518"/>
        <v xml:space="preserve">local biz(6.25), </v>
      </c>
      <c r="BR154" s="14" t="str">
        <f t="shared" si="289"/>
        <v xml:space="preserve">local biz(1)
ease of access(1)
reputation(1)
aesthetics(1)
 </v>
      </c>
      <c r="BS154" s="14" t="str">
        <f t="shared" si="290"/>
        <v xml:space="preserve">biz project(1,%),  </v>
      </c>
      <c r="BT154" s="14" t="str">
        <f t="shared" si="291"/>
        <v xml:space="preserve"> </v>
      </c>
      <c r="BU154" s="14" t="str">
        <f t="shared" si="292"/>
        <v xml:space="preserve">ease of access(2), reputation(3), efficiency(2), user rules and manuals(1), marketing(1), negotiation(1), wood processing(1), aesthetics(2),  </v>
      </c>
      <c r="BV154" s="14" t="str">
        <f t="shared" si="293"/>
        <v xml:space="preserve">local biz(1,6.25%),  </v>
      </c>
      <c r="BW154" s="27" t="str">
        <f t="shared" si="518"/>
        <v xml:space="preserve">local biz(6.25), </v>
      </c>
      <c r="BX154" s="14" t="str">
        <f t="shared" si="295"/>
        <v xml:space="preserve">local biz(1)
ease of access(1)
reputation(1)
aesthetics(1)
interaction(1)
 </v>
      </c>
      <c r="BY154" s="14" t="str">
        <f t="shared" si="296"/>
        <v xml:space="preserve">biz project(1,%),  </v>
      </c>
      <c r="BZ154" s="14" t="str">
        <f t="shared" si="297"/>
        <v xml:space="preserve"> </v>
      </c>
      <c r="CA154" s="14" t="str">
        <f t="shared" si="298"/>
        <v xml:space="preserve">ease of access(2), reputation(3), efficiency(2), user rules and manuals(1), marketing(1), team building(1), social media(1), negotiation(1), web(2), infrastructrue(2), database(2), security(3), aesthetics(2), functions(1), interaction(2),  </v>
      </c>
      <c r="CB154" s="14" t="str">
        <f t="shared" si="299"/>
        <v xml:space="preserve">local biz(1,6.25%),  </v>
      </c>
      <c r="CC154" s="27" t="str">
        <f t="shared" si="519"/>
        <v xml:space="preserve">local biz(6.25), </v>
      </c>
      <c r="CD154" s="14" t="str">
        <f t="shared" si="301"/>
        <v xml:space="preserve">ease of access(1)
reputation(1)
aesthetics(1)
 </v>
      </c>
      <c r="CE154" s="14" t="str">
        <f t="shared" si="302"/>
        <v xml:space="preserve">biz project(1,%),  </v>
      </c>
      <c r="CF154" s="14" t="str">
        <f t="shared" si="303"/>
        <v xml:space="preserve"> </v>
      </c>
      <c r="CG154" s="14" t="str">
        <f t="shared" si="304"/>
        <v xml:space="preserve">ease of access(2), efficiency(2), user rules and manuals(1), marketing(1), team building(1), negotiation(1), infrastructrue(1), database(2), mobile apps(2), security(3), aesthetics(2), functions(1), interaction(2),  </v>
      </c>
      <c r="CH154" s="14" t="str">
        <f t="shared" si="305"/>
        <v xml:space="preserve">local biz(1,6.25%),  </v>
      </c>
      <c r="CI154" s="27" t="str">
        <f t="shared" si="519"/>
        <v xml:space="preserve">local biz(6.25), </v>
      </c>
      <c r="CJ154" s="14" t="str">
        <f t="shared" si="307"/>
        <v xml:space="preserve">ease of access(1)
reputation(1)
aesthetics(1)
 </v>
      </c>
      <c r="CK154" s="14" t="str">
        <f t="shared" si="308"/>
        <v xml:space="preserve">biz project(1,%),  </v>
      </c>
      <c r="CL154" s="14" t="str">
        <f t="shared" si="309"/>
        <v xml:space="preserve"> </v>
      </c>
      <c r="CM154" s="14" t="str">
        <f t="shared" si="310"/>
        <v xml:space="preserve">ease of access(2), reputation(3), efficiency(2), user rules and manuals(1), marketing(2), team building(1), social media(2), negotiation(1), web(2), infrastructrue(2), database(2), mobile apps(2), security(2), aesthetics(2), functions(1), interaction(2),  </v>
      </c>
      <c r="CN154" s="14" t="str">
        <f t="shared" si="311"/>
        <v xml:space="preserve">local biz(1,6.25%),  </v>
      </c>
      <c r="CO154" s="27" t="str">
        <f t="shared" si="519"/>
        <v xml:space="preserve">local biz(6.25), </v>
      </c>
      <c r="CP154" s="14" t="str">
        <f t="shared" si="313"/>
        <v xml:space="preserve">local biz(1)
metal processing(1)
functions(1)
 </v>
      </c>
      <c r="CQ154" s="14" t="str">
        <f t="shared" si="314"/>
        <v xml:space="preserve">local biz(1,50%), biz enhancement(1,50%),  </v>
      </c>
      <c r="CR154" s="14" t="str">
        <f t="shared" si="315"/>
        <v xml:space="preserve">local biz(50)
biz enhancement(50)
 </v>
      </c>
      <c r="CS154" s="14" t="str">
        <f t="shared" si="316"/>
        <v xml:space="preserve">ease of access(2), reputation(3), efficiency(2), metal processing(2), electronics(2), aesthetics(2), functions(2), safety(2),  </v>
      </c>
      <c r="CT154" s="14" t="str">
        <f t="shared" si="317"/>
        <v xml:space="preserve">reputation(1,6.25%),  </v>
      </c>
      <c r="CU154" s="27" t="str">
        <f t="shared" si="519"/>
        <v xml:space="preserve">reputation(6.25), </v>
      </c>
      <c r="CV154" s="14" t="str">
        <f t="shared" si="319"/>
        <v xml:space="preserve">non-profits(1)
wood processing(1)
aesthetics(1)
interaction(1)
 </v>
      </c>
      <c r="CW154" s="14" t="str">
        <f t="shared" si="320"/>
        <v xml:space="preserve">non-profits(1,50%), social project(1,50%),  </v>
      </c>
      <c r="CX154" s="14" t="str">
        <f t="shared" si="321"/>
        <v xml:space="preserve">non-profits(50)
social project(50)
 </v>
      </c>
      <c r="CY154" s="14" t="str">
        <f t="shared" si="322"/>
        <v xml:space="preserve">ease of access(2), efficiency(3), sensors(2), wood processing(2), plastic processing(2), electronics(2), aesthetics(2), functions(1), safety(1), interaction(2),  </v>
      </c>
      <c r="CZ154" s="14" t="str">
        <f t="shared" si="323"/>
        <v xml:space="preserve">media(1,6.25%), reputation(1,6.25%), portfolio(1,6.25%),  </v>
      </c>
      <c r="DA154" s="27" t="str">
        <f t="shared" si="519"/>
        <v xml:space="preserve">media(6.25),reputation(6.25),portfolio(6.25), </v>
      </c>
      <c r="DB154" s="14" t="str">
        <f t="shared" si="325"/>
        <v xml:space="preserve">non-profits(1)
aesthetics(1)
interaction(1)
 </v>
      </c>
      <c r="DC154" s="14" t="str">
        <f t="shared" si="326"/>
        <v xml:space="preserve">non-profits(1,50%), social project(1,50%),  </v>
      </c>
      <c r="DD154" s="14" t="str">
        <f t="shared" si="327"/>
        <v xml:space="preserve">non-profits(50)
social project(50)
 </v>
      </c>
      <c r="DE154" s="14" t="str">
        <f t="shared" si="328"/>
        <v xml:space="preserve">ease of access(2), efficiency(3), VR&amp;AR(2),  </v>
      </c>
      <c r="DF154" s="14" t="str">
        <f t="shared" si="329"/>
        <v xml:space="preserve">media(1,6.25%), reputation(1,6.25%), portfolio(1,6.25%),  </v>
      </c>
      <c r="DG154" s="27" t="str">
        <f t="shared" si="519"/>
        <v xml:space="preserve">media(6.25),reputation(6.25),portfolio(6.25), </v>
      </c>
      <c r="DH154" s="14" t="str">
        <f t="shared" si="331"/>
        <v xml:space="preserve">wood processing(1)
aesthetics(1)
safety(1)
 </v>
      </c>
      <c r="DI154" s="14" t="str">
        <f t="shared" si="332"/>
        <v xml:space="preserve">social project(1,100%),  </v>
      </c>
      <c r="DJ154" s="14" t="str">
        <f t="shared" si="333"/>
        <v xml:space="preserve">social project(100)
 </v>
      </c>
      <c r="DK154" s="14" t="str">
        <f t="shared" si="334"/>
        <v xml:space="preserve">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4" s="14" t="str">
        <f t="shared" si="335"/>
        <v xml:space="preserve">reputation(1,6.25%), portfolio(1,6.25%), team building(1,6.25%),  </v>
      </c>
      <c r="DM154" s="27" t="str">
        <f t="shared" si="519"/>
        <v xml:space="preserve">reputation(6.25),portfolio(6.25),team building(6.25), </v>
      </c>
      <c r="DN154" s="14" t="str">
        <f t="shared" si="337"/>
        <v xml:space="preserve">suppliers(2)
spaciousness(1)
ease of access(2)
reputation(3)
project management(2)
wood processing(1)
plastic processing(1)
electronics(1)
aesthetics(2)
functions(1)
safety(1)
biz project(1)
 </v>
      </c>
      <c r="DO154" s="14" t="str">
        <f t="shared" si="338"/>
        <v xml:space="preserve">reputation(1,25%), portfolio(1,50%),  </v>
      </c>
      <c r="DP154" s="14" t="str">
        <f t="shared" si="339"/>
        <v xml:space="preserve">reputation(25)
portfolio(50)
 </v>
      </c>
      <c r="DQ154" s="14" t="str">
        <f t="shared" si="340"/>
        <v xml:space="preserve">media(3), suppliers(3), social media(2), wood processing(2), plastic processing(2), electronics(2), aesthetics(2),  </v>
      </c>
      <c r="DR154" s="14" t="str">
        <f t="shared" si="341"/>
        <v xml:space="preserve">suppliers(1,6.25%), reputation(1,6.25%),  </v>
      </c>
      <c r="DS154" s="27" t="str">
        <f t="shared" si="519"/>
        <v xml:space="preserve">suppliers(6.25),reputation(6.25), </v>
      </c>
      <c r="DT154" s="14" t="str">
        <f t="shared" si="343"/>
        <v xml:space="preserve">reputation(3)
portfolio(2)
 </v>
      </c>
      <c r="DU154" s="14" t="str">
        <f t="shared" si="344"/>
        <v xml:space="preserve">govt(1,25%), non-profits(1,50%), reputation(1,25%),  </v>
      </c>
      <c r="DV154" s="14" t="str">
        <f t="shared" si="345"/>
        <v xml:space="preserve">govt(25)
non-profits(50)
reputation(25)
 </v>
      </c>
      <c r="DW154" s="14" t="str">
        <f t="shared" si="346"/>
        <v xml:space="preserve">social media(2),  </v>
      </c>
      <c r="DX154" s="14" t="str">
        <f t="shared" si="347"/>
        <v xml:space="preserve">reputation(1,6.25%),  </v>
      </c>
      <c r="DY154" s="27" t="str">
        <f t="shared" si="519"/>
        <v xml:space="preserve">reputation(6.25), </v>
      </c>
      <c r="DZ154" s="14" t="str">
        <f t="shared" si="349"/>
        <v xml:space="preserve"> </v>
      </c>
      <c r="EA154" s="14" t="str">
        <f t="shared" si="350"/>
        <v xml:space="preserve"> </v>
      </c>
      <c r="EB154" s="14" t="str">
        <f t="shared" si="351"/>
        <v xml:space="preserve"> </v>
      </c>
      <c r="EC154" s="14" t="str">
        <f t="shared" si="352"/>
        <v xml:space="preserve"> </v>
      </c>
      <c r="ED154" s="14" t="str">
        <f t="shared" si="353"/>
        <v xml:space="preserve"> </v>
      </c>
      <c r="EE154" s="27" t="str">
        <f t="shared" si="519"/>
        <v xml:space="preserve"> </v>
      </c>
      <c r="EF154" s="14" t="str">
        <f t="shared" si="355"/>
        <v xml:space="preserve"> </v>
      </c>
      <c r="EG154" s="14" t="str">
        <f t="shared" si="356"/>
        <v xml:space="preserve"> </v>
      </c>
      <c r="EH154" s="14" t="str">
        <f t="shared" si="357"/>
        <v xml:space="preserve"> </v>
      </c>
      <c r="EI154" s="14" t="str">
        <f t="shared" si="358"/>
        <v xml:space="preserve"> </v>
      </c>
      <c r="EJ154" s="14" t="str">
        <f t="shared" si="359"/>
        <v xml:space="preserve"> </v>
      </c>
      <c r="EK154" s="27" t="str">
        <f t="shared" si="519"/>
        <v xml:space="preserve"> </v>
      </c>
      <c r="EL154" s="14" t="str">
        <f t="shared" si="361"/>
        <v xml:space="preserve"> </v>
      </c>
      <c r="EM154" s="14" t="str">
        <f t="shared" si="362"/>
        <v xml:space="preserve"> </v>
      </c>
      <c r="EN154" s="14" t="str">
        <f t="shared" si="363"/>
        <v xml:space="preserve"> </v>
      </c>
      <c r="EO154" s="14" t="str">
        <f t="shared" si="364"/>
        <v xml:space="preserve"> </v>
      </c>
      <c r="EP154" s="14" t="str">
        <f t="shared" si="365"/>
        <v xml:space="preserve"> </v>
      </c>
      <c r="EQ154" s="27" t="str">
        <f t="shared" si="520"/>
        <v xml:space="preserve"> </v>
      </c>
      <c r="ER154" s="14" t="str">
        <f t="shared" si="367"/>
        <v xml:space="preserve"> </v>
      </c>
      <c r="ES154" s="14" t="str">
        <f t="shared" si="368"/>
        <v xml:space="preserve"> </v>
      </c>
      <c r="ET154" s="14" t="str">
        <f t="shared" si="369"/>
        <v xml:space="preserve"> </v>
      </c>
      <c r="EU154" s="14" t="str">
        <f t="shared" si="370"/>
        <v xml:space="preserve"> </v>
      </c>
      <c r="EV154" s="14" t="str">
        <f t="shared" si="371"/>
        <v xml:space="preserve"> </v>
      </c>
      <c r="EW154" s="27" t="str">
        <f t="shared" si="520"/>
        <v xml:space="preserve"> </v>
      </c>
      <c r="EX154" s="14" t="str">
        <f t="shared" si="373"/>
        <v xml:space="preserve"> </v>
      </c>
      <c r="EY154" s="14" t="str">
        <f t="shared" si="374"/>
        <v xml:space="preserve"> </v>
      </c>
      <c r="EZ154" s="14" t="str">
        <f t="shared" si="375"/>
        <v xml:space="preserve"> </v>
      </c>
      <c r="FA154" s="14" t="str">
        <f t="shared" si="376"/>
        <v xml:space="preserve"> </v>
      </c>
      <c r="FB154" s="14" t="str">
        <f t="shared" si="377"/>
        <v xml:space="preserve"> </v>
      </c>
      <c r="FC154" s="27" t="str">
        <f t="shared" si="520"/>
        <v xml:space="preserve"> </v>
      </c>
      <c r="FD154" s="14" t="str">
        <f t="shared" si="379"/>
        <v xml:space="preserve"> </v>
      </c>
      <c r="FE154" s="14" t="str">
        <f t="shared" si="380"/>
        <v xml:space="preserve"> </v>
      </c>
      <c r="FF154" s="14" t="str">
        <f t="shared" si="381"/>
        <v xml:space="preserve"> </v>
      </c>
      <c r="FG154" s="14" t="str">
        <f t="shared" si="382"/>
        <v xml:space="preserve"> </v>
      </c>
      <c r="FH154" s="14" t="str">
        <f t="shared" si="383"/>
        <v xml:space="preserve"> </v>
      </c>
      <c r="FI154" s="27" t="str">
        <f t="shared" si="520"/>
        <v xml:space="preserve"> </v>
      </c>
      <c r="FJ154" s="14" t="str">
        <f t="shared" si="385"/>
        <v xml:space="preserve"> </v>
      </c>
      <c r="FK154" s="14" t="str">
        <f t="shared" si="386"/>
        <v xml:space="preserve"> </v>
      </c>
      <c r="FL154" s="14" t="str">
        <f t="shared" si="387"/>
        <v xml:space="preserve"> </v>
      </c>
      <c r="FM154" s="14" t="str">
        <f t="shared" si="388"/>
        <v xml:space="preserve"> </v>
      </c>
      <c r="FN154" s="14" t="str">
        <f t="shared" si="389"/>
        <v xml:space="preserve"> </v>
      </c>
      <c r="FO154" s="27" t="str">
        <f t="shared" si="520"/>
        <v xml:space="preserve"> </v>
      </c>
      <c r="FP154" s="14" t="str">
        <f t="shared" si="391"/>
        <v xml:space="preserve"> </v>
      </c>
      <c r="FQ154" s="14" t="str">
        <f t="shared" si="392"/>
        <v xml:space="preserve"> </v>
      </c>
      <c r="FR154" s="14" t="str">
        <f t="shared" si="393"/>
        <v xml:space="preserve"> </v>
      </c>
      <c r="FS154" s="14" t="str">
        <f t="shared" si="394"/>
        <v xml:space="preserve"> </v>
      </c>
      <c r="FT154" s="14" t="str">
        <f t="shared" si="395"/>
        <v xml:space="preserve"> </v>
      </c>
      <c r="FU154" s="27" t="str">
        <f t="shared" si="520"/>
        <v xml:space="preserve"> </v>
      </c>
      <c r="FV154" s="14" t="str">
        <f t="shared" si="397"/>
        <v xml:space="preserve"> </v>
      </c>
      <c r="FW154" s="14" t="str">
        <f t="shared" si="398"/>
        <v xml:space="preserve"> </v>
      </c>
      <c r="FX154" s="14" t="str">
        <f t="shared" si="399"/>
        <v xml:space="preserve"> </v>
      </c>
      <c r="FY154" s="14" t="str">
        <f t="shared" si="400"/>
        <v xml:space="preserve"> </v>
      </c>
      <c r="FZ154" s="14" t="str">
        <f t="shared" si="401"/>
        <v xml:space="preserve"> </v>
      </c>
      <c r="GA154" s="27" t="str">
        <f t="shared" si="520"/>
        <v xml:space="preserve"> </v>
      </c>
      <c r="GB154" s="14" t="str">
        <f t="shared" si="403"/>
        <v xml:space="preserve"> </v>
      </c>
      <c r="GC154" s="14" t="str">
        <f t="shared" si="404"/>
        <v xml:space="preserve"> </v>
      </c>
      <c r="GD154" s="14" t="str">
        <f t="shared" si="405"/>
        <v xml:space="preserve"> </v>
      </c>
      <c r="GE154" s="14" t="str">
        <f t="shared" si="406"/>
        <v xml:space="preserve"> </v>
      </c>
      <c r="GF154" s="14" t="str">
        <f t="shared" si="407"/>
        <v xml:space="preserve"> </v>
      </c>
      <c r="GG154" s="27" t="str">
        <f t="shared" si="520"/>
        <v xml:space="preserve"> </v>
      </c>
      <c r="GH154" s="14" t="str">
        <f t="shared" si="409"/>
        <v xml:space="preserve"> </v>
      </c>
      <c r="GI154" s="14" t="str">
        <f t="shared" si="410"/>
        <v xml:space="preserve"> </v>
      </c>
      <c r="GJ154" s="14" t="str">
        <f t="shared" si="411"/>
        <v xml:space="preserve"> </v>
      </c>
      <c r="GK154" s="14" t="str">
        <f t="shared" si="412"/>
        <v xml:space="preserve"> </v>
      </c>
      <c r="GL154" s="14" t="str">
        <f t="shared" si="413"/>
        <v xml:space="preserve"> </v>
      </c>
      <c r="GM154" s="27" t="str">
        <f t="shared" si="520"/>
        <v xml:space="preserve"> </v>
      </c>
      <c r="GN154" s="14" t="str">
        <f t="shared" si="415"/>
        <v xml:space="preserve"> </v>
      </c>
      <c r="GO154" s="14" t="str">
        <f t="shared" si="416"/>
        <v xml:space="preserve"> </v>
      </c>
      <c r="GP154" s="14" t="str">
        <f t="shared" si="417"/>
        <v xml:space="preserve"> </v>
      </c>
      <c r="GQ154" s="14" t="str">
        <f t="shared" si="418"/>
        <v xml:space="preserve"> </v>
      </c>
      <c r="GR154" s="14" t="str">
        <f t="shared" si="419"/>
        <v xml:space="preserve"> </v>
      </c>
      <c r="GS154" s="27" t="str">
        <f t="shared" si="520"/>
        <v xml:space="preserve"> </v>
      </c>
      <c r="GT154" s="14" t="str">
        <f t="shared" si="421"/>
        <v xml:space="preserve"> </v>
      </c>
      <c r="GU154" s="14" t="str">
        <f t="shared" si="422"/>
        <v xml:space="preserve"> </v>
      </c>
      <c r="GV154" s="14" t="str">
        <f t="shared" si="423"/>
        <v xml:space="preserve"> </v>
      </c>
      <c r="GW154" s="14" t="str">
        <f t="shared" si="424"/>
        <v xml:space="preserve"> </v>
      </c>
      <c r="GX154" s="14" t="str">
        <f t="shared" si="425"/>
        <v xml:space="preserve"> </v>
      </c>
      <c r="GY154" s="27" t="str">
        <f t="shared" si="520"/>
        <v xml:space="preserve"> </v>
      </c>
      <c r="GZ154" s="14" t="str">
        <f t="shared" si="427"/>
        <v xml:space="preserve"> </v>
      </c>
      <c r="HA154" s="14" t="str">
        <f t="shared" si="428"/>
        <v xml:space="preserve"> </v>
      </c>
      <c r="HB154" s="14" t="str">
        <f t="shared" si="429"/>
        <v xml:space="preserve"> </v>
      </c>
      <c r="HC154" s="14" t="str">
        <f t="shared" si="430"/>
        <v xml:space="preserve"> </v>
      </c>
      <c r="HD154" s="14" t="str">
        <f t="shared" si="431"/>
        <v xml:space="preserve"> </v>
      </c>
      <c r="HE154" s="27" t="str">
        <f t="shared" si="521"/>
        <v xml:space="preserve"> </v>
      </c>
      <c r="HF154" s="14" t="str">
        <f t="shared" si="433"/>
        <v xml:space="preserve"> </v>
      </c>
      <c r="HG154" s="14" t="str">
        <f t="shared" si="434"/>
        <v xml:space="preserve"> </v>
      </c>
      <c r="HH154" s="14" t="str">
        <f t="shared" si="435"/>
        <v xml:space="preserve"> </v>
      </c>
      <c r="HI154" s="14" t="str">
        <f t="shared" si="436"/>
        <v xml:space="preserve"> </v>
      </c>
      <c r="HJ154" s="14" t="str">
        <f t="shared" si="437"/>
        <v xml:space="preserve"> </v>
      </c>
      <c r="HK154" s="27" t="str">
        <f t="shared" si="521"/>
        <v xml:space="preserve"> </v>
      </c>
      <c r="HL154" s="14" t="str">
        <f t="shared" si="439"/>
        <v xml:space="preserve"> </v>
      </c>
      <c r="HM154" s="14" t="str">
        <f t="shared" si="440"/>
        <v xml:space="preserve"> </v>
      </c>
      <c r="HN154" s="14" t="str">
        <f t="shared" si="441"/>
        <v xml:space="preserve"> </v>
      </c>
      <c r="HO154" s="14" t="str">
        <f t="shared" si="442"/>
        <v xml:space="preserve"> </v>
      </c>
      <c r="HP154" s="14" t="str">
        <f t="shared" si="443"/>
        <v xml:space="preserve"> </v>
      </c>
      <c r="HQ154" s="27" t="str">
        <f t="shared" si="521"/>
        <v xml:space="preserve"> </v>
      </c>
    </row>
    <row r="155" spans="1:225" ht="15.75" customHeight="1">
      <c r="A155" s="7">
        <f t="shared" ref="A155:C155" si="540">A47</f>
        <v>0</v>
      </c>
      <c r="B155" s="7" t="str">
        <f t="shared" si="540"/>
        <v>networks</v>
      </c>
      <c r="C155" s="7" t="str">
        <f t="shared" si="540"/>
        <v>local biz</v>
      </c>
      <c r="D155" s="14" t="str">
        <f t="shared" si="446"/>
        <v xml:space="preserve"> </v>
      </c>
      <c r="E155" s="14" t="str">
        <f t="shared" si="447"/>
        <v xml:space="preserve"> </v>
      </c>
      <c r="F155" s="14" t="str">
        <f t="shared" si="448"/>
        <v xml:space="preserve"> </v>
      </c>
      <c r="G155" s="14" t="str">
        <f t="shared" si="449"/>
        <v xml:space="preserve">efficiency(1), user rules and manuals(2.1), organizational rules and manuals(2.1),  </v>
      </c>
      <c r="H155" s="14" t="str">
        <f t="shared" si="450"/>
        <v xml:space="preserve">efficiency(-1,6.25%),  </v>
      </c>
      <c r="I155" s="27" t="str">
        <f t="shared" ref="I155" si="541">IF(I47="",I156,$C155&amp;"("&amp;I47&amp;"),"&amp;I156)</f>
        <v xml:space="preserve">efficiency(6.25), </v>
      </c>
      <c r="J155" s="14" t="str">
        <f t="shared" si="229"/>
        <v xml:space="preserve"> </v>
      </c>
      <c r="K155" s="14" t="str">
        <f t="shared" si="230"/>
        <v xml:space="preserve"> </v>
      </c>
      <c r="L155" s="14" t="str">
        <f t="shared" si="231"/>
        <v xml:space="preserve"> </v>
      </c>
      <c r="M155" s="14" t="str">
        <f t="shared" si="232"/>
        <v xml:space="preserve">efficiency(0.1), organizational rules and manuals(1.1),  </v>
      </c>
      <c r="N155" s="14" t="str">
        <f t="shared" si="233"/>
        <v xml:space="preserve"> </v>
      </c>
      <c r="O155" s="27" t="str">
        <f t="shared" si="518"/>
        <v xml:space="preserve"> </v>
      </c>
      <c r="P155" s="14" t="str">
        <f t="shared" si="235"/>
        <v xml:space="preserve"> </v>
      </c>
      <c r="Q155" s="14" t="str">
        <f t="shared" si="236"/>
        <v xml:space="preserve"> </v>
      </c>
      <c r="R155" s="14" t="str">
        <f t="shared" si="237"/>
        <v xml:space="preserve"> </v>
      </c>
      <c r="S155" s="14" t="str">
        <f t="shared" si="238"/>
        <v xml:space="preserve">team building(0.1),  </v>
      </c>
      <c r="T155" s="14" t="str">
        <f t="shared" si="239"/>
        <v xml:space="preserve">business model(-1,6.25%), web(-1,6.25%), mobile apps(-1,6.25%), aesthetics(-1,6.25%),  </v>
      </c>
      <c r="U155" s="27" t="str">
        <f t="shared" si="518"/>
        <v xml:space="preserve">business model(6.25),web(6.25),mobile apps(6.25),aesthetics(6.25), </v>
      </c>
      <c r="V155" s="14" t="str">
        <f t="shared" si="241"/>
        <v xml:space="preserve"> </v>
      </c>
      <c r="W155" s="14" t="str">
        <f t="shared" si="242"/>
        <v xml:space="preserve">efficiency(-1,25%),  </v>
      </c>
      <c r="X155" s="14" t="str">
        <f t="shared" si="243"/>
        <v xml:space="preserve">efficiency(25)
 </v>
      </c>
      <c r="Y155" s="14" t="str">
        <f t="shared" si="244"/>
        <v xml:space="preserve">spaciousness(1), ease of access(3), reputation(2), user rules and manuals(0.1), project management(0.1), negotiation(0.1),  </v>
      </c>
      <c r="Z155" s="14" t="str">
        <f t="shared" si="245"/>
        <v xml:space="preserve">reputation(-1,%),  </v>
      </c>
      <c r="AA155" s="27" t="str">
        <f t="shared" si="518"/>
        <v xml:space="preserve"> </v>
      </c>
      <c r="AB155" s="14" t="str">
        <f t="shared" si="247"/>
        <v xml:space="preserve"> </v>
      </c>
      <c r="AC155" s="14" t="str">
        <f t="shared" si="248"/>
        <v xml:space="preserve"> </v>
      </c>
      <c r="AD155" s="14" t="str">
        <f t="shared" si="249"/>
        <v xml:space="preserve"> </v>
      </c>
      <c r="AE155" s="14" t="str">
        <f t="shared" si="250"/>
        <v xml:space="preserve">spaciousness(1), user rules and manuals(1.1), organizational rules and manuals(1.1),  </v>
      </c>
      <c r="AF155" s="14" t="str">
        <f t="shared" si="251"/>
        <v xml:space="preserve">local biz(-1,6.25%), investors(-1,6.25%), non-profits(-1,6.25%), efficiency(-1,6.25%),  </v>
      </c>
      <c r="AG155" s="27" t="str">
        <f t="shared" si="518"/>
        <v xml:space="preserve">local biz(6.25),investors(6.25),non-profits(6.25),efficiency(6.25), </v>
      </c>
      <c r="AH155" s="14" t="str">
        <f t="shared" si="253"/>
        <v xml:space="preserve">ease of access(1)
reputation(1)
 </v>
      </c>
      <c r="AI155" s="14" t="str">
        <f t="shared" si="254"/>
        <v xml:space="preserve"> </v>
      </c>
      <c r="AJ155" s="14" t="str">
        <f t="shared" si="255"/>
        <v xml:space="preserve"> </v>
      </c>
      <c r="AK155" s="14" t="str">
        <f t="shared" si="256"/>
        <v xml:space="preserve">spaciousness(1), ease of access(1), reputation(2), user rules and manuals(2.1), organizational rules and manuals(2.1), law(1.1), negotiation(1.1),  </v>
      </c>
      <c r="AL155" s="14" t="str">
        <f t="shared" si="257"/>
        <v xml:space="preserve">govt(-1,6.25%), non-profits(-1,6.25%), reputation(-1,6.25%),  </v>
      </c>
      <c r="AM155" s="27" t="str">
        <f t="shared" si="518"/>
        <v xml:space="preserve">govt(6.25),non-profits(6.25),reputation(6.25), </v>
      </c>
      <c r="AN155" s="14" t="str">
        <f t="shared" si="259"/>
        <v xml:space="preserve"> </v>
      </c>
      <c r="AO155" s="14" t="str">
        <f t="shared" si="260"/>
        <v xml:space="preserve"> </v>
      </c>
      <c r="AP155" s="14" t="str">
        <f t="shared" si="261"/>
        <v xml:space="preserve"> </v>
      </c>
      <c r="AQ155" s="14" t="str">
        <f t="shared" si="262"/>
        <v xml:space="preserve">spaciousness(2.1), reputation(3), organizational rules and manuals(2.1), team building(2.1),  </v>
      </c>
      <c r="AR155" s="14" t="str">
        <f t="shared" si="263"/>
        <v xml:space="preserve">reputation(-1,6.25%), efficiency(-1,6.25%),  </v>
      </c>
      <c r="AS155" s="27" t="str">
        <f t="shared" si="518"/>
        <v xml:space="preserve">reputation(6.25),efficiency(6.25), </v>
      </c>
      <c r="AT155" s="14" t="str">
        <f t="shared" si="265"/>
        <v xml:space="preserve"> </v>
      </c>
      <c r="AU155" s="14" t="str">
        <f t="shared" si="266"/>
        <v xml:space="preserve"> </v>
      </c>
      <c r="AV155" s="14" t="str">
        <f t="shared" si="267"/>
        <v xml:space="preserve"> </v>
      </c>
      <c r="AW155" s="14" t="str">
        <f t="shared" si="268"/>
        <v xml:space="preserve">user rules and manuals(2.1), team building(2.1),  </v>
      </c>
      <c r="AX155" s="14" t="str">
        <f t="shared" si="269"/>
        <v xml:space="preserve"> </v>
      </c>
      <c r="AY155" s="27" t="str">
        <f t="shared" si="518"/>
        <v xml:space="preserve"> </v>
      </c>
      <c r="AZ155" s="14" t="str">
        <f t="shared" si="271"/>
        <v xml:space="preserve"> </v>
      </c>
      <c r="BA155" s="14" t="str">
        <f t="shared" si="272"/>
        <v xml:space="preserve">efficiency(-1,12.5%), user rules and manuals(1,25%),  </v>
      </c>
      <c r="BB155" s="14" t="str">
        <f t="shared" si="273"/>
        <v xml:space="preserve">efficiency(12.5)
user rules and manuals(25)
 </v>
      </c>
      <c r="BC155" s="14" t="str">
        <f t="shared" si="274"/>
        <v xml:space="preserve">user rules and manuals(2.1), organizational rules and manuals(2.1),  </v>
      </c>
      <c r="BD155" s="14" t="str">
        <f t="shared" si="275"/>
        <v xml:space="preserve">reputation(-1,6.25%),  </v>
      </c>
      <c r="BE155" s="27" t="str">
        <f t="shared" si="518"/>
        <v xml:space="preserve">reputation(6.25), </v>
      </c>
      <c r="BF155" s="14" t="str">
        <f t="shared" si="277"/>
        <v xml:space="preserve"> </v>
      </c>
      <c r="BG155" s="14" t="str">
        <f t="shared" si="278"/>
        <v xml:space="preserve">user rules and manuals(1,25%), organizational rules and manuals(1,25%),  </v>
      </c>
      <c r="BH155" s="14" t="str">
        <f t="shared" si="279"/>
        <v xml:space="preserve">user rules and manuals(25)
organizational rules and manuals(25)
 </v>
      </c>
      <c r="BI155" s="14" t="str">
        <f t="shared" si="280"/>
        <v xml:space="preserve"> </v>
      </c>
      <c r="BJ155" s="14" t="str">
        <f t="shared" si="281"/>
        <v xml:space="preserve">reputation(-1,6.25%), efficiency(-1,25%),  </v>
      </c>
      <c r="BK155" s="27" t="str">
        <f t="shared" si="518"/>
        <v xml:space="preserve">reputation(6.25),efficiency(25), </v>
      </c>
      <c r="BL155" s="14" t="str">
        <f t="shared" si="283"/>
        <v xml:space="preserve">local biz(1)
ease of access(1)
reputation(1)
aesthetics(1)
 </v>
      </c>
      <c r="BM155" s="14" t="str">
        <f t="shared" si="284"/>
        <v xml:space="preserve">biz enhancement(1,%),  </v>
      </c>
      <c r="BN155" s="14" t="str">
        <f t="shared" si="285"/>
        <v xml:space="preserve"> </v>
      </c>
      <c r="BO155" s="14" t="str">
        <f t="shared" si="286"/>
        <v xml:space="preserve">ease of access(2), reputation(3), efficiency(2), user rules and manuals(1), marketing(1), negotiation(1), aesthetics(2), functions(1), safety(1),  </v>
      </c>
      <c r="BP155" s="14" t="str">
        <f t="shared" si="287"/>
        <v xml:space="preserve">local biz(1,6.25%),  </v>
      </c>
      <c r="BQ155" s="27" t="str">
        <f t="shared" si="518"/>
        <v xml:space="preserve">local biz(6.25), </v>
      </c>
      <c r="BR155" s="14" t="str">
        <f t="shared" si="289"/>
        <v xml:space="preserve">local biz(1)
ease of access(1)
reputation(1)
aesthetics(1)
 </v>
      </c>
      <c r="BS155" s="14" t="str">
        <f t="shared" si="290"/>
        <v xml:space="preserve">biz project(1,%),  </v>
      </c>
      <c r="BT155" s="14" t="str">
        <f t="shared" si="291"/>
        <v xml:space="preserve"> </v>
      </c>
      <c r="BU155" s="14" t="str">
        <f t="shared" si="292"/>
        <v xml:space="preserve">ease of access(2), reputation(3), efficiency(2), user rules and manuals(1), marketing(1), negotiation(1), wood processing(1), aesthetics(2),  </v>
      </c>
      <c r="BV155" s="14" t="str">
        <f t="shared" si="293"/>
        <v xml:space="preserve">local biz(1,6.25%),  </v>
      </c>
      <c r="BW155" s="27" t="str">
        <f t="shared" si="518"/>
        <v xml:space="preserve">local biz(6.25), </v>
      </c>
      <c r="BX155" s="14" t="str">
        <f t="shared" si="295"/>
        <v xml:space="preserve">local biz(1)
ease of access(1)
reputation(1)
aesthetics(1)
interaction(1)
 </v>
      </c>
      <c r="BY155" s="14" t="str">
        <f t="shared" si="296"/>
        <v xml:space="preserve">biz project(1,%),  </v>
      </c>
      <c r="BZ155" s="14" t="str">
        <f t="shared" si="297"/>
        <v xml:space="preserve"> </v>
      </c>
      <c r="CA155" s="14" t="str">
        <f t="shared" si="298"/>
        <v xml:space="preserve">ease of access(2), reputation(3), efficiency(2), user rules and manuals(1), marketing(1), team building(1), social media(1), negotiation(1), web(2), infrastructrue(2), database(2), security(3), aesthetics(2), functions(1), interaction(2),  </v>
      </c>
      <c r="CB155" s="14" t="str">
        <f t="shared" si="299"/>
        <v xml:space="preserve">local biz(1,6.25%),  </v>
      </c>
      <c r="CC155" s="27" t="str">
        <f t="shared" si="519"/>
        <v xml:space="preserve">local biz(6.25), </v>
      </c>
      <c r="CD155" s="14" t="str">
        <f t="shared" si="301"/>
        <v xml:space="preserve">ease of access(1)
reputation(1)
aesthetics(1)
 </v>
      </c>
      <c r="CE155" s="14" t="str">
        <f t="shared" si="302"/>
        <v xml:space="preserve">biz project(1,%),  </v>
      </c>
      <c r="CF155" s="14" t="str">
        <f t="shared" si="303"/>
        <v xml:space="preserve"> </v>
      </c>
      <c r="CG155" s="14" t="str">
        <f t="shared" si="304"/>
        <v xml:space="preserve">ease of access(2), efficiency(2), user rules and manuals(1), marketing(1), team building(1), negotiation(1), infrastructrue(1), database(2), mobile apps(2), security(3), aesthetics(2), functions(1), interaction(2),  </v>
      </c>
      <c r="CH155" s="14" t="str">
        <f t="shared" si="305"/>
        <v xml:space="preserve">local biz(1,6.25%),  </v>
      </c>
      <c r="CI155" s="27" t="str">
        <f t="shared" si="519"/>
        <v xml:space="preserve">local biz(6.25), </v>
      </c>
      <c r="CJ155" s="14" t="str">
        <f t="shared" si="307"/>
        <v xml:space="preserve">ease of access(1)
reputation(1)
aesthetics(1)
 </v>
      </c>
      <c r="CK155" s="14" t="str">
        <f t="shared" si="308"/>
        <v xml:space="preserve">biz project(1,%),  </v>
      </c>
      <c r="CL155" s="14" t="str">
        <f t="shared" si="309"/>
        <v xml:space="preserve"> </v>
      </c>
      <c r="CM155" s="14" t="str">
        <f t="shared" si="310"/>
        <v xml:space="preserve">ease of access(2), reputation(3), efficiency(2), user rules and manuals(1), marketing(2), team building(1), social media(2), negotiation(1), web(2), infrastructrue(2), database(2), mobile apps(2), security(2), aesthetics(2), functions(1), interaction(2),  </v>
      </c>
      <c r="CN155" s="14" t="str">
        <f t="shared" si="311"/>
        <v xml:space="preserve">local biz(1,6.25%),  </v>
      </c>
      <c r="CO155" s="27" t="str">
        <f t="shared" si="519"/>
        <v xml:space="preserve">local biz(6.25), </v>
      </c>
      <c r="CP155" s="14" t="str">
        <f t="shared" si="313"/>
        <v xml:space="preserve">local biz(1)
metal processing(1)
functions(1)
 </v>
      </c>
      <c r="CQ155" s="14" t="str">
        <f t="shared" si="314"/>
        <v xml:space="preserve">local biz(1,50%), biz enhancement(1,50%),  </v>
      </c>
      <c r="CR155" s="14" t="str">
        <f t="shared" si="315"/>
        <v xml:space="preserve">local biz(50)
biz enhancement(50)
 </v>
      </c>
      <c r="CS155" s="14" t="str">
        <f t="shared" si="316"/>
        <v xml:space="preserve">ease of access(2), reputation(3), efficiency(2), metal processing(2), electronics(2), aesthetics(2), functions(2), safety(2),  </v>
      </c>
      <c r="CT155" s="14" t="str">
        <f t="shared" si="317"/>
        <v xml:space="preserve">reputation(1,6.25%),  </v>
      </c>
      <c r="CU155" s="27" t="str">
        <f t="shared" si="519"/>
        <v xml:space="preserve">reputation(6.25), </v>
      </c>
      <c r="CV155" s="14" t="str">
        <f t="shared" si="319"/>
        <v xml:space="preserve">non-profits(1)
wood processing(1)
aesthetics(1)
interaction(1)
 </v>
      </c>
      <c r="CW155" s="14" t="str">
        <f t="shared" si="320"/>
        <v xml:space="preserve">non-profits(1,50%), social project(1,50%),  </v>
      </c>
      <c r="CX155" s="14" t="str">
        <f t="shared" si="321"/>
        <v xml:space="preserve">non-profits(50)
social project(50)
 </v>
      </c>
      <c r="CY155" s="14" t="str">
        <f t="shared" si="322"/>
        <v xml:space="preserve">ease of access(2), efficiency(3), sensors(2), wood processing(2), plastic processing(2), electronics(2), aesthetics(2), functions(1), safety(1), interaction(2),  </v>
      </c>
      <c r="CZ155" s="14" t="str">
        <f t="shared" si="323"/>
        <v xml:space="preserve">media(1,6.25%), reputation(1,6.25%), portfolio(1,6.25%),  </v>
      </c>
      <c r="DA155" s="27" t="str">
        <f t="shared" si="519"/>
        <v xml:space="preserve">media(6.25),reputation(6.25),portfolio(6.25), </v>
      </c>
      <c r="DB155" s="14" t="str">
        <f t="shared" si="325"/>
        <v xml:space="preserve">non-profits(1)
aesthetics(1)
interaction(1)
 </v>
      </c>
      <c r="DC155" s="14" t="str">
        <f t="shared" si="326"/>
        <v xml:space="preserve">non-profits(1,50%), social project(1,50%),  </v>
      </c>
      <c r="DD155" s="14" t="str">
        <f t="shared" si="327"/>
        <v xml:space="preserve">non-profits(50)
social project(50)
 </v>
      </c>
      <c r="DE155" s="14" t="str">
        <f t="shared" si="328"/>
        <v xml:space="preserve">ease of access(2), efficiency(3), VR&amp;AR(2),  </v>
      </c>
      <c r="DF155" s="14" t="str">
        <f t="shared" si="329"/>
        <v xml:space="preserve">media(1,6.25%), reputation(1,6.25%), portfolio(1,6.25%),  </v>
      </c>
      <c r="DG155" s="27" t="str">
        <f t="shared" si="519"/>
        <v xml:space="preserve">media(6.25),reputation(6.25),portfolio(6.25), </v>
      </c>
      <c r="DH155" s="14" t="str">
        <f t="shared" si="331"/>
        <v xml:space="preserve">wood processing(1)
aesthetics(1)
safety(1)
 </v>
      </c>
      <c r="DI155" s="14" t="str">
        <f t="shared" si="332"/>
        <v xml:space="preserve">social project(1,100%),  </v>
      </c>
      <c r="DJ155" s="14" t="str">
        <f t="shared" si="333"/>
        <v xml:space="preserve">social project(100)
 </v>
      </c>
      <c r="DK155" s="14" t="str">
        <f t="shared" si="334"/>
        <v xml:space="preserve">local biz(2), 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5" s="14" t="str">
        <f t="shared" si="335"/>
        <v xml:space="preserve">reputation(1,6.25%), portfolio(1,6.25%), team building(1,6.25%),  </v>
      </c>
      <c r="DM155" s="27" t="str">
        <f t="shared" si="519"/>
        <v xml:space="preserve">reputation(6.25),portfolio(6.25),team building(6.25), </v>
      </c>
      <c r="DN155" s="14" t="str">
        <f t="shared" si="337"/>
        <v xml:space="preserve">suppliers(2)
spaciousness(1)
ease of access(2)
reputation(3)
project management(2)
wood processing(1)
plastic processing(1)
electronics(1)
aesthetics(2)
functions(1)
safety(1)
biz project(1)
 </v>
      </c>
      <c r="DO155" s="14" t="str">
        <f t="shared" si="338"/>
        <v xml:space="preserve">reputation(1,25%), portfolio(1,50%),  </v>
      </c>
      <c r="DP155" s="14" t="str">
        <f t="shared" si="339"/>
        <v xml:space="preserve">reputation(25)
portfolio(50)
 </v>
      </c>
      <c r="DQ155" s="14" t="str">
        <f t="shared" si="340"/>
        <v xml:space="preserve">media(3), suppliers(3), social media(2), wood processing(2), plastic processing(2), electronics(2), aesthetics(2),  </v>
      </c>
      <c r="DR155" s="14" t="str">
        <f t="shared" si="341"/>
        <v xml:space="preserve">suppliers(1,6.25%), reputation(1,6.25%),  </v>
      </c>
      <c r="DS155" s="27" t="str">
        <f t="shared" si="519"/>
        <v xml:space="preserve">suppliers(6.25),reputation(6.25), </v>
      </c>
      <c r="DT155" s="14" t="str">
        <f t="shared" si="343"/>
        <v xml:space="preserve">reputation(3)
portfolio(2)
 </v>
      </c>
      <c r="DU155" s="14" t="str">
        <f t="shared" si="344"/>
        <v xml:space="preserve">govt(1,25%), non-profits(1,50%), reputation(1,25%),  </v>
      </c>
      <c r="DV155" s="14" t="str">
        <f t="shared" si="345"/>
        <v xml:space="preserve">govt(25)
non-profits(50)
reputation(25)
 </v>
      </c>
      <c r="DW155" s="14" t="str">
        <f t="shared" si="346"/>
        <v xml:space="preserve">social media(2),  </v>
      </c>
      <c r="DX155" s="14" t="str">
        <f t="shared" si="347"/>
        <v xml:space="preserve">reputation(1,6.25%),  </v>
      </c>
      <c r="DY155" s="27" t="str">
        <f t="shared" si="519"/>
        <v xml:space="preserve">reputation(6.25), </v>
      </c>
      <c r="DZ155" s="14" t="str">
        <f t="shared" si="349"/>
        <v xml:space="preserve"> </v>
      </c>
      <c r="EA155" s="14" t="str">
        <f t="shared" si="350"/>
        <v xml:space="preserve"> </v>
      </c>
      <c r="EB155" s="14" t="str">
        <f t="shared" si="351"/>
        <v xml:space="preserve"> </v>
      </c>
      <c r="EC155" s="14" t="str">
        <f t="shared" si="352"/>
        <v xml:space="preserve"> </v>
      </c>
      <c r="ED155" s="14" t="str">
        <f t="shared" si="353"/>
        <v xml:space="preserve"> </v>
      </c>
      <c r="EE155" s="27" t="str">
        <f t="shared" si="519"/>
        <v xml:space="preserve"> </v>
      </c>
      <c r="EF155" s="14" t="str">
        <f t="shared" si="355"/>
        <v xml:space="preserve"> </v>
      </c>
      <c r="EG155" s="14" t="str">
        <f t="shared" si="356"/>
        <v xml:space="preserve"> </v>
      </c>
      <c r="EH155" s="14" t="str">
        <f t="shared" si="357"/>
        <v xml:space="preserve"> </v>
      </c>
      <c r="EI155" s="14" t="str">
        <f t="shared" si="358"/>
        <v xml:space="preserve"> </v>
      </c>
      <c r="EJ155" s="14" t="str">
        <f t="shared" si="359"/>
        <v xml:space="preserve"> </v>
      </c>
      <c r="EK155" s="27" t="str">
        <f t="shared" si="519"/>
        <v xml:space="preserve"> </v>
      </c>
      <c r="EL155" s="14" t="str">
        <f t="shared" si="361"/>
        <v xml:space="preserve"> </v>
      </c>
      <c r="EM155" s="14" t="str">
        <f t="shared" si="362"/>
        <v xml:space="preserve"> </v>
      </c>
      <c r="EN155" s="14" t="str">
        <f t="shared" si="363"/>
        <v xml:space="preserve"> </v>
      </c>
      <c r="EO155" s="14" t="str">
        <f t="shared" si="364"/>
        <v xml:space="preserve"> </v>
      </c>
      <c r="EP155" s="14" t="str">
        <f t="shared" si="365"/>
        <v xml:space="preserve"> </v>
      </c>
      <c r="EQ155" s="27" t="str">
        <f t="shared" si="520"/>
        <v xml:space="preserve"> </v>
      </c>
      <c r="ER155" s="14" t="str">
        <f t="shared" si="367"/>
        <v xml:space="preserve"> </v>
      </c>
      <c r="ES155" s="14" t="str">
        <f t="shared" si="368"/>
        <v xml:space="preserve"> </v>
      </c>
      <c r="ET155" s="14" t="str">
        <f t="shared" si="369"/>
        <v xml:space="preserve"> </v>
      </c>
      <c r="EU155" s="14" t="str">
        <f t="shared" si="370"/>
        <v xml:space="preserve"> </v>
      </c>
      <c r="EV155" s="14" t="str">
        <f t="shared" si="371"/>
        <v xml:space="preserve"> </v>
      </c>
      <c r="EW155" s="27" t="str">
        <f t="shared" si="520"/>
        <v xml:space="preserve"> </v>
      </c>
      <c r="EX155" s="14" t="str">
        <f t="shared" si="373"/>
        <v xml:space="preserve"> </v>
      </c>
      <c r="EY155" s="14" t="str">
        <f t="shared" si="374"/>
        <v xml:space="preserve"> </v>
      </c>
      <c r="EZ155" s="14" t="str">
        <f t="shared" si="375"/>
        <v xml:space="preserve"> </v>
      </c>
      <c r="FA155" s="14" t="str">
        <f t="shared" si="376"/>
        <v xml:space="preserve"> </v>
      </c>
      <c r="FB155" s="14" t="str">
        <f t="shared" si="377"/>
        <v xml:space="preserve"> </v>
      </c>
      <c r="FC155" s="27" t="str">
        <f t="shared" si="520"/>
        <v xml:space="preserve"> </v>
      </c>
      <c r="FD155" s="14" t="str">
        <f t="shared" si="379"/>
        <v xml:space="preserve"> </v>
      </c>
      <c r="FE155" s="14" t="str">
        <f t="shared" si="380"/>
        <v xml:space="preserve"> </v>
      </c>
      <c r="FF155" s="14" t="str">
        <f t="shared" si="381"/>
        <v xml:space="preserve"> </v>
      </c>
      <c r="FG155" s="14" t="str">
        <f t="shared" si="382"/>
        <v xml:space="preserve"> </v>
      </c>
      <c r="FH155" s="14" t="str">
        <f t="shared" si="383"/>
        <v xml:space="preserve"> </v>
      </c>
      <c r="FI155" s="27" t="str">
        <f t="shared" si="520"/>
        <v xml:space="preserve"> </v>
      </c>
      <c r="FJ155" s="14" t="str">
        <f t="shared" si="385"/>
        <v xml:space="preserve"> </v>
      </c>
      <c r="FK155" s="14" t="str">
        <f t="shared" si="386"/>
        <v xml:space="preserve"> </v>
      </c>
      <c r="FL155" s="14" t="str">
        <f t="shared" si="387"/>
        <v xml:space="preserve"> </v>
      </c>
      <c r="FM155" s="14" t="str">
        <f t="shared" si="388"/>
        <v xml:space="preserve"> </v>
      </c>
      <c r="FN155" s="14" t="str">
        <f t="shared" si="389"/>
        <v xml:space="preserve"> </v>
      </c>
      <c r="FO155" s="27" t="str">
        <f t="shared" si="520"/>
        <v xml:space="preserve"> </v>
      </c>
      <c r="FP155" s="14" t="str">
        <f t="shared" si="391"/>
        <v xml:space="preserve"> </v>
      </c>
      <c r="FQ155" s="14" t="str">
        <f t="shared" si="392"/>
        <v xml:space="preserve"> </v>
      </c>
      <c r="FR155" s="14" t="str">
        <f t="shared" si="393"/>
        <v xml:space="preserve"> </v>
      </c>
      <c r="FS155" s="14" t="str">
        <f t="shared" si="394"/>
        <v xml:space="preserve"> </v>
      </c>
      <c r="FT155" s="14" t="str">
        <f t="shared" si="395"/>
        <v xml:space="preserve"> </v>
      </c>
      <c r="FU155" s="27" t="str">
        <f t="shared" si="520"/>
        <v xml:space="preserve"> </v>
      </c>
      <c r="FV155" s="14" t="str">
        <f t="shared" si="397"/>
        <v xml:space="preserve"> </v>
      </c>
      <c r="FW155" s="14" t="str">
        <f t="shared" si="398"/>
        <v xml:space="preserve"> </v>
      </c>
      <c r="FX155" s="14" t="str">
        <f t="shared" si="399"/>
        <v xml:space="preserve"> </v>
      </c>
      <c r="FY155" s="14" t="str">
        <f t="shared" si="400"/>
        <v xml:space="preserve"> </v>
      </c>
      <c r="FZ155" s="14" t="str">
        <f t="shared" si="401"/>
        <v xml:space="preserve"> </v>
      </c>
      <c r="GA155" s="27" t="str">
        <f t="shared" si="520"/>
        <v xml:space="preserve"> </v>
      </c>
      <c r="GB155" s="14" t="str">
        <f t="shared" si="403"/>
        <v xml:space="preserve"> </v>
      </c>
      <c r="GC155" s="14" t="str">
        <f t="shared" si="404"/>
        <v xml:space="preserve"> </v>
      </c>
      <c r="GD155" s="14" t="str">
        <f t="shared" si="405"/>
        <v xml:space="preserve"> </v>
      </c>
      <c r="GE155" s="14" t="str">
        <f t="shared" si="406"/>
        <v xml:space="preserve"> </v>
      </c>
      <c r="GF155" s="14" t="str">
        <f t="shared" si="407"/>
        <v xml:space="preserve"> </v>
      </c>
      <c r="GG155" s="27" t="str">
        <f t="shared" si="520"/>
        <v xml:space="preserve"> </v>
      </c>
      <c r="GH155" s="14" t="str">
        <f t="shared" si="409"/>
        <v xml:space="preserve"> </v>
      </c>
      <c r="GI155" s="14" t="str">
        <f t="shared" si="410"/>
        <v xml:space="preserve"> </v>
      </c>
      <c r="GJ155" s="14" t="str">
        <f t="shared" si="411"/>
        <v xml:space="preserve"> </v>
      </c>
      <c r="GK155" s="14" t="str">
        <f t="shared" si="412"/>
        <v xml:space="preserve"> </v>
      </c>
      <c r="GL155" s="14" t="str">
        <f t="shared" si="413"/>
        <v xml:space="preserve"> </v>
      </c>
      <c r="GM155" s="27" t="str">
        <f t="shared" si="520"/>
        <v xml:space="preserve"> </v>
      </c>
      <c r="GN155" s="14" t="str">
        <f t="shared" si="415"/>
        <v xml:space="preserve"> </v>
      </c>
      <c r="GO155" s="14" t="str">
        <f t="shared" si="416"/>
        <v xml:space="preserve"> </v>
      </c>
      <c r="GP155" s="14" t="str">
        <f t="shared" si="417"/>
        <v xml:space="preserve"> </v>
      </c>
      <c r="GQ155" s="14" t="str">
        <f t="shared" si="418"/>
        <v xml:space="preserve"> </v>
      </c>
      <c r="GR155" s="14" t="str">
        <f t="shared" si="419"/>
        <v xml:space="preserve"> </v>
      </c>
      <c r="GS155" s="27" t="str">
        <f t="shared" si="520"/>
        <v xml:space="preserve"> </v>
      </c>
      <c r="GT155" s="14" t="str">
        <f t="shared" si="421"/>
        <v xml:space="preserve"> </v>
      </c>
      <c r="GU155" s="14" t="str">
        <f t="shared" si="422"/>
        <v xml:space="preserve"> </v>
      </c>
      <c r="GV155" s="14" t="str">
        <f t="shared" si="423"/>
        <v xml:space="preserve"> </v>
      </c>
      <c r="GW155" s="14" t="str">
        <f t="shared" si="424"/>
        <v xml:space="preserve"> </v>
      </c>
      <c r="GX155" s="14" t="str">
        <f t="shared" si="425"/>
        <v xml:space="preserve"> </v>
      </c>
      <c r="GY155" s="27" t="str">
        <f t="shared" si="520"/>
        <v xml:space="preserve"> </v>
      </c>
      <c r="GZ155" s="14" t="str">
        <f t="shared" si="427"/>
        <v xml:space="preserve"> </v>
      </c>
      <c r="HA155" s="14" t="str">
        <f t="shared" si="428"/>
        <v xml:space="preserve"> </v>
      </c>
      <c r="HB155" s="14" t="str">
        <f t="shared" si="429"/>
        <v xml:space="preserve"> </v>
      </c>
      <c r="HC155" s="14" t="str">
        <f t="shared" si="430"/>
        <v xml:space="preserve"> </v>
      </c>
      <c r="HD155" s="14" t="str">
        <f t="shared" si="431"/>
        <v xml:space="preserve"> </v>
      </c>
      <c r="HE155" s="27" t="str">
        <f t="shared" si="521"/>
        <v xml:space="preserve"> </v>
      </c>
      <c r="HF155" s="14" t="str">
        <f t="shared" si="433"/>
        <v xml:space="preserve"> </v>
      </c>
      <c r="HG155" s="14" t="str">
        <f t="shared" si="434"/>
        <v xml:space="preserve"> </v>
      </c>
      <c r="HH155" s="14" t="str">
        <f t="shared" si="435"/>
        <v xml:space="preserve"> </v>
      </c>
      <c r="HI155" s="14" t="str">
        <f t="shared" si="436"/>
        <v xml:space="preserve"> </v>
      </c>
      <c r="HJ155" s="14" t="str">
        <f t="shared" si="437"/>
        <v xml:space="preserve"> </v>
      </c>
      <c r="HK155" s="27" t="str">
        <f t="shared" si="521"/>
        <v xml:space="preserve"> </v>
      </c>
      <c r="HL155" s="14" t="str">
        <f t="shared" si="439"/>
        <v xml:space="preserve"> </v>
      </c>
      <c r="HM155" s="14" t="str">
        <f t="shared" si="440"/>
        <v xml:space="preserve"> </v>
      </c>
      <c r="HN155" s="14" t="str">
        <f t="shared" si="441"/>
        <v xml:space="preserve"> </v>
      </c>
      <c r="HO155" s="14" t="str">
        <f t="shared" si="442"/>
        <v xml:space="preserve"> </v>
      </c>
      <c r="HP155" s="14" t="str">
        <f t="shared" si="443"/>
        <v xml:space="preserve"> </v>
      </c>
      <c r="HQ155" s="27" t="str">
        <f t="shared" si="521"/>
        <v xml:space="preserve"> </v>
      </c>
    </row>
    <row r="156" spans="1:225" ht="15.75" customHeight="1">
      <c r="A156" s="7">
        <f t="shared" ref="A156:C156" si="542">A48</f>
        <v>0</v>
      </c>
      <c r="B156" s="7">
        <f t="shared" si="542"/>
        <v>0</v>
      </c>
      <c r="C156" s="7" t="str">
        <f t="shared" si="542"/>
        <v>biz group</v>
      </c>
      <c r="D156" s="14" t="str">
        <f t="shared" si="446"/>
        <v xml:space="preserve"> </v>
      </c>
      <c r="E156" s="14" t="str">
        <f t="shared" si="447"/>
        <v xml:space="preserve"> </v>
      </c>
      <c r="F156" s="14" t="str">
        <f t="shared" si="448"/>
        <v xml:space="preserve"> </v>
      </c>
      <c r="G156" s="14" t="str">
        <f t="shared" si="449"/>
        <v xml:space="preserve">efficiency(1), user rules and manuals(2.1), organizational rules and manuals(2.1),  </v>
      </c>
      <c r="H156" s="14" t="str">
        <f t="shared" si="450"/>
        <v xml:space="preserve">efficiency(-1,6.25%),  </v>
      </c>
      <c r="I156" s="27" t="str">
        <f t="shared" ref="I156" si="543">IF(I48="",I157,$C156&amp;"("&amp;I48&amp;"),"&amp;I157)</f>
        <v xml:space="preserve">efficiency(6.25), </v>
      </c>
      <c r="J156" s="14" t="str">
        <f t="shared" si="229"/>
        <v xml:space="preserve"> </v>
      </c>
      <c r="K156" s="14" t="str">
        <f t="shared" si="230"/>
        <v xml:space="preserve"> </v>
      </c>
      <c r="L156" s="14" t="str">
        <f t="shared" si="231"/>
        <v xml:space="preserve"> </v>
      </c>
      <c r="M156" s="14" t="str">
        <f t="shared" si="232"/>
        <v xml:space="preserve">efficiency(0.1), organizational rules and manuals(1.1),  </v>
      </c>
      <c r="N156" s="14" t="str">
        <f t="shared" si="233"/>
        <v xml:space="preserve"> </v>
      </c>
      <c r="O156" s="27" t="str">
        <f t="shared" si="518"/>
        <v xml:space="preserve"> </v>
      </c>
      <c r="P156" s="14" t="str">
        <f t="shared" si="235"/>
        <v xml:space="preserve"> </v>
      </c>
      <c r="Q156" s="14" t="str">
        <f t="shared" si="236"/>
        <v xml:space="preserve"> </v>
      </c>
      <c r="R156" s="14" t="str">
        <f t="shared" si="237"/>
        <v xml:space="preserve"> </v>
      </c>
      <c r="S156" s="14" t="str">
        <f t="shared" si="238"/>
        <v xml:space="preserve">team building(0.1),  </v>
      </c>
      <c r="T156" s="14" t="str">
        <f t="shared" si="239"/>
        <v xml:space="preserve">business model(-1,6.25%), web(-1,6.25%), mobile apps(-1,6.25%), aesthetics(-1,6.25%),  </v>
      </c>
      <c r="U156" s="27" t="str">
        <f t="shared" si="518"/>
        <v xml:space="preserve">business model(6.25),web(6.25),mobile apps(6.25),aesthetics(6.25), </v>
      </c>
      <c r="V156" s="14" t="str">
        <f t="shared" si="241"/>
        <v xml:space="preserve"> </v>
      </c>
      <c r="W156" s="14" t="str">
        <f t="shared" si="242"/>
        <v xml:space="preserve">efficiency(-1,25%),  </v>
      </c>
      <c r="X156" s="14" t="str">
        <f t="shared" si="243"/>
        <v xml:space="preserve">efficiency(25)
 </v>
      </c>
      <c r="Y156" s="14" t="str">
        <f t="shared" si="244"/>
        <v xml:space="preserve">spaciousness(1), ease of access(3), reputation(2), user rules and manuals(0.1), project management(0.1), negotiation(0.1),  </v>
      </c>
      <c r="Z156" s="14" t="str">
        <f t="shared" si="245"/>
        <v xml:space="preserve">reputation(-1,%),  </v>
      </c>
      <c r="AA156" s="27" t="str">
        <f t="shared" si="518"/>
        <v xml:space="preserve"> </v>
      </c>
      <c r="AB156" s="14" t="str">
        <f t="shared" si="247"/>
        <v xml:space="preserve"> </v>
      </c>
      <c r="AC156" s="14" t="str">
        <f t="shared" si="248"/>
        <v xml:space="preserve"> </v>
      </c>
      <c r="AD156" s="14" t="str">
        <f t="shared" si="249"/>
        <v xml:space="preserve"> </v>
      </c>
      <c r="AE156" s="14" t="str">
        <f t="shared" si="250"/>
        <v xml:space="preserve">spaciousness(1), user rules and manuals(1.1), organizational rules and manuals(1.1),  </v>
      </c>
      <c r="AF156" s="14" t="str">
        <f t="shared" si="251"/>
        <v xml:space="preserve">investors(-1,6.25%), non-profits(-1,6.25%), efficiency(-1,6.25%),  </v>
      </c>
      <c r="AG156" s="27" t="str">
        <f t="shared" si="518"/>
        <v xml:space="preserve">investors(6.25),non-profits(6.25),efficiency(6.25), </v>
      </c>
      <c r="AH156" s="14" t="str">
        <f t="shared" si="253"/>
        <v xml:space="preserve">ease of access(1)
reputation(1)
 </v>
      </c>
      <c r="AI156" s="14" t="str">
        <f t="shared" si="254"/>
        <v xml:space="preserve"> </v>
      </c>
      <c r="AJ156" s="14" t="str">
        <f t="shared" si="255"/>
        <v xml:space="preserve"> </v>
      </c>
      <c r="AK156" s="14" t="str">
        <f t="shared" si="256"/>
        <v xml:space="preserve">spaciousness(1), ease of access(1), reputation(2), user rules and manuals(2.1), organizational rules and manuals(2.1), law(1.1), negotiation(1.1),  </v>
      </c>
      <c r="AL156" s="14" t="str">
        <f t="shared" si="257"/>
        <v xml:space="preserve">govt(-1,6.25%), non-profits(-1,6.25%), reputation(-1,6.25%),  </v>
      </c>
      <c r="AM156" s="27" t="str">
        <f t="shared" si="518"/>
        <v xml:space="preserve">govt(6.25),non-profits(6.25),reputation(6.25), </v>
      </c>
      <c r="AN156" s="14" t="str">
        <f t="shared" si="259"/>
        <v xml:space="preserve"> </v>
      </c>
      <c r="AO156" s="14" t="str">
        <f t="shared" si="260"/>
        <v xml:space="preserve"> </v>
      </c>
      <c r="AP156" s="14" t="str">
        <f t="shared" si="261"/>
        <v xml:space="preserve"> </v>
      </c>
      <c r="AQ156" s="14" t="str">
        <f t="shared" si="262"/>
        <v xml:space="preserve">spaciousness(2.1), reputation(3), organizational rules and manuals(2.1), team building(2.1),  </v>
      </c>
      <c r="AR156" s="14" t="str">
        <f t="shared" si="263"/>
        <v xml:space="preserve">reputation(-1,6.25%), efficiency(-1,6.25%),  </v>
      </c>
      <c r="AS156" s="27" t="str">
        <f t="shared" si="518"/>
        <v xml:space="preserve">reputation(6.25),efficiency(6.25), </v>
      </c>
      <c r="AT156" s="14" t="str">
        <f t="shared" si="265"/>
        <v xml:space="preserve"> </v>
      </c>
      <c r="AU156" s="14" t="str">
        <f t="shared" si="266"/>
        <v xml:space="preserve"> </v>
      </c>
      <c r="AV156" s="14" t="str">
        <f t="shared" si="267"/>
        <v xml:space="preserve"> </v>
      </c>
      <c r="AW156" s="14" t="str">
        <f t="shared" si="268"/>
        <v xml:space="preserve">user rules and manuals(2.1), team building(2.1),  </v>
      </c>
      <c r="AX156" s="14" t="str">
        <f t="shared" si="269"/>
        <v xml:space="preserve"> </v>
      </c>
      <c r="AY156" s="27" t="str">
        <f t="shared" si="518"/>
        <v xml:space="preserve"> </v>
      </c>
      <c r="AZ156" s="14" t="str">
        <f t="shared" si="271"/>
        <v xml:space="preserve"> </v>
      </c>
      <c r="BA156" s="14" t="str">
        <f t="shared" si="272"/>
        <v xml:space="preserve">efficiency(-1,12.5%), user rules and manuals(1,25%),  </v>
      </c>
      <c r="BB156" s="14" t="str">
        <f t="shared" si="273"/>
        <v xml:space="preserve">efficiency(12.5)
user rules and manuals(25)
 </v>
      </c>
      <c r="BC156" s="14" t="str">
        <f t="shared" si="274"/>
        <v xml:space="preserve">user rules and manuals(2.1), organizational rules and manuals(2.1),  </v>
      </c>
      <c r="BD156" s="14" t="str">
        <f t="shared" si="275"/>
        <v xml:space="preserve">reputation(-1,6.25%),  </v>
      </c>
      <c r="BE156" s="27" t="str">
        <f t="shared" si="518"/>
        <v xml:space="preserve">reputation(6.25), </v>
      </c>
      <c r="BF156" s="14" t="str">
        <f t="shared" si="277"/>
        <v xml:space="preserve"> </v>
      </c>
      <c r="BG156" s="14" t="str">
        <f t="shared" si="278"/>
        <v xml:space="preserve">user rules and manuals(1,25%), organizational rules and manuals(1,25%),  </v>
      </c>
      <c r="BH156" s="14" t="str">
        <f t="shared" si="279"/>
        <v xml:space="preserve">user rules and manuals(25)
organizational rules and manuals(25)
 </v>
      </c>
      <c r="BI156" s="14" t="str">
        <f t="shared" si="280"/>
        <v xml:space="preserve"> </v>
      </c>
      <c r="BJ156" s="14" t="str">
        <f t="shared" si="281"/>
        <v xml:space="preserve">reputation(-1,6.25%), efficiency(-1,25%),  </v>
      </c>
      <c r="BK156" s="27" t="str">
        <f t="shared" si="518"/>
        <v xml:space="preserve">reputation(6.25),efficiency(25), </v>
      </c>
      <c r="BL156" s="14" t="str">
        <f t="shared" si="283"/>
        <v xml:space="preserve">ease of access(1)
reputation(1)
aesthetics(1)
 </v>
      </c>
      <c r="BM156" s="14" t="str">
        <f t="shared" si="284"/>
        <v xml:space="preserve">biz enhancement(1,%),  </v>
      </c>
      <c r="BN156" s="14" t="str">
        <f t="shared" si="285"/>
        <v xml:space="preserve"> </v>
      </c>
      <c r="BO156" s="14" t="str">
        <f t="shared" si="286"/>
        <v xml:space="preserve">ease of access(2), reputation(3), efficiency(2), user rules and manuals(1), marketing(1), negotiation(1), aesthetics(2), functions(1), safety(1),  </v>
      </c>
      <c r="BP156" s="14" t="str">
        <f t="shared" si="287"/>
        <v xml:space="preserve"> </v>
      </c>
      <c r="BQ156" s="27" t="str">
        <f t="shared" si="518"/>
        <v xml:space="preserve"> </v>
      </c>
      <c r="BR156" s="14" t="str">
        <f t="shared" si="289"/>
        <v xml:space="preserve">ease of access(1)
reputation(1)
aesthetics(1)
 </v>
      </c>
      <c r="BS156" s="14" t="str">
        <f t="shared" si="290"/>
        <v xml:space="preserve">biz project(1,%),  </v>
      </c>
      <c r="BT156" s="14" t="str">
        <f t="shared" si="291"/>
        <v xml:space="preserve"> </v>
      </c>
      <c r="BU156" s="14" t="str">
        <f t="shared" si="292"/>
        <v xml:space="preserve">ease of access(2), reputation(3), efficiency(2), user rules and manuals(1), marketing(1), negotiation(1), wood processing(1), aesthetics(2),  </v>
      </c>
      <c r="BV156" s="14" t="str">
        <f t="shared" si="293"/>
        <v xml:space="preserve"> </v>
      </c>
      <c r="BW156" s="27" t="str">
        <f t="shared" si="518"/>
        <v xml:space="preserve"> </v>
      </c>
      <c r="BX156" s="14" t="str">
        <f t="shared" si="295"/>
        <v xml:space="preserve">ease of access(1)
reputation(1)
aesthetics(1)
interaction(1)
 </v>
      </c>
      <c r="BY156" s="14" t="str">
        <f t="shared" si="296"/>
        <v xml:space="preserve">biz project(1,%),  </v>
      </c>
      <c r="BZ156" s="14" t="str">
        <f t="shared" si="297"/>
        <v xml:space="preserve"> </v>
      </c>
      <c r="CA156" s="14" t="str">
        <f t="shared" si="298"/>
        <v xml:space="preserve">ease of access(2), reputation(3), efficiency(2), user rules and manuals(1), marketing(1), team building(1), social media(1), negotiation(1), web(2), infrastructrue(2), database(2), security(3), aesthetics(2), functions(1), interaction(2),  </v>
      </c>
      <c r="CB156" s="14" t="str">
        <f t="shared" si="299"/>
        <v xml:space="preserve"> </v>
      </c>
      <c r="CC156" s="27" t="str">
        <f t="shared" si="519"/>
        <v xml:space="preserve"> </v>
      </c>
      <c r="CD156" s="14" t="str">
        <f t="shared" si="301"/>
        <v xml:space="preserve">ease of access(1)
reputation(1)
aesthetics(1)
 </v>
      </c>
      <c r="CE156" s="14" t="str">
        <f t="shared" si="302"/>
        <v xml:space="preserve">biz project(1,%),  </v>
      </c>
      <c r="CF156" s="14" t="str">
        <f t="shared" si="303"/>
        <v xml:space="preserve"> </v>
      </c>
      <c r="CG156" s="14" t="str">
        <f t="shared" si="304"/>
        <v xml:space="preserve">ease of access(2), efficiency(2), user rules and manuals(1), marketing(1), team building(1), negotiation(1), infrastructrue(1), database(2), mobile apps(2), security(3), aesthetics(2), functions(1), interaction(2),  </v>
      </c>
      <c r="CH156" s="14" t="str">
        <f t="shared" si="305"/>
        <v xml:space="preserve"> </v>
      </c>
      <c r="CI156" s="27" t="str">
        <f t="shared" si="519"/>
        <v xml:space="preserve"> </v>
      </c>
      <c r="CJ156" s="14" t="str">
        <f t="shared" si="307"/>
        <v xml:space="preserve">ease of access(1)
reputation(1)
aesthetics(1)
 </v>
      </c>
      <c r="CK156" s="14" t="str">
        <f t="shared" si="308"/>
        <v xml:space="preserve">biz project(1,%),  </v>
      </c>
      <c r="CL156" s="14" t="str">
        <f t="shared" si="309"/>
        <v xml:space="preserve"> </v>
      </c>
      <c r="CM156" s="14" t="str">
        <f t="shared" si="310"/>
        <v xml:space="preserve">ease of access(2), reputation(3), efficiency(2), user rules and manuals(1), marketing(2), team building(1), social media(2), negotiation(1), web(2), infrastructrue(2), database(2), mobile apps(2), security(2), aesthetics(2), functions(1), interaction(2),  </v>
      </c>
      <c r="CN156" s="14" t="str">
        <f t="shared" si="311"/>
        <v xml:space="preserve"> </v>
      </c>
      <c r="CO156" s="27" t="str">
        <f t="shared" si="519"/>
        <v xml:space="preserve"> </v>
      </c>
      <c r="CP156" s="14" t="str">
        <f t="shared" si="313"/>
        <v xml:space="preserve">metal processing(1)
functions(1)
 </v>
      </c>
      <c r="CQ156" s="14" t="str">
        <f t="shared" si="314"/>
        <v xml:space="preserve">biz enhancement(1,50%),  </v>
      </c>
      <c r="CR156" s="14" t="str">
        <f t="shared" si="315"/>
        <v xml:space="preserve">biz enhancement(50)
 </v>
      </c>
      <c r="CS156" s="14" t="str">
        <f t="shared" si="316"/>
        <v xml:space="preserve">ease of access(2), reputation(3), efficiency(2), metal processing(2), electronics(2), aesthetics(2), functions(2), safety(2),  </v>
      </c>
      <c r="CT156" s="14" t="str">
        <f t="shared" si="317"/>
        <v xml:space="preserve">reputation(1,6.25%),  </v>
      </c>
      <c r="CU156" s="27" t="str">
        <f t="shared" si="519"/>
        <v xml:space="preserve">reputation(6.25), </v>
      </c>
      <c r="CV156" s="14" t="str">
        <f t="shared" si="319"/>
        <v xml:space="preserve">non-profits(1)
wood processing(1)
aesthetics(1)
interaction(1)
 </v>
      </c>
      <c r="CW156" s="14" t="str">
        <f t="shared" si="320"/>
        <v xml:space="preserve">non-profits(1,50%), social project(1,50%),  </v>
      </c>
      <c r="CX156" s="14" t="str">
        <f t="shared" si="321"/>
        <v xml:space="preserve">non-profits(50)
social project(50)
 </v>
      </c>
      <c r="CY156" s="14" t="str">
        <f t="shared" si="322"/>
        <v xml:space="preserve">ease of access(2), efficiency(3), sensors(2), wood processing(2), plastic processing(2), electronics(2), aesthetics(2), functions(1), safety(1), interaction(2),  </v>
      </c>
      <c r="CZ156" s="14" t="str">
        <f t="shared" si="323"/>
        <v xml:space="preserve">media(1,6.25%), reputation(1,6.25%), portfolio(1,6.25%),  </v>
      </c>
      <c r="DA156" s="27" t="str">
        <f t="shared" si="519"/>
        <v xml:space="preserve">media(6.25),reputation(6.25),portfolio(6.25), </v>
      </c>
      <c r="DB156" s="14" t="str">
        <f t="shared" si="325"/>
        <v xml:space="preserve">non-profits(1)
aesthetics(1)
interaction(1)
 </v>
      </c>
      <c r="DC156" s="14" t="str">
        <f t="shared" si="326"/>
        <v xml:space="preserve">non-profits(1,50%), social project(1,50%),  </v>
      </c>
      <c r="DD156" s="14" t="str">
        <f t="shared" si="327"/>
        <v xml:space="preserve">non-profits(50)
social project(50)
 </v>
      </c>
      <c r="DE156" s="14" t="str">
        <f t="shared" si="328"/>
        <v xml:space="preserve">ease of access(2), efficiency(3), VR&amp;AR(2),  </v>
      </c>
      <c r="DF156" s="14" t="str">
        <f t="shared" si="329"/>
        <v xml:space="preserve">media(1,6.25%), reputation(1,6.25%), portfolio(1,6.25%),  </v>
      </c>
      <c r="DG156" s="27" t="str">
        <f t="shared" si="519"/>
        <v xml:space="preserve">media(6.25),reputation(6.25),portfolio(6.25), </v>
      </c>
      <c r="DH156" s="14" t="str">
        <f t="shared" si="331"/>
        <v xml:space="preserve">wood processing(1)
aesthetics(1)
safety(1)
 </v>
      </c>
      <c r="DI156" s="14" t="str">
        <f t="shared" si="332"/>
        <v xml:space="preserve">social project(1,100%),  </v>
      </c>
      <c r="DJ156" s="14" t="str">
        <f t="shared" si="333"/>
        <v xml:space="preserve">social project(100)
 </v>
      </c>
      <c r="DK156" s="14" t="str">
        <f t="shared" si="334"/>
        <v xml:space="preserve">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6" s="14" t="str">
        <f t="shared" si="335"/>
        <v xml:space="preserve">reputation(1,6.25%), portfolio(1,6.25%), team building(1,6.25%),  </v>
      </c>
      <c r="DM156" s="27" t="str">
        <f t="shared" si="519"/>
        <v xml:space="preserve">reputation(6.25),portfolio(6.25),team building(6.25), </v>
      </c>
      <c r="DN156" s="14" t="str">
        <f t="shared" si="337"/>
        <v xml:space="preserve">suppliers(2)
spaciousness(1)
ease of access(2)
reputation(3)
project management(2)
wood processing(1)
plastic processing(1)
electronics(1)
aesthetics(2)
functions(1)
safety(1)
biz project(1)
 </v>
      </c>
      <c r="DO156" s="14" t="str">
        <f t="shared" si="338"/>
        <v xml:space="preserve">reputation(1,25%), portfolio(1,50%),  </v>
      </c>
      <c r="DP156" s="14" t="str">
        <f t="shared" si="339"/>
        <v xml:space="preserve">reputation(25)
portfolio(50)
 </v>
      </c>
      <c r="DQ156" s="14" t="str">
        <f t="shared" si="340"/>
        <v xml:space="preserve">media(3), suppliers(3), social media(2), wood processing(2), plastic processing(2), electronics(2), aesthetics(2),  </v>
      </c>
      <c r="DR156" s="14" t="str">
        <f t="shared" si="341"/>
        <v xml:space="preserve">suppliers(1,6.25%), reputation(1,6.25%),  </v>
      </c>
      <c r="DS156" s="27" t="str">
        <f t="shared" si="519"/>
        <v xml:space="preserve">suppliers(6.25),reputation(6.25), </v>
      </c>
      <c r="DT156" s="14" t="str">
        <f t="shared" si="343"/>
        <v xml:space="preserve">reputation(3)
portfolio(2)
 </v>
      </c>
      <c r="DU156" s="14" t="str">
        <f t="shared" si="344"/>
        <v xml:space="preserve">govt(1,25%), non-profits(1,50%), reputation(1,25%),  </v>
      </c>
      <c r="DV156" s="14" t="str">
        <f t="shared" si="345"/>
        <v xml:space="preserve">govt(25)
non-profits(50)
reputation(25)
 </v>
      </c>
      <c r="DW156" s="14" t="str">
        <f t="shared" si="346"/>
        <v xml:space="preserve">social media(2),  </v>
      </c>
      <c r="DX156" s="14" t="str">
        <f t="shared" si="347"/>
        <v xml:space="preserve">reputation(1,6.25%),  </v>
      </c>
      <c r="DY156" s="27" t="str">
        <f t="shared" si="519"/>
        <v xml:space="preserve">reputation(6.25), </v>
      </c>
      <c r="DZ156" s="14" t="str">
        <f t="shared" si="349"/>
        <v xml:space="preserve"> </v>
      </c>
      <c r="EA156" s="14" t="str">
        <f t="shared" si="350"/>
        <v xml:space="preserve"> </v>
      </c>
      <c r="EB156" s="14" t="str">
        <f t="shared" si="351"/>
        <v xml:space="preserve"> </v>
      </c>
      <c r="EC156" s="14" t="str">
        <f t="shared" si="352"/>
        <v xml:space="preserve"> </v>
      </c>
      <c r="ED156" s="14" t="str">
        <f t="shared" si="353"/>
        <v xml:space="preserve"> </v>
      </c>
      <c r="EE156" s="27" t="str">
        <f t="shared" si="519"/>
        <v xml:space="preserve"> </v>
      </c>
      <c r="EF156" s="14" t="str">
        <f t="shared" si="355"/>
        <v xml:space="preserve"> </v>
      </c>
      <c r="EG156" s="14" t="str">
        <f t="shared" si="356"/>
        <v xml:space="preserve"> </v>
      </c>
      <c r="EH156" s="14" t="str">
        <f t="shared" si="357"/>
        <v xml:space="preserve"> </v>
      </c>
      <c r="EI156" s="14" t="str">
        <f t="shared" si="358"/>
        <v xml:space="preserve"> </v>
      </c>
      <c r="EJ156" s="14" t="str">
        <f t="shared" si="359"/>
        <v xml:space="preserve"> </v>
      </c>
      <c r="EK156" s="27" t="str">
        <f t="shared" si="519"/>
        <v xml:space="preserve"> </v>
      </c>
      <c r="EL156" s="14" t="str">
        <f t="shared" si="361"/>
        <v xml:space="preserve"> </v>
      </c>
      <c r="EM156" s="14" t="str">
        <f t="shared" si="362"/>
        <v xml:space="preserve"> </v>
      </c>
      <c r="EN156" s="14" t="str">
        <f t="shared" si="363"/>
        <v xml:space="preserve"> </v>
      </c>
      <c r="EO156" s="14" t="str">
        <f t="shared" si="364"/>
        <v xml:space="preserve"> </v>
      </c>
      <c r="EP156" s="14" t="str">
        <f t="shared" si="365"/>
        <v xml:space="preserve"> </v>
      </c>
      <c r="EQ156" s="27" t="str">
        <f t="shared" si="520"/>
        <v xml:space="preserve"> </v>
      </c>
      <c r="ER156" s="14" t="str">
        <f t="shared" si="367"/>
        <v xml:space="preserve"> </v>
      </c>
      <c r="ES156" s="14" t="str">
        <f t="shared" si="368"/>
        <v xml:space="preserve"> </v>
      </c>
      <c r="ET156" s="14" t="str">
        <f t="shared" si="369"/>
        <v xml:space="preserve"> </v>
      </c>
      <c r="EU156" s="14" t="str">
        <f t="shared" si="370"/>
        <v xml:space="preserve"> </v>
      </c>
      <c r="EV156" s="14" t="str">
        <f t="shared" si="371"/>
        <v xml:space="preserve"> </v>
      </c>
      <c r="EW156" s="27" t="str">
        <f t="shared" si="520"/>
        <v xml:space="preserve"> </v>
      </c>
      <c r="EX156" s="14" t="str">
        <f t="shared" si="373"/>
        <v xml:space="preserve"> </v>
      </c>
      <c r="EY156" s="14" t="str">
        <f t="shared" si="374"/>
        <v xml:space="preserve"> </v>
      </c>
      <c r="EZ156" s="14" t="str">
        <f t="shared" si="375"/>
        <v xml:space="preserve"> </v>
      </c>
      <c r="FA156" s="14" t="str">
        <f t="shared" si="376"/>
        <v xml:space="preserve"> </v>
      </c>
      <c r="FB156" s="14" t="str">
        <f t="shared" si="377"/>
        <v xml:space="preserve"> </v>
      </c>
      <c r="FC156" s="27" t="str">
        <f t="shared" si="520"/>
        <v xml:space="preserve"> </v>
      </c>
      <c r="FD156" s="14" t="str">
        <f t="shared" si="379"/>
        <v xml:space="preserve"> </v>
      </c>
      <c r="FE156" s="14" t="str">
        <f t="shared" si="380"/>
        <v xml:space="preserve"> </v>
      </c>
      <c r="FF156" s="14" t="str">
        <f t="shared" si="381"/>
        <v xml:space="preserve"> </v>
      </c>
      <c r="FG156" s="14" t="str">
        <f t="shared" si="382"/>
        <v xml:space="preserve"> </v>
      </c>
      <c r="FH156" s="14" t="str">
        <f t="shared" si="383"/>
        <v xml:space="preserve"> </v>
      </c>
      <c r="FI156" s="27" t="str">
        <f t="shared" si="520"/>
        <v xml:space="preserve"> </v>
      </c>
      <c r="FJ156" s="14" t="str">
        <f t="shared" si="385"/>
        <v xml:space="preserve"> </v>
      </c>
      <c r="FK156" s="14" t="str">
        <f t="shared" si="386"/>
        <v xml:space="preserve"> </v>
      </c>
      <c r="FL156" s="14" t="str">
        <f t="shared" si="387"/>
        <v xml:space="preserve"> </v>
      </c>
      <c r="FM156" s="14" t="str">
        <f t="shared" si="388"/>
        <v xml:space="preserve"> </v>
      </c>
      <c r="FN156" s="14" t="str">
        <f t="shared" si="389"/>
        <v xml:space="preserve"> </v>
      </c>
      <c r="FO156" s="27" t="str">
        <f t="shared" si="520"/>
        <v xml:space="preserve"> </v>
      </c>
      <c r="FP156" s="14" t="str">
        <f t="shared" si="391"/>
        <v xml:space="preserve"> </v>
      </c>
      <c r="FQ156" s="14" t="str">
        <f t="shared" si="392"/>
        <v xml:space="preserve"> </v>
      </c>
      <c r="FR156" s="14" t="str">
        <f t="shared" si="393"/>
        <v xml:space="preserve"> </v>
      </c>
      <c r="FS156" s="14" t="str">
        <f t="shared" si="394"/>
        <v xml:space="preserve"> </v>
      </c>
      <c r="FT156" s="14" t="str">
        <f t="shared" si="395"/>
        <v xml:space="preserve"> </v>
      </c>
      <c r="FU156" s="27" t="str">
        <f t="shared" si="520"/>
        <v xml:space="preserve"> </v>
      </c>
      <c r="FV156" s="14" t="str">
        <f t="shared" si="397"/>
        <v xml:space="preserve"> </v>
      </c>
      <c r="FW156" s="14" t="str">
        <f t="shared" si="398"/>
        <v xml:space="preserve"> </v>
      </c>
      <c r="FX156" s="14" t="str">
        <f t="shared" si="399"/>
        <v xml:space="preserve"> </v>
      </c>
      <c r="FY156" s="14" t="str">
        <f t="shared" si="400"/>
        <v xml:space="preserve"> </v>
      </c>
      <c r="FZ156" s="14" t="str">
        <f t="shared" si="401"/>
        <v xml:space="preserve"> </v>
      </c>
      <c r="GA156" s="27" t="str">
        <f t="shared" si="520"/>
        <v xml:space="preserve"> </v>
      </c>
      <c r="GB156" s="14" t="str">
        <f t="shared" si="403"/>
        <v xml:space="preserve"> </v>
      </c>
      <c r="GC156" s="14" t="str">
        <f t="shared" si="404"/>
        <v xml:space="preserve"> </v>
      </c>
      <c r="GD156" s="14" t="str">
        <f t="shared" si="405"/>
        <v xml:space="preserve"> </v>
      </c>
      <c r="GE156" s="14" t="str">
        <f t="shared" si="406"/>
        <v xml:space="preserve"> </v>
      </c>
      <c r="GF156" s="14" t="str">
        <f t="shared" si="407"/>
        <v xml:space="preserve"> </v>
      </c>
      <c r="GG156" s="27" t="str">
        <f t="shared" si="520"/>
        <v xml:space="preserve"> </v>
      </c>
      <c r="GH156" s="14" t="str">
        <f t="shared" si="409"/>
        <v xml:space="preserve"> </v>
      </c>
      <c r="GI156" s="14" t="str">
        <f t="shared" si="410"/>
        <v xml:space="preserve"> </v>
      </c>
      <c r="GJ156" s="14" t="str">
        <f t="shared" si="411"/>
        <v xml:space="preserve"> </v>
      </c>
      <c r="GK156" s="14" t="str">
        <f t="shared" si="412"/>
        <v xml:space="preserve"> </v>
      </c>
      <c r="GL156" s="14" t="str">
        <f t="shared" si="413"/>
        <v xml:space="preserve"> </v>
      </c>
      <c r="GM156" s="27" t="str">
        <f t="shared" si="520"/>
        <v xml:space="preserve"> </v>
      </c>
      <c r="GN156" s="14" t="str">
        <f t="shared" si="415"/>
        <v xml:space="preserve"> </v>
      </c>
      <c r="GO156" s="14" t="str">
        <f t="shared" si="416"/>
        <v xml:space="preserve"> </v>
      </c>
      <c r="GP156" s="14" t="str">
        <f t="shared" si="417"/>
        <v xml:space="preserve"> </v>
      </c>
      <c r="GQ156" s="14" t="str">
        <f t="shared" si="418"/>
        <v xml:space="preserve"> </v>
      </c>
      <c r="GR156" s="14" t="str">
        <f t="shared" si="419"/>
        <v xml:space="preserve"> </v>
      </c>
      <c r="GS156" s="27" t="str">
        <f t="shared" si="520"/>
        <v xml:space="preserve"> </v>
      </c>
      <c r="GT156" s="14" t="str">
        <f t="shared" si="421"/>
        <v xml:space="preserve"> </v>
      </c>
      <c r="GU156" s="14" t="str">
        <f t="shared" si="422"/>
        <v xml:space="preserve"> </v>
      </c>
      <c r="GV156" s="14" t="str">
        <f t="shared" si="423"/>
        <v xml:space="preserve"> </v>
      </c>
      <c r="GW156" s="14" t="str">
        <f t="shared" si="424"/>
        <v xml:space="preserve"> </v>
      </c>
      <c r="GX156" s="14" t="str">
        <f t="shared" si="425"/>
        <v xml:space="preserve"> </v>
      </c>
      <c r="GY156" s="27" t="str">
        <f t="shared" si="520"/>
        <v xml:space="preserve"> </v>
      </c>
      <c r="GZ156" s="14" t="str">
        <f t="shared" si="427"/>
        <v xml:space="preserve"> </v>
      </c>
      <c r="HA156" s="14" t="str">
        <f t="shared" si="428"/>
        <v xml:space="preserve"> </v>
      </c>
      <c r="HB156" s="14" t="str">
        <f t="shared" si="429"/>
        <v xml:space="preserve"> </v>
      </c>
      <c r="HC156" s="14" t="str">
        <f t="shared" si="430"/>
        <v xml:space="preserve"> </v>
      </c>
      <c r="HD156" s="14" t="str">
        <f t="shared" si="431"/>
        <v xml:space="preserve"> </v>
      </c>
      <c r="HE156" s="27" t="str">
        <f t="shared" si="521"/>
        <v xml:space="preserve"> </v>
      </c>
      <c r="HF156" s="14" t="str">
        <f t="shared" si="433"/>
        <v xml:space="preserve"> </v>
      </c>
      <c r="HG156" s="14" t="str">
        <f t="shared" si="434"/>
        <v xml:space="preserve"> </v>
      </c>
      <c r="HH156" s="14" t="str">
        <f t="shared" si="435"/>
        <v xml:space="preserve"> </v>
      </c>
      <c r="HI156" s="14" t="str">
        <f t="shared" si="436"/>
        <v xml:space="preserve"> </v>
      </c>
      <c r="HJ156" s="14" t="str">
        <f t="shared" si="437"/>
        <v xml:space="preserve"> </v>
      </c>
      <c r="HK156" s="27" t="str">
        <f t="shared" si="521"/>
        <v xml:space="preserve"> </v>
      </c>
      <c r="HL156" s="14" t="str">
        <f t="shared" si="439"/>
        <v xml:space="preserve"> </v>
      </c>
      <c r="HM156" s="14" t="str">
        <f t="shared" si="440"/>
        <v xml:space="preserve"> </v>
      </c>
      <c r="HN156" s="14" t="str">
        <f t="shared" si="441"/>
        <v xml:space="preserve"> </v>
      </c>
      <c r="HO156" s="14" t="str">
        <f t="shared" si="442"/>
        <v xml:space="preserve"> </v>
      </c>
      <c r="HP156" s="14" t="str">
        <f t="shared" si="443"/>
        <v xml:space="preserve"> </v>
      </c>
      <c r="HQ156" s="27" t="str">
        <f t="shared" si="521"/>
        <v xml:space="preserve"> </v>
      </c>
    </row>
    <row r="157" spans="1:225" ht="15.75" customHeight="1">
      <c r="A157" s="7">
        <f t="shared" ref="A157:C157" si="544">A49</f>
        <v>0</v>
      </c>
      <c r="B157" s="7">
        <f t="shared" si="544"/>
        <v>0</v>
      </c>
      <c r="C157" s="7" t="str">
        <f t="shared" si="544"/>
        <v>govt</v>
      </c>
      <c r="D157" s="14" t="str">
        <f t="shared" si="446"/>
        <v xml:space="preserve"> </v>
      </c>
      <c r="E157" s="14" t="str">
        <f t="shared" si="447"/>
        <v xml:space="preserve"> </v>
      </c>
      <c r="F157" s="14" t="str">
        <f t="shared" si="448"/>
        <v xml:space="preserve"> </v>
      </c>
      <c r="G157" s="14" t="str">
        <f t="shared" si="449"/>
        <v xml:space="preserve">efficiency(1), user rules and manuals(2.1), organizational rules and manuals(2.1),  </v>
      </c>
      <c r="H157" s="14" t="str">
        <f t="shared" si="450"/>
        <v xml:space="preserve">efficiency(-1,6.25%),  </v>
      </c>
      <c r="I157" s="27" t="str">
        <f t="shared" ref="I157" si="545">IF(I49="",I158,$C157&amp;"("&amp;I49&amp;"),"&amp;I158)</f>
        <v xml:space="preserve">efficiency(6.25), </v>
      </c>
      <c r="J157" s="14" t="str">
        <f t="shared" si="229"/>
        <v xml:space="preserve"> </v>
      </c>
      <c r="K157" s="14" t="str">
        <f t="shared" si="230"/>
        <v xml:space="preserve"> </v>
      </c>
      <c r="L157" s="14" t="str">
        <f t="shared" si="231"/>
        <v xml:space="preserve"> </v>
      </c>
      <c r="M157" s="14" t="str">
        <f t="shared" si="232"/>
        <v xml:space="preserve">efficiency(0.1), organizational rules and manuals(1.1),  </v>
      </c>
      <c r="N157" s="14" t="str">
        <f t="shared" si="233"/>
        <v xml:space="preserve"> </v>
      </c>
      <c r="O157" s="27" t="str">
        <f t="shared" si="518"/>
        <v xml:space="preserve"> </v>
      </c>
      <c r="P157" s="14" t="str">
        <f t="shared" si="235"/>
        <v xml:space="preserve"> </v>
      </c>
      <c r="Q157" s="14" t="str">
        <f t="shared" si="236"/>
        <v xml:space="preserve"> </v>
      </c>
      <c r="R157" s="14" t="str">
        <f t="shared" si="237"/>
        <v xml:space="preserve"> </v>
      </c>
      <c r="S157" s="14" t="str">
        <f t="shared" si="238"/>
        <v xml:space="preserve">team building(0.1),  </v>
      </c>
      <c r="T157" s="14" t="str">
        <f t="shared" si="239"/>
        <v xml:space="preserve">business model(-1,6.25%), web(-1,6.25%), mobile apps(-1,6.25%), aesthetics(-1,6.25%),  </v>
      </c>
      <c r="U157" s="27" t="str">
        <f t="shared" si="518"/>
        <v xml:space="preserve">business model(6.25),web(6.25),mobile apps(6.25),aesthetics(6.25), </v>
      </c>
      <c r="V157" s="14" t="str">
        <f t="shared" si="241"/>
        <v xml:space="preserve"> </v>
      </c>
      <c r="W157" s="14" t="str">
        <f t="shared" si="242"/>
        <v xml:space="preserve">efficiency(-1,25%),  </v>
      </c>
      <c r="X157" s="14" t="str">
        <f t="shared" si="243"/>
        <v xml:space="preserve">efficiency(25)
 </v>
      </c>
      <c r="Y157" s="14" t="str">
        <f t="shared" si="244"/>
        <v xml:space="preserve">spaciousness(1), ease of access(3), reputation(2), user rules and manuals(0.1), project management(0.1), negotiation(0.1),  </v>
      </c>
      <c r="Z157" s="14" t="str">
        <f t="shared" si="245"/>
        <v xml:space="preserve">reputation(-1,%),  </v>
      </c>
      <c r="AA157" s="27" t="str">
        <f t="shared" si="518"/>
        <v xml:space="preserve"> </v>
      </c>
      <c r="AB157" s="14" t="str">
        <f t="shared" si="247"/>
        <v xml:space="preserve"> </v>
      </c>
      <c r="AC157" s="14" t="str">
        <f t="shared" si="248"/>
        <v xml:space="preserve"> </v>
      </c>
      <c r="AD157" s="14" t="str">
        <f t="shared" si="249"/>
        <v xml:space="preserve"> </v>
      </c>
      <c r="AE157" s="14" t="str">
        <f t="shared" si="250"/>
        <v xml:space="preserve">spaciousness(1), user rules and manuals(1.1), organizational rules and manuals(1.1),  </v>
      </c>
      <c r="AF157" s="14" t="str">
        <f t="shared" si="251"/>
        <v xml:space="preserve">investors(-1,6.25%), non-profits(-1,6.25%), efficiency(-1,6.25%),  </v>
      </c>
      <c r="AG157" s="27" t="str">
        <f t="shared" si="518"/>
        <v xml:space="preserve">investors(6.25),non-profits(6.25),efficiency(6.25), </v>
      </c>
      <c r="AH157" s="14" t="str">
        <f t="shared" si="253"/>
        <v xml:space="preserve">ease of access(1)
reputation(1)
 </v>
      </c>
      <c r="AI157" s="14" t="str">
        <f t="shared" si="254"/>
        <v xml:space="preserve"> </v>
      </c>
      <c r="AJ157" s="14" t="str">
        <f t="shared" si="255"/>
        <v xml:space="preserve"> </v>
      </c>
      <c r="AK157" s="14" t="str">
        <f t="shared" si="256"/>
        <v xml:space="preserve">spaciousness(1), ease of access(1), reputation(2), user rules and manuals(2.1), organizational rules and manuals(2.1), law(1.1), negotiation(1.1),  </v>
      </c>
      <c r="AL157" s="14" t="str">
        <f t="shared" si="257"/>
        <v xml:space="preserve">govt(-1,6.25%), non-profits(-1,6.25%), reputation(-1,6.25%),  </v>
      </c>
      <c r="AM157" s="27" t="str">
        <f t="shared" si="518"/>
        <v xml:space="preserve">govt(6.25),non-profits(6.25),reputation(6.25), </v>
      </c>
      <c r="AN157" s="14" t="str">
        <f t="shared" si="259"/>
        <v xml:space="preserve"> </v>
      </c>
      <c r="AO157" s="14" t="str">
        <f t="shared" si="260"/>
        <v xml:space="preserve"> </v>
      </c>
      <c r="AP157" s="14" t="str">
        <f t="shared" si="261"/>
        <v xml:space="preserve"> </v>
      </c>
      <c r="AQ157" s="14" t="str">
        <f t="shared" si="262"/>
        <v xml:space="preserve">spaciousness(2.1), reputation(3), organizational rules and manuals(2.1), team building(2.1),  </v>
      </c>
      <c r="AR157" s="14" t="str">
        <f t="shared" si="263"/>
        <v xml:space="preserve">reputation(-1,6.25%), efficiency(-1,6.25%),  </v>
      </c>
      <c r="AS157" s="27" t="str">
        <f t="shared" si="518"/>
        <v xml:space="preserve">reputation(6.25),efficiency(6.25), </v>
      </c>
      <c r="AT157" s="14" t="str">
        <f t="shared" si="265"/>
        <v xml:space="preserve"> </v>
      </c>
      <c r="AU157" s="14" t="str">
        <f t="shared" si="266"/>
        <v xml:space="preserve"> </v>
      </c>
      <c r="AV157" s="14" t="str">
        <f t="shared" si="267"/>
        <v xml:space="preserve"> </v>
      </c>
      <c r="AW157" s="14" t="str">
        <f t="shared" si="268"/>
        <v xml:space="preserve">user rules and manuals(2.1), team building(2.1),  </v>
      </c>
      <c r="AX157" s="14" t="str">
        <f t="shared" si="269"/>
        <v xml:space="preserve"> </v>
      </c>
      <c r="AY157" s="27" t="str">
        <f t="shared" si="518"/>
        <v xml:space="preserve"> </v>
      </c>
      <c r="AZ157" s="14" t="str">
        <f t="shared" si="271"/>
        <v xml:space="preserve"> </v>
      </c>
      <c r="BA157" s="14" t="str">
        <f t="shared" si="272"/>
        <v xml:space="preserve">efficiency(-1,12.5%), user rules and manuals(1,25%),  </v>
      </c>
      <c r="BB157" s="14" t="str">
        <f t="shared" si="273"/>
        <v xml:space="preserve">efficiency(12.5)
user rules and manuals(25)
 </v>
      </c>
      <c r="BC157" s="14" t="str">
        <f t="shared" si="274"/>
        <v xml:space="preserve">user rules and manuals(2.1), organizational rules and manuals(2.1),  </v>
      </c>
      <c r="BD157" s="14" t="str">
        <f t="shared" si="275"/>
        <v xml:space="preserve">reputation(-1,6.25%),  </v>
      </c>
      <c r="BE157" s="27" t="str">
        <f t="shared" si="518"/>
        <v xml:space="preserve">reputation(6.25), </v>
      </c>
      <c r="BF157" s="14" t="str">
        <f t="shared" si="277"/>
        <v xml:space="preserve"> </v>
      </c>
      <c r="BG157" s="14" t="str">
        <f t="shared" si="278"/>
        <v xml:space="preserve">user rules and manuals(1,25%), organizational rules and manuals(1,25%),  </v>
      </c>
      <c r="BH157" s="14" t="str">
        <f t="shared" si="279"/>
        <v xml:space="preserve">user rules and manuals(25)
organizational rules and manuals(25)
 </v>
      </c>
      <c r="BI157" s="14" t="str">
        <f t="shared" si="280"/>
        <v xml:space="preserve"> </v>
      </c>
      <c r="BJ157" s="14" t="str">
        <f t="shared" si="281"/>
        <v xml:space="preserve">reputation(-1,6.25%), efficiency(-1,25%),  </v>
      </c>
      <c r="BK157" s="27" t="str">
        <f t="shared" si="518"/>
        <v xml:space="preserve">reputation(6.25),efficiency(25), </v>
      </c>
      <c r="BL157" s="14" t="str">
        <f t="shared" si="283"/>
        <v xml:space="preserve">ease of access(1)
reputation(1)
aesthetics(1)
 </v>
      </c>
      <c r="BM157" s="14" t="str">
        <f t="shared" si="284"/>
        <v xml:space="preserve">biz enhancement(1,%),  </v>
      </c>
      <c r="BN157" s="14" t="str">
        <f t="shared" si="285"/>
        <v xml:space="preserve"> </v>
      </c>
      <c r="BO157" s="14" t="str">
        <f t="shared" si="286"/>
        <v xml:space="preserve">ease of access(2), reputation(3), efficiency(2), user rules and manuals(1), marketing(1), negotiation(1), aesthetics(2), functions(1), safety(1),  </v>
      </c>
      <c r="BP157" s="14" t="str">
        <f t="shared" si="287"/>
        <v xml:space="preserve"> </v>
      </c>
      <c r="BQ157" s="27" t="str">
        <f t="shared" si="518"/>
        <v xml:space="preserve"> </v>
      </c>
      <c r="BR157" s="14" t="str">
        <f t="shared" si="289"/>
        <v xml:space="preserve">ease of access(1)
reputation(1)
aesthetics(1)
 </v>
      </c>
      <c r="BS157" s="14" t="str">
        <f t="shared" si="290"/>
        <v xml:space="preserve">biz project(1,%),  </v>
      </c>
      <c r="BT157" s="14" t="str">
        <f t="shared" si="291"/>
        <v xml:space="preserve"> </v>
      </c>
      <c r="BU157" s="14" t="str">
        <f t="shared" si="292"/>
        <v xml:space="preserve">ease of access(2), reputation(3), efficiency(2), user rules and manuals(1), marketing(1), negotiation(1), wood processing(1), aesthetics(2),  </v>
      </c>
      <c r="BV157" s="14" t="str">
        <f t="shared" si="293"/>
        <v xml:space="preserve"> </v>
      </c>
      <c r="BW157" s="27" t="str">
        <f t="shared" si="518"/>
        <v xml:space="preserve"> </v>
      </c>
      <c r="BX157" s="14" t="str">
        <f t="shared" si="295"/>
        <v xml:space="preserve">ease of access(1)
reputation(1)
aesthetics(1)
interaction(1)
 </v>
      </c>
      <c r="BY157" s="14" t="str">
        <f t="shared" si="296"/>
        <v xml:space="preserve">biz project(1,%),  </v>
      </c>
      <c r="BZ157" s="14" t="str">
        <f t="shared" si="297"/>
        <v xml:space="preserve"> </v>
      </c>
      <c r="CA157" s="14" t="str">
        <f t="shared" si="298"/>
        <v xml:space="preserve">ease of access(2), reputation(3), efficiency(2), user rules and manuals(1), marketing(1), team building(1), social media(1), negotiation(1), web(2), infrastructrue(2), database(2), security(3), aesthetics(2), functions(1), interaction(2),  </v>
      </c>
      <c r="CB157" s="14" t="str">
        <f t="shared" si="299"/>
        <v xml:space="preserve"> </v>
      </c>
      <c r="CC157" s="27" t="str">
        <f t="shared" si="519"/>
        <v xml:space="preserve"> </v>
      </c>
      <c r="CD157" s="14" t="str">
        <f t="shared" si="301"/>
        <v xml:space="preserve">ease of access(1)
reputation(1)
aesthetics(1)
 </v>
      </c>
      <c r="CE157" s="14" t="str">
        <f t="shared" si="302"/>
        <v xml:space="preserve">biz project(1,%),  </v>
      </c>
      <c r="CF157" s="14" t="str">
        <f t="shared" si="303"/>
        <v xml:space="preserve"> </v>
      </c>
      <c r="CG157" s="14" t="str">
        <f t="shared" si="304"/>
        <v xml:space="preserve">ease of access(2), efficiency(2), user rules and manuals(1), marketing(1), team building(1), negotiation(1), infrastructrue(1), database(2), mobile apps(2), security(3), aesthetics(2), functions(1), interaction(2),  </v>
      </c>
      <c r="CH157" s="14" t="str">
        <f t="shared" si="305"/>
        <v xml:space="preserve"> </v>
      </c>
      <c r="CI157" s="27" t="str">
        <f t="shared" si="519"/>
        <v xml:space="preserve"> </v>
      </c>
      <c r="CJ157" s="14" t="str">
        <f t="shared" si="307"/>
        <v xml:space="preserve">ease of access(1)
reputation(1)
aesthetics(1)
 </v>
      </c>
      <c r="CK157" s="14" t="str">
        <f t="shared" si="308"/>
        <v xml:space="preserve">biz project(1,%),  </v>
      </c>
      <c r="CL157" s="14" t="str">
        <f t="shared" si="309"/>
        <v xml:space="preserve"> </v>
      </c>
      <c r="CM157" s="14" t="str">
        <f t="shared" si="310"/>
        <v xml:space="preserve">ease of access(2), reputation(3), efficiency(2), user rules and manuals(1), marketing(2), team building(1), social media(2), negotiation(1), web(2), infrastructrue(2), database(2), mobile apps(2), security(2), aesthetics(2), functions(1), interaction(2),  </v>
      </c>
      <c r="CN157" s="14" t="str">
        <f t="shared" si="311"/>
        <v xml:space="preserve"> </v>
      </c>
      <c r="CO157" s="27" t="str">
        <f t="shared" si="519"/>
        <v xml:space="preserve"> </v>
      </c>
      <c r="CP157" s="14" t="str">
        <f t="shared" si="313"/>
        <v xml:space="preserve">metal processing(1)
functions(1)
 </v>
      </c>
      <c r="CQ157" s="14" t="str">
        <f t="shared" si="314"/>
        <v xml:space="preserve">biz enhancement(1,50%),  </v>
      </c>
      <c r="CR157" s="14" t="str">
        <f t="shared" si="315"/>
        <v xml:space="preserve">biz enhancement(50)
 </v>
      </c>
      <c r="CS157" s="14" t="str">
        <f t="shared" si="316"/>
        <v xml:space="preserve">ease of access(2), reputation(3), efficiency(2), metal processing(2), electronics(2), aesthetics(2), functions(2), safety(2),  </v>
      </c>
      <c r="CT157" s="14" t="str">
        <f t="shared" si="317"/>
        <v xml:space="preserve">reputation(1,6.25%),  </v>
      </c>
      <c r="CU157" s="27" t="str">
        <f t="shared" si="519"/>
        <v xml:space="preserve">reputation(6.25), </v>
      </c>
      <c r="CV157" s="14" t="str">
        <f t="shared" si="319"/>
        <v xml:space="preserve">non-profits(1)
wood processing(1)
aesthetics(1)
interaction(1)
 </v>
      </c>
      <c r="CW157" s="14" t="str">
        <f t="shared" si="320"/>
        <v xml:space="preserve">non-profits(1,50%), social project(1,50%),  </v>
      </c>
      <c r="CX157" s="14" t="str">
        <f t="shared" si="321"/>
        <v xml:space="preserve">non-profits(50)
social project(50)
 </v>
      </c>
      <c r="CY157" s="14" t="str">
        <f t="shared" si="322"/>
        <v xml:space="preserve">ease of access(2), efficiency(3), sensors(2), wood processing(2), plastic processing(2), electronics(2), aesthetics(2), functions(1), safety(1), interaction(2),  </v>
      </c>
      <c r="CZ157" s="14" t="str">
        <f t="shared" si="323"/>
        <v xml:space="preserve">media(1,6.25%), reputation(1,6.25%), portfolio(1,6.25%),  </v>
      </c>
      <c r="DA157" s="27" t="str">
        <f t="shared" si="519"/>
        <v xml:space="preserve">media(6.25),reputation(6.25),portfolio(6.25), </v>
      </c>
      <c r="DB157" s="14" t="str">
        <f t="shared" si="325"/>
        <v xml:space="preserve">non-profits(1)
aesthetics(1)
interaction(1)
 </v>
      </c>
      <c r="DC157" s="14" t="str">
        <f t="shared" si="326"/>
        <v xml:space="preserve">non-profits(1,50%), social project(1,50%),  </v>
      </c>
      <c r="DD157" s="14" t="str">
        <f t="shared" si="327"/>
        <v xml:space="preserve">non-profits(50)
social project(50)
 </v>
      </c>
      <c r="DE157" s="14" t="str">
        <f t="shared" si="328"/>
        <v xml:space="preserve">ease of access(2), efficiency(3), VR&amp;AR(2),  </v>
      </c>
      <c r="DF157" s="14" t="str">
        <f t="shared" si="329"/>
        <v xml:space="preserve">media(1,6.25%), reputation(1,6.25%), portfolio(1,6.25%),  </v>
      </c>
      <c r="DG157" s="27" t="str">
        <f t="shared" si="519"/>
        <v xml:space="preserve">media(6.25),reputation(6.25),portfolio(6.25), </v>
      </c>
      <c r="DH157" s="14" t="str">
        <f t="shared" si="331"/>
        <v xml:space="preserve">wood processing(1)
aesthetics(1)
safety(1)
 </v>
      </c>
      <c r="DI157" s="14" t="str">
        <f t="shared" si="332"/>
        <v xml:space="preserve">social project(1,100%),  </v>
      </c>
      <c r="DJ157" s="14" t="str">
        <f t="shared" si="333"/>
        <v xml:space="preserve">social project(100)
 </v>
      </c>
      <c r="DK157" s="14" t="str">
        <f t="shared" si="334"/>
        <v xml:space="preserve">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7" s="14" t="str">
        <f t="shared" si="335"/>
        <v xml:space="preserve">reputation(1,6.25%), portfolio(1,6.25%), team building(1,6.25%),  </v>
      </c>
      <c r="DM157" s="27" t="str">
        <f t="shared" si="519"/>
        <v xml:space="preserve">reputation(6.25),portfolio(6.25),team building(6.25), </v>
      </c>
      <c r="DN157" s="14" t="str">
        <f t="shared" si="337"/>
        <v xml:space="preserve">suppliers(2)
spaciousness(1)
ease of access(2)
reputation(3)
project management(2)
wood processing(1)
plastic processing(1)
electronics(1)
aesthetics(2)
functions(1)
safety(1)
biz project(1)
 </v>
      </c>
      <c r="DO157" s="14" t="str">
        <f t="shared" si="338"/>
        <v xml:space="preserve">reputation(1,25%), portfolio(1,50%),  </v>
      </c>
      <c r="DP157" s="14" t="str">
        <f t="shared" si="339"/>
        <v xml:space="preserve">reputation(25)
portfolio(50)
 </v>
      </c>
      <c r="DQ157" s="14" t="str">
        <f t="shared" si="340"/>
        <v xml:space="preserve">media(3), suppliers(3), social media(2), wood processing(2), plastic processing(2), electronics(2), aesthetics(2),  </v>
      </c>
      <c r="DR157" s="14" t="str">
        <f t="shared" si="341"/>
        <v xml:space="preserve">suppliers(1,6.25%), reputation(1,6.25%),  </v>
      </c>
      <c r="DS157" s="27" t="str">
        <f t="shared" si="519"/>
        <v xml:space="preserve">suppliers(6.25),reputation(6.25), </v>
      </c>
      <c r="DT157" s="14" t="str">
        <f t="shared" si="343"/>
        <v xml:space="preserve">reputation(3)
portfolio(2)
 </v>
      </c>
      <c r="DU157" s="14" t="str">
        <f t="shared" si="344"/>
        <v xml:space="preserve">govt(1,25%), non-profits(1,50%), reputation(1,25%),  </v>
      </c>
      <c r="DV157" s="14" t="str">
        <f t="shared" si="345"/>
        <v xml:space="preserve">govt(25)
non-profits(50)
reputation(25)
 </v>
      </c>
      <c r="DW157" s="14" t="str">
        <f t="shared" si="346"/>
        <v xml:space="preserve">social media(2),  </v>
      </c>
      <c r="DX157" s="14" t="str">
        <f t="shared" si="347"/>
        <v xml:space="preserve">reputation(1,6.25%),  </v>
      </c>
      <c r="DY157" s="27" t="str">
        <f t="shared" si="519"/>
        <v xml:space="preserve">reputation(6.25), </v>
      </c>
      <c r="DZ157" s="14" t="str">
        <f t="shared" si="349"/>
        <v xml:space="preserve"> </v>
      </c>
      <c r="EA157" s="14" t="str">
        <f t="shared" si="350"/>
        <v xml:space="preserve"> </v>
      </c>
      <c r="EB157" s="14" t="str">
        <f t="shared" si="351"/>
        <v xml:space="preserve"> </v>
      </c>
      <c r="EC157" s="14" t="str">
        <f t="shared" si="352"/>
        <v xml:space="preserve"> </v>
      </c>
      <c r="ED157" s="14" t="str">
        <f t="shared" si="353"/>
        <v xml:space="preserve"> </v>
      </c>
      <c r="EE157" s="27" t="str">
        <f t="shared" si="519"/>
        <v xml:space="preserve"> </v>
      </c>
      <c r="EF157" s="14" t="str">
        <f t="shared" si="355"/>
        <v xml:space="preserve"> </v>
      </c>
      <c r="EG157" s="14" t="str">
        <f t="shared" si="356"/>
        <v xml:space="preserve"> </v>
      </c>
      <c r="EH157" s="14" t="str">
        <f t="shared" si="357"/>
        <v xml:space="preserve"> </v>
      </c>
      <c r="EI157" s="14" t="str">
        <f t="shared" si="358"/>
        <v xml:space="preserve"> </v>
      </c>
      <c r="EJ157" s="14" t="str">
        <f t="shared" si="359"/>
        <v xml:space="preserve"> </v>
      </c>
      <c r="EK157" s="27" t="str">
        <f t="shared" si="519"/>
        <v xml:space="preserve"> </v>
      </c>
      <c r="EL157" s="14" t="str">
        <f t="shared" si="361"/>
        <v xml:space="preserve"> </v>
      </c>
      <c r="EM157" s="14" t="str">
        <f t="shared" si="362"/>
        <v xml:space="preserve"> </v>
      </c>
      <c r="EN157" s="14" t="str">
        <f t="shared" si="363"/>
        <v xml:space="preserve"> </v>
      </c>
      <c r="EO157" s="14" t="str">
        <f t="shared" si="364"/>
        <v xml:space="preserve"> </v>
      </c>
      <c r="EP157" s="14" t="str">
        <f t="shared" si="365"/>
        <v xml:space="preserve"> </v>
      </c>
      <c r="EQ157" s="27" t="str">
        <f t="shared" si="520"/>
        <v xml:space="preserve"> </v>
      </c>
      <c r="ER157" s="14" t="str">
        <f t="shared" si="367"/>
        <v xml:space="preserve"> </v>
      </c>
      <c r="ES157" s="14" t="str">
        <f t="shared" si="368"/>
        <v xml:space="preserve"> </v>
      </c>
      <c r="ET157" s="14" t="str">
        <f t="shared" si="369"/>
        <v xml:space="preserve"> </v>
      </c>
      <c r="EU157" s="14" t="str">
        <f t="shared" si="370"/>
        <v xml:space="preserve"> </v>
      </c>
      <c r="EV157" s="14" t="str">
        <f t="shared" si="371"/>
        <v xml:space="preserve"> </v>
      </c>
      <c r="EW157" s="27" t="str">
        <f t="shared" si="520"/>
        <v xml:space="preserve"> </v>
      </c>
      <c r="EX157" s="14" t="str">
        <f t="shared" si="373"/>
        <v xml:space="preserve"> </v>
      </c>
      <c r="EY157" s="14" t="str">
        <f t="shared" si="374"/>
        <v xml:space="preserve"> </v>
      </c>
      <c r="EZ157" s="14" t="str">
        <f t="shared" si="375"/>
        <v xml:space="preserve"> </v>
      </c>
      <c r="FA157" s="14" t="str">
        <f t="shared" si="376"/>
        <v xml:space="preserve"> </v>
      </c>
      <c r="FB157" s="14" t="str">
        <f t="shared" si="377"/>
        <v xml:space="preserve"> </v>
      </c>
      <c r="FC157" s="27" t="str">
        <f t="shared" si="520"/>
        <v xml:space="preserve"> </v>
      </c>
      <c r="FD157" s="14" t="str">
        <f t="shared" si="379"/>
        <v xml:space="preserve"> </v>
      </c>
      <c r="FE157" s="14" t="str">
        <f t="shared" si="380"/>
        <v xml:space="preserve"> </v>
      </c>
      <c r="FF157" s="14" t="str">
        <f t="shared" si="381"/>
        <v xml:space="preserve"> </v>
      </c>
      <c r="FG157" s="14" t="str">
        <f t="shared" si="382"/>
        <v xml:space="preserve"> </v>
      </c>
      <c r="FH157" s="14" t="str">
        <f t="shared" si="383"/>
        <v xml:space="preserve"> </v>
      </c>
      <c r="FI157" s="27" t="str">
        <f t="shared" si="520"/>
        <v xml:space="preserve"> </v>
      </c>
      <c r="FJ157" s="14" t="str">
        <f t="shared" si="385"/>
        <v xml:space="preserve"> </v>
      </c>
      <c r="FK157" s="14" t="str">
        <f t="shared" si="386"/>
        <v xml:space="preserve"> </v>
      </c>
      <c r="FL157" s="14" t="str">
        <f t="shared" si="387"/>
        <v xml:space="preserve"> </v>
      </c>
      <c r="FM157" s="14" t="str">
        <f t="shared" si="388"/>
        <v xml:space="preserve"> </v>
      </c>
      <c r="FN157" s="14" t="str">
        <f t="shared" si="389"/>
        <v xml:space="preserve"> </v>
      </c>
      <c r="FO157" s="27" t="str">
        <f t="shared" si="520"/>
        <v xml:space="preserve"> </v>
      </c>
      <c r="FP157" s="14" t="str">
        <f t="shared" si="391"/>
        <v xml:space="preserve"> </v>
      </c>
      <c r="FQ157" s="14" t="str">
        <f t="shared" si="392"/>
        <v xml:space="preserve"> </v>
      </c>
      <c r="FR157" s="14" t="str">
        <f t="shared" si="393"/>
        <v xml:space="preserve"> </v>
      </c>
      <c r="FS157" s="14" t="str">
        <f t="shared" si="394"/>
        <v xml:space="preserve"> </v>
      </c>
      <c r="FT157" s="14" t="str">
        <f t="shared" si="395"/>
        <v xml:space="preserve"> </v>
      </c>
      <c r="FU157" s="27" t="str">
        <f t="shared" si="520"/>
        <v xml:space="preserve"> </v>
      </c>
      <c r="FV157" s="14" t="str">
        <f t="shared" si="397"/>
        <v xml:space="preserve"> </v>
      </c>
      <c r="FW157" s="14" t="str">
        <f t="shared" si="398"/>
        <v xml:space="preserve"> </v>
      </c>
      <c r="FX157" s="14" t="str">
        <f t="shared" si="399"/>
        <v xml:space="preserve"> </v>
      </c>
      <c r="FY157" s="14" t="str">
        <f t="shared" si="400"/>
        <v xml:space="preserve"> </v>
      </c>
      <c r="FZ157" s="14" t="str">
        <f t="shared" si="401"/>
        <v xml:space="preserve"> </v>
      </c>
      <c r="GA157" s="27" t="str">
        <f t="shared" si="520"/>
        <v xml:space="preserve"> </v>
      </c>
      <c r="GB157" s="14" t="str">
        <f t="shared" si="403"/>
        <v xml:space="preserve"> </v>
      </c>
      <c r="GC157" s="14" t="str">
        <f t="shared" si="404"/>
        <v xml:space="preserve"> </v>
      </c>
      <c r="GD157" s="14" t="str">
        <f t="shared" si="405"/>
        <v xml:space="preserve"> </v>
      </c>
      <c r="GE157" s="14" t="str">
        <f t="shared" si="406"/>
        <v xml:space="preserve"> </v>
      </c>
      <c r="GF157" s="14" t="str">
        <f t="shared" si="407"/>
        <v xml:space="preserve"> </v>
      </c>
      <c r="GG157" s="27" t="str">
        <f t="shared" si="520"/>
        <v xml:space="preserve"> </v>
      </c>
      <c r="GH157" s="14" t="str">
        <f t="shared" si="409"/>
        <v xml:space="preserve"> </v>
      </c>
      <c r="GI157" s="14" t="str">
        <f t="shared" si="410"/>
        <v xml:space="preserve"> </v>
      </c>
      <c r="GJ157" s="14" t="str">
        <f t="shared" si="411"/>
        <v xml:space="preserve"> </v>
      </c>
      <c r="GK157" s="14" t="str">
        <f t="shared" si="412"/>
        <v xml:space="preserve"> </v>
      </c>
      <c r="GL157" s="14" t="str">
        <f t="shared" si="413"/>
        <v xml:space="preserve"> </v>
      </c>
      <c r="GM157" s="27" t="str">
        <f t="shared" si="520"/>
        <v xml:space="preserve"> </v>
      </c>
      <c r="GN157" s="14" t="str">
        <f t="shared" si="415"/>
        <v xml:space="preserve"> </v>
      </c>
      <c r="GO157" s="14" t="str">
        <f t="shared" si="416"/>
        <v xml:space="preserve"> </v>
      </c>
      <c r="GP157" s="14" t="str">
        <f t="shared" si="417"/>
        <v xml:space="preserve"> </v>
      </c>
      <c r="GQ157" s="14" t="str">
        <f t="shared" si="418"/>
        <v xml:space="preserve"> </v>
      </c>
      <c r="GR157" s="14" t="str">
        <f t="shared" si="419"/>
        <v xml:space="preserve"> </v>
      </c>
      <c r="GS157" s="27" t="str">
        <f t="shared" si="520"/>
        <v xml:space="preserve"> </v>
      </c>
      <c r="GT157" s="14" t="str">
        <f t="shared" si="421"/>
        <v xml:space="preserve"> </v>
      </c>
      <c r="GU157" s="14" t="str">
        <f t="shared" si="422"/>
        <v xml:space="preserve"> </v>
      </c>
      <c r="GV157" s="14" t="str">
        <f t="shared" si="423"/>
        <v xml:space="preserve"> </v>
      </c>
      <c r="GW157" s="14" t="str">
        <f t="shared" si="424"/>
        <v xml:space="preserve"> </v>
      </c>
      <c r="GX157" s="14" t="str">
        <f t="shared" si="425"/>
        <v xml:space="preserve"> </v>
      </c>
      <c r="GY157" s="27" t="str">
        <f t="shared" si="520"/>
        <v xml:space="preserve"> </v>
      </c>
      <c r="GZ157" s="14" t="str">
        <f t="shared" si="427"/>
        <v xml:space="preserve"> </v>
      </c>
      <c r="HA157" s="14" t="str">
        <f t="shared" si="428"/>
        <v xml:space="preserve"> </v>
      </c>
      <c r="HB157" s="14" t="str">
        <f t="shared" si="429"/>
        <v xml:space="preserve"> </v>
      </c>
      <c r="HC157" s="14" t="str">
        <f t="shared" si="430"/>
        <v xml:space="preserve"> </v>
      </c>
      <c r="HD157" s="14" t="str">
        <f t="shared" si="431"/>
        <v xml:space="preserve"> </v>
      </c>
      <c r="HE157" s="27" t="str">
        <f t="shared" si="521"/>
        <v xml:space="preserve"> </v>
      </c>
      <c r="HF157" s="14" t="str">
        <f t="shared" si="433"/>
        <v xml:space="preserve"> </v>
      </c>
      <c r="HG157" s="14" t="str">
        <f t="shared" si="434"/>
        <v xml:space="preserve"> </v>
      </c>
      <c r="HH157" s="14" t="str">
        <f t="shared" si="435"/>
        <v xml:space="preserve"> </v>
      </c>
      <c r="HI157" s="14" t="str">
        <f t="shared" si="436"/>
        <v xml:space="preserve"> </v>
      </c>
      <c r="HJ157" s="14" t="str">
        <f t="shared" si="437"/>
        <v xml:space="preserve"> </v>
      </c>
      <c r="HK157" s="27" t="str">
        <f t="shared" si="521"/>
        <v xml:space="preserve"> </v>
      </c>
      <c r="HL157" s="14" t="str">
        <f t="shared" si="439"/>
        <v xml:space="preserve"> </v>
      </c>
      <c r="HM157" s="14" t="str">
        <f t="shared" si="440"/>
        <v xml:space="preserve"> </v>
      </c>
      <c r="HN157" s="14" t="str">
        <f t="shared" si="441"/>
        <v xml:space="preserve"> </v>
      </c>
      <c r="HO157" s="14" t="str">
        <f t="shared" si="442"/>
        <v xml:space="preserve"> </v>
      </c>
      <c r="HP157" s="14" t="str">
        <f t="shared" si="443"/>
        <v xml:space="preserve"> </v>
      </c>
      <c r="HQ157" s="27" t="str">
        <f t="shared" si="521"/>
        <v xml:space="preserve"> </v>
      </c>
    </row>
    <row r="158" spans="1:225" ht="15.75" customHeight="1">
      <c r="A158" s="7">
        <f t="shared" ref="A158:C158" si="546">A50</f>
        <v>0</v>
      </c>
      <c r="B158" s="7">
        <f t="shared" si="546"/>
        <v>0</v>
      </c>
      <c r="C158" s="7" t="str">
        <f t="shared" si="546"/>
        <v>investors</v>
      </c>
      <c r="D158" s="14" t="str">
        <f t="shared" si="446"/>
        <v xml:space="preserve"> </v>
      </c>
      <c r="E158" s="14" t="str">
        <f t="shared" si="447"/>
        <v xml:space="preserve"> </v>
      </c>
      <c r="F158" s="14" t="str">
        <f t="shared" si="448"/>
        <v xml:space="preserve"> </v>
      </c>
      <c r="G158" s="14" t="str">
        <f t="shared" si="449"/>
        <v xml:space="preserve">efficiency(1), user rules and manuals(2.1), organizational rules and manuals(2.1),  </v>
      </c>
      <c r="H158" s="14" t="str">
        <f t="shared" si="450"/>
        <v xml:space="preserve">efficiency(-1,6.25%),  </v>
      </c>
      <c r="I158" s="27" t="str">
        <f t="shared" ref="I158" si="547">IF(I50="",I159,$C158&amp;"("&amp;I50&amp;"),"&amp;I159)</f>
        <v xml:space="preserve">efficiency(6.25), </v>
      </c>
      <c r="J158" s="14" t="str">
        <f t="shared" si="229"/>
        <v xml:space="preserve"> </v>
      </c>
      <c r="K158" s="14" t="str">
        <f t="shared" si="230"/>
        <v xml:space="preserve"> </v>
      </c>
      <c r="L158" s="14" t="str">
        <f t="shared" si="231"/>
        <v xml:space="preserve"> </v>
      </c>
      <c r="M158" s="14" t="str">
        <f t="shared" si="232"/>
        <v xml:space="preserve">efficiency(0.1), organizational rules and manuals(1.1),  </v>
      </c>
      <c r="N158" s="14" t="str">
        <f t="shared" si="233"/>
        <v xml:space="preserve"> </v>
      </c>
      <c r="O158" s="27" t="str">
        <f t="shared" si="518"/>
        <v xml:space="preserve"> </v>
      </c>
      <c r="P158" s="14" t="str">
        <f t="shared" si="235"/>
        <v xml:space="preserve"> </v>
      </c>
      <c r="Q158" s="14" t="str">
        <f t="shared" si="236"/>
        <v xml:space="preserve"> </v>
      </c>
      <c r="R158" s="14" t="str">
        <f t="shared" si="237"/>
        <v xml:space="preserve"> </v>
      </c>
      <c r="S158" s="14" t="str">
        <f t="shared" si="238"/>
        <v xml:space="preserve">team building(0.1),  </v>
      </c>
      <c r="T158" s="14" t="str">
        <f t="shared" si="239"/>
        <v xml:space="preserve">business model(-1,6.25%), web(-1,6.25%), mobile apps(-1,6.25%), aesthetics(-1,6.25%),  </v>
      </c>
      <c r="U158" s="27" t="str">
        <f t="shared" si="518"/>
        <v xml:space="preserve">business model(6.25),web(6.25),mobile apps(6.25),aesthetics(6.25), </v>
      </c>
      <c r="V158" s="14" t="str">
        <f t="shared" si="241"/>
        <v xml:space="preserve"> </v>
      </c>
      <c r="W158" s="14" t="str">
        <f t="shared" si="242"/>
        <v xml:space="preserve">efficiency(-1,25%),  </v>
      </c>
      <c r="X158" s="14" t="str">
        <f t="shared" si="243"/>
        <v xml:space="preserve">efficiency(25)
 </v>
      </c>
      <c r="Y158" s="14" t="str">
        <f t="shared" si="244"/>
        <v xml:space="preserve">spaciousness(1), ease of access(3), reputation(2), user rules and manuals(0.1), project management(0.1), negotiation(0.1),  </v>
      </c>
      <c r="Z158" s="14" t="str">
        <f t="shared" si="245"/>
        <v xml:space="preserve">reputation(-1,%),  </v>
      </c>
      <c r="AA158" s="27" t="str">
        <f t="shared" si="518"/>
        <v xml:space="preserve"> </v>
      </c>
      <c r="AB158" s="14" t="str">
        <f t="shared" si="247"/>
        <v xml:space="preserve"> </v>
      </c>
      <c r="AC158" s="14" t="str">
        <f t="shared" si="248"/>
        <v xml:space="preserve"> </v>
      </c>
      <c r="AD158" s="14" t="str">
        <f t="shared" si="249"/>
        <v xml:space="preserve"> </v>
      </c>
      <c r="AE158" s="14" t="str">
        <f t="shared" si="250"/>
        <v xml:space="preserve">spaciousness(1), user rules and manuals(1.1), organizational rules and manuals(1.1),  </v>
      </c>
      <c r="AF158" s="14" t="str">
        <f t="shared" si="251"/>
        <v xml:space="preserve">investors(-1,6.25%), non-profits(-1,6.25%), efficiency(-1,6.25%),  </v>
      </c>
      <c r="AG158" s="27" t="str">
        <f t="shared" si="518"/>
        <v xml:space="preserve">investors(6.25),non-profits(6.25),efficiency(6.25), </v>
      </c>
      <c r="AH158" s="14" t="str">
        <f t="shared" si="253"/>
        <v xml:space="preserve">ease of access(1)
reputation(1)
 </v>
      </c>
      <c r="AI158" s="14" t="str">
        <f t="shared" si="254"/>
        <v xml:space="preserve"> </v>
      </c>
      <c r="AJ158" s="14" t="str">
        <f t="shared" si="255"/>
        <v xml:space="preserve"> </v>
      </c>
      <c r="AK158" s="14" t="str">
        <f t="shared" si="256"/>
        <v xml:space="preserve">spaciousness(1), ease of access(1), reputation(2), user rules and manuals(2.1), organizational rules and manuals(2.1), law(1.1), negotiation(1.1),  </v>
      </c>
      <c r="AL158" s="14" t="str">
        <f t="shared" si="257"/>
        <v xml:space="preserve">non-profits(-1,6.25%), reputation(-1,6.25%),  </v>
      </c>
      <c r="AM158" s="27" t="str">
        <f t="shared" si="518"/>
        <v xml:space="preserve">non-profits(6.25),reputation(6.25), </v>
      </c>
      <c r="AN158" s="14" t="str">
        <f t="shared" si="259"/>
        <v xml:space="preserve"> </v>
      </c>
      <c r="AO158" s="14" t="str">
        <f t="shared" si="260"/>
        <v xml:space="preserve"> </v>
      </c>
      <c r="AP158" s="14" t="str">
        <f t="shared" si="261"/>
        <v xml:space="preserve"> </v>
      </c>
      <c r="AQ158" s="14" t="str">
        <f t="shared" si="262"/>
        <v xml:space="preserve">spaciousness(2.1), reputation(3), organizational rules and manuals(2.1), team building(2.1),  </v>
      </c>
      <c r="AR158" s="14" t="str">
        <f t="shared" si="263"/>
        <v xml:space="preserve">reputation(-1,6.25%), efficiency(-1,6.25%),  </v>
      </c>
      <c r="AS158" s="27" t="str">
        <f t="shared" si="518"/>
        <v xml:space="preserve">reputation(6.25),efficiency(6.25), </v>
      </c>
      <c r="AT158" s="14" t="str">
        <f t="shared" si="265"/>
        <v xml:space="preserve"> </v>
      </c>
      <c r="AU158" s="14" t="str">
        <f t="shared" si="266"/>
        <v xml:space="preserve"> </v>
      </c>
      <c r="AV158" s="14" t="str">
        <f t="shared" si="267"/>
        <v xml:space="preserve"> </v>
      </c>
      <c r="AW158" s="14" t="str">
        <f t="shared" si="268"/>
        <v xml:space="preserve">user rules and manuals(2.1), team building(2.1),  </v>
      </c>
      <c r="AX158" s="14" t="str">
        <f t="shared" si="269"/>
        <v xml:space="preserve"> </v>
      </c>
      <c r="AY158" s="27" t="str">
        <f t="shared" si="518"/>
        <v xml:space="preserve"> </v>
      </c>
      <c r="AZ158" s="14" t="str">
        <f t="shared" si="271"/>
        <v xml:space="preserve"> </v>
      </c>
      <c r="BA158" s="14" t="str">
        <f t="shared" si="272"/>
        <v xml:space="preserve">efficiency(-1,12.5%), user rules and manuals(1,25%),  </v>
      </c>
      <c r="BB158" s="14" t="str">
        <f t="shared" si="273"/>
        <v xml:space="preserve">efficiency(12.5)
user rules and manuals(25)
 </v>
      </c>
      <c r="BC158" s="14" t="str">
        <f t="shared" si="274"/>
        <v xml:space="preserve">user rules and manuals(2.1), organizational rules and manuals(2.1),  </v>
      </c>
      <c r="BD158" s="14" t="str">
        <f t="shared" si="275"/>
        <v xml:space="preserve">reputation(-1,6.25%),  </v>
      </c>
      <c r="BE158" s="27" t="str">
        <f t="shared" si="518"/>
        <v xml:space="preserve">reputation(6.25), </v>
      </c>
      <c r="BF158" s="14" t="str">
        <f t="shared" si="277"/>
        <v xml:space="preserve"> </v>
      </c>
      <c r="BG158" s="14" t="str">
        <f t="shared" si="278"/>
        <v xml:space="preserve">user rules and manuals(1,25%), organizational rules and manuals(1,25%),  </v>
      </c>
      <c r="BH158" s="14" t="str">
        <f t="shared" si="279"/>
        <v xml:space="preserve">user rules and manuals(25)
organizational rules and manuals(25)
 </v>
      </c>
      <c r="BI158" s="14" t="str">
        <f t="shared" si="280"/>
        <v xml:space="preserve"> </v>
      </c>
      <c r="BJ158" s="14" t="str">
        <f t="shared" si="281"/>
        <v xml:space="preserve">reputation(-1,6.25%), efficiency(-1,25%),  </v>
      </c>
      <c r="BK158" s="27" t="str">
        <f t="shared" si="518"/>
        <v xml:space="preserve">reputation(6.25),efficiency(25), </v>
      </c>
      <c r="BL158" s="14" t="str">
        <f t="shared" si="283"/>
        <v xml:space="preserve">ease of access(1)
reputation(1)
aesthetics(1)
 </v>
      </c>
      <c r="BM158" s="14" t="str">
        <f t="shared" si="284"/>
        <v xml:space="preserve">biz enhancement(1,%),  </v>
      </c>
      <c r="BN158" s="14" t="str">
        <f t="shared" si="285"/>
        <v xml:space="preserve"> </v>
      </c>
      <c r="BO158" s="14" t="str">
        <f t="shared" si="286"/>
        <v xml:space="preserve">ease of access(2), reputation(3), efficiency(2), user rules and manuals(1), marketing(1), negotiation(1), aesthetics(2), functions(1), safety(1),  </v>
      </c>
      <c r="BP158" s="14" t="str">
        <f t="shared" si="287"/>
        <v xml:space="preserve"> </v>
      </c>
      <c r="BQ158" s="27" t="str">
        <f t="shared" si="518"/>
        <v xml:space="preserve"> </v>
      </c>
      <c r="BR158" s="14" t="str">
        <f t="shared" si="289"/>
        <v xml:space="preserve">ease of access(1)
reputation(1)
aesthetics(1)
 </v>
      </c>
      <c r="BS158" s="14" t="str">
        <f t="shared" si="290"/>
        <v xml:space="preserve">biz project(1,%),  </v>
      </c>
      <c r="BT158" s="14" t="str">
        <f t="shared" si="291"/>
        <v xml:space="preserve"> </v>
      </c>
      <c r="BU158" s="14" t="str">
        <f t="shared" si="292"/>
        <v xml:space="preserve">ease of access(2), reputation(3), efficiency(2), user rules and manuals(1), marketing(1), negotiation(1), wood processing(1), aesthetics(2),  </v>
      </c>
      <c r="BV158" s="14" t="str">
        <f t="shared" si="293"/>
        <v xml:space="preserve"> </v>
      </c>
      <c r="BW158" s="27" t="str">
        <f t="shared" si="518"/>
        <v xml:space="preserve"> </v>
      </c>
      <c r="BX158" s="14" t="str">
        <f t="shared" si="295"/>
        <v xml:space="preserve">ease of access(1)
reputation(1)
aesthetics(1)
interaction(1)
 </v>
      </c>
      <c r="BY158" s="14" t="str">
        <f t="shared" si="296"/>
        <v xml:space="preserve">biz project(1,%),  </v>
      </c>
      <c r="BZ158" s="14" t="str">
        <f t="shared" si="297"/>
        <v xml:space="preserve"> </v>
      </c>
      <c r="CA158" s="14" t="str">
        <f t="shared" si="298"/>
        <v xml:space="preserve">ease of access(2), reputation(3), efficiency(2), user rules and manuals(1), marketing(1), team building(1), social media(1), negotiation(1), web(2), infrastructrue(2), database(2), security(3), aesthetics(2), functions(1), interaction(2),  </v>
      </c>
      <c r="CB158" s="14" t="str">
        <f t="shared" si="299"/>
        <v xml:space="preserve"> </v>
      </c>
      <c r="CC158" s="27" t="str">
        <f t="shared" si="519"/>
        <v xml:space="preserve"> </v>
      </c>
      <c r="CD158" s="14" t="str">
        <f t="shared" si="301"/>
        <v xml:space="preserve">ease of access(1)
reputation(1)
aesthetics(1)
 </v>
      </c>
      <c r="CE158" s="14" t="str">
        <f t="shared" si="302"/>
        <v xml:space="preserve">biz project(1,%),  </v>
      </c>
      <c r="CF158" s="14" t="str">
        <f t="shared" si="303"/>
        <v xml:space="preserve"> </v>
      </c>
      <c r="CG158" s="14" t="str">
        <f t="shared" si="304"/>
        <v xml:space="preserve">ease of access(2), efficiency(2), user rules and manuals(1), marketing(1), team building(1), negotiation(1), infrastructrue(1), database(2), mobile apps(2), security(3), aesthetics(2), functions(1), interaction(2),  </v>
      </c>
      <c r="CH158" s="14" t="str">
        <f t="shared" si="305"/>
        <v xml:space="preserve"> </v>
      </c>
      <c r="CI158" s="27" t="str">
        <f t="shared" si="519"/>
        <v xml:space="preserve"> </v>
      </c>
      <c r="CJ158" s="14" t="str">
        <f t="shared" si="307"/>
        <v xml:space="preserve">ease of access(1)
reputation(1)
aesthetics(1)
 </v>
      </c>
      <c r="CK158" s="14" t="str">
        <f t="shared" si="308"/>
        <v xml:space="preserve">biz project(1,%),  </v>
      </c>
      <c r="CL158" s="14" t="str">
        <f t="shared" si="309"/>
        <v xml:space="preserve"> </v>
      </c>
      <c r="CM158" s="14" t="str">
        <f t="shared" si="310"/>
        <v xml:space="preserve">ease of access(2), reputation(3), efficiency(2), user rules and manuals(1), marketing(2), team building(1), social media(2), negotiation(1), web(2), infrastructrue(2), database(2), mobile apps(2), security(2), aesthetics(2), functions(1), interaction(2),  </v>
      </c>
      <c r="CN158" s="14" t="str">
        <f t="shared" si="311"/>
        <v xml:space="preserve"> </v>
      </c>
      <c r="CO158" s="27" t="str">
        <f t="shared" si="519"/>
        <v xml:space="preserve"> </v>
      </c>
      <c r="CP158" s="14" t="str">
        <f t="shared" si="313"/>
        <v xml:space="preserve">metal processing(1)
functions(1)
 </v>
      </c>
      <c r="CQ158" s="14" t="str">
        <f t="shared" si="314"/>
        <v xml:space="preserve">biz enhancement(1,50%),  </v>
      </c>
      <c r="CR158" s="14" t="str">
        <f t="shared" si="315"/>
        <v xml:space="preserve">biz enhancement(50)
 </v>
      </c>
      <c r="CS158" s="14" t="str">
        <f t="shared" si="316"/>
        <v xml:space="preserve">ease of access(2), reputation(3), efficiency(2), metal processing(2), electronics(2), aesthetics(2), functions(2), safety(2),  </v>
      </c>
      <c r="CT158" s="14" t="str">
        <f t="shared" si="317"/>
        <v xml:space="preserve">reputation(1,6.25%),  </v>
      </c>
      <c r="CU158" s="27" t="str">
        <f t="shared" si="519"/>
        <v xml:space="preserve">reputation(6.25), </v>
      </c>
      <c r="CV158" s="14" t="str">
        <f t="shared" si="319"/>
        <v xml:space="preserve">non-profits(1)
wood processing(1)
aesthetics(1)
interaction(1)
 </v>
      </c>
      <c r="CW158" s="14" t="str">
        <f t="shared" si="320"/>
        <v xml:space="preserve">non-profits(1,50%), social project(1,50%),  </v>
      </c>
      <c r="CX158" s="14" t="str">
        <f t="shared" si="321"/>
        <v xml:space="preserve">non-profits(50)
social project(50)
 </v>
      </c>
      <c r="CY158" s="14" t="str">
        <f t="shared" si="322"/>
        <v xml:space="preserve">ease of access(2), efficiency(3), sensors(2), wood processing(2), plastic processing(2), electronics(2), aesthetics(2), functions(1), safety(1), interaction(2),  </v>
      </c>
      <c r="CZ158" s="14" t="str">
        <f t="shared" si="323"/>
        <v xml:space="preserve">media(1,6.25%), reputation(1,6.25%), portfolio(1,6.25%),  </v>
      </c>
      <c r="DA158" s="27" t="str">
        <f t="shared" si="519"/>
        <v xml:space="preserve">media(6.25),reputation(6.25),portfolio(6.25), </v>
      </c>
      <c r="DB158" s="14" t="str">
        <f t="shared" si="325"/>
        <v xml:space="preserve">non-profits(1)
aesthetics(1)
interaction(1)
 </v>
      </c>
      <c r="DC158" s="14" t="str">
        <f t="shared" si="326"/>
        <v xml:space="preserve">non-profits(1,50%), social project(1,50%),  </v>
      </c>
      <c r="DD158" s="14" t="str">
        <f t="shared" si="327"/>
        <v xml:space="preserve">non-profits(50)
social project(50)
 </v>
      </c>
      <c r="DE158" s="14" t="str">
        <f t="shared" si="328"/>
        <v xml:space="preserve">ease of access(2), efficiency(3), VR&amp;AR(2),  </v>
      </c>
      <c r="DF158" s="14" t="str">
        <f t="shared" si="329"/>
        <v xml:space="preserve">media(1,6.25%), reputation(1,6.25%), portfolio(1,6.25%),  </v>
      </c>
      <c r="DG158" s="27" t="str">
        <f t="shared" si="519"/>
        <v xml:space="preserve">media(6.25),reputation(6.25),portfolio(6.25), </v>
      </c>
      <c r="DH158" s="14" t="str">
        <f t="shared" si="331"/>
        <v xml:space="preserve">wood processing(1)
aesthetics(1)
safety(1)
 </v>
      </c>
      <c r="DI158" s="14" t="str">
        <f t="shared" si="332"/>
        <v xml:space="preserve">social project(1,100%),  </v>
      </c>
      <c r="DJ158" s="14" t="str">
        <f t="shared" si="333"/>
        <v xml:space="preserve">social project(100)
 </v>
      </c>
      <c r="DK158" s="14" t="str">
        <f t="shared" si="334"/>
        <v xml:space="preserve">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8" s="14" t="str">
        <f t="shared" si="335"/>
        <v xml:space="preserve">reputation(1,6.25%), portfolio(1,6.25%), team building(1,6.25%),  </v>
      </c>
      <c r="DM158" s="27" t="str">
        <f t="shared" si="519"/>
        <v xml:space="preserve">reputation(6.25),portfolio(6.25),team building(6.25), </v>
      </c>
      <c r="DN158" s="14" t="str">
        <f t="shared" si="337"/>
        <v xml:space="preserve">suppliers(2)
spaciousness(1)
ease of access(2)
reputation(3)
project management(2)
wood processing(1)
plastic processing(1)
electronics(1)
aesthetics(2)
functions(1)
safety(1)
biz project(1)
 </v>
      </c>
      <c r="DO158" s="14" t="str">
        <f t="shared" si="338"/>
        <v xml:space="preserve">reputation(1,25%), portfolio(1,50%),  </v>
      </c>
      <c r="DP158" s="14" t="str">
        <f t="shared" si="339"/>
        <v xml:space="preserve">reputation(25)
portfolio(50)
 </v>
      </c>
      <c r="DQ158" s="14" t="str">
        <f t="shared" si="340"/>
        <v xml:space="preserve">media(3), suppliers(3), social media(2), wood processing(2), plastic processing(2), electronics(2), aesthetics(2),  </v>
      </c>
      <c r="DR158" s="14" t="str">
        <f t="shared" si="341"/>
        <v xml:space="preserve">suppliers(1,6.25%), reputation(1,6.25%),  </v>
      </c>
      <c r="DS158" s="27" t="str">
        <f t="shared" si="519"/>
        <v xml:space="preserve">suppliers(6.25),reputation(6.25), </v>
      </c>
      <c r="DT158" s="14" t="str">
        <f t="shared" si="343"/>
        <v xml:space="preserve">reputation(3)
portfolio(2)
 </v>
      </c>
      <c r="DU158" s="14" t="str">
        <f t="shared" si="344"/>
        <v xml:space="preserve">non-profits(1,50%), reputation(1,25%),  </v>
      </c>
      <c r="DV158" s="14" t="str">
        <f t="shared" si="345"/>
        <v xml:space="preserve">non-profits(50)
reputation(25)
 </v>
      </c>
      <c r="DW158" s="14" t="str">
        <f t="shared" si="346"/>
        <v xml:space="preserve">social media(2),  </v>
      </c>
      <c r="DX158" s="14" t="str">
        <f t="shared" si="347"/>
        <v xml:space="preserve">reputation(1,6.25%),  </v>
      </c>
      <c r="DY158" s="27" t="str">
        <f t="shared" si="519"/>
        <v xml:space="preserve">reputation(6.25), </v>
      </c>
      <c r="DZ158" s="14" t="str">
        <f t="shared" si="349"/>
        <v xml:space="preserve"> </v>
      </c>
      <c r="EA158" s="14" t="str">
        <f t="shared" si="350"/>
        <v xml:space="preserve"> </v>
      </c>
      <c r="EB158" s="14" t="str">
        <f t="shared" si="351"/>
        <v xml:space="preserve"> </v>
      </c>
      <c r="EC158" s="14" t="str">
        <f t="shared" si="352"/>
        <v xml:space="preserve"> </v>
      </c>
      <c r="ED158" s="14" t="str">
        <f t="shared" si="353"/>
        <v xml:space="preserve"> </v>
      </c>
      <c r="EE158" s="27" t="str">
        <f t="shared" si="519"/>
        <v xml:space="preserve"> </v>
      </c>
      <c r="EF158" s="14" t="str">
        <f t="shared" si="355"/>
        <v xml:space="preserve"> </v>
      </c>
      <c r="EG158" s="14" t="str">
        <f t="shared" si="356"/>
        <v xml:space="preserve"> </v>
      </c>
      <c r="EH158" s="14" t="str">
        <f t="shared" si="357"/>
        <v xml:space="preserve"> </v>
      </c>
      <c r="EI158" s="14" t="str">
        <f t="shared" si="358"/>
        <v xml:space="preserve"> </v>
      </c>
      <c r="EJ158" s="14" t="str">
        <f t="shared" si="359"/>
        <v xml:space="preserve"> </v>
      </c>
      <c r="EK158" s="27" t="str">
        <f t="shared" si="519"/>
        <v xml:space="preserve"> </v>
      </c>
      <c r="EL158" s="14" t="str">
        <f t="shared" si="361"/>
        <v xml:space="preserve"> </v>
      </c>
      <c r="EM158" s="14" t="str">
        <f t="shared" si="362"/>
        <v xml:space="preserve"> </v>
      </c>
      <c r="EN158" s="14" t="str">
        <f t="shared" si="363"/>
        <v xml:space="preserve"> </v>
      </c>
      <c r="EO158" s="14" t="str">
        <f t="shared" si="364"/>
        <v xml:space="preserve"> </v>
      </c>
      <c r="EP158" s="14" t="str">
        <f t="shared" si="365"/>
        <v xml:space="preserve"> </v>
      </c>
      <c r="EQ158" s="27" t="str">
        <f t="shared" si="520"/>
        <v xml:space="preserve"> </v>
      </c>
      <c r="ER158" s="14" t="str">
        <f t="shared" si="367"/>
        <v xml:space="preserve"> </v>
      </c>
      <c r="ES158" s="14" t="str">
        <f t="shared" si="368"/>
        <v xml:space="preserve"> </v>
      </c>
      <c r="ET158" s="14" t="str">
        <f t="shared" si="369"/>
        <v xml:space="preserve"> </v>
      </c>
      <c r="EU158" s="14" t="str">
        <f t="shared" si="370"/>
        <v xml:space="preserve"> </v>
      </c>
      <c r="EV158" s="14" t="str">
        <f t="shared" si="371"/>
        <v xml:space="preserve"> </v>
      </c>
      <c r="EW158" s="27" t="str">
        <f t="shared" si="520"/>
        <v xml:space="preserve"> </v>
      </c>
      <c r="EX158" s="14" t="str">
        <f t="shared" si="373"/>
        <v xml:space="preserve"> </v>
      </c>
      <c r="EY158" s="14" t="str">
        <f t="shared" si="374"/>
        <v xml:space="preserve"> </v>
      </c>
      <c r="EZ158" s="14" t="str">
        <f t="shared" si="375"/>
        <v xml:space="preserve"> </v>
      </c>
      <c r="FA158" s="14" t="str">
        <f t="shared" si="376"/>
        <v xml:space="preserve"> </v>
      </c>
      <c r="FB158" s="14" t="str">
        <f t="shared" si="377"/>
        <v xml:space="preserve"> </v>
      </c>
      <c r="FC158" s="27" t="str">
        <f t="shared" si="520"/>
        <v xml:space="preserve"> </v>
      </c>
      <c r="FD158" s="14" t="str">
        <f t="shared" si="379"/>
        <v xml:space="preserve"> </v>
      </c>
      <c r="FE158" s="14" t="str">
        <f t="shared" si="380"/>
        <v xml:space="preserve"> </v>
      </c>
      <c r="FF158" s="14" t="str">
        <f t="shared" si="381"/>
        <v xml:space="preserve"> </v>
      </c>
      <c r="FG158" s="14" t="str">
        <f t="shared" si="382"/>
        <v xml:space="preserve"> </v>
      </c>
      <c r="FH158" s="14" t="str">
        <f t="shared" si="383"/>
        <v xml:space="preserve"> </v>
      </c>
      <c r="FI158" s="27" t="str">
        <f t="shared" si="520"/>
        <v xml:space="preserve"> </v>
      </c>
      <c r="FJ158" s="14" t="str">
        <f t="shared" si="385"/>
        <v xml:space="preserve"> </v>
      </c>
      <c r="FK158" s="14" t="str">
        <f t="shared" si="386"/>
        <v xml:space="preserve"> </v>
      </c>
      <c r="FL158" s="14" t="str">
        <f t="shared" si="387"/>
        <v xml:space="preserve"> </v>
      </c>
      <c r="FM158" s="14" t="str">
        <f t="shared" si="388"/>
        <v xml:space="preserve"> </v>
      </c>
      <c r="FN158" s="14" t="str">
        <f t="shared" si="389"/>
        <v xml:space="preserve"> </v>
      </c>
      <c r="FO158" s="27" t="str">
        <f t="shared" si="520"/>
        <v xml:space="preserve"> </v>
      </c>
      <c r="FP158" s="14" t="str">
        <f t="shared" si="391"/>
        <v xml:space="preserve"> </v>
      </c>
      <c r="FQ158" s="14" t="str">
        <f t="shared" si="392"/>
        <v xml:space="preserve"> </v>
      </c>
      <c r="FR158" s="14" t="str">
        <f t="shared" si="393"/>
        <v xml:space="preserve"> </v>
      </c>
      <c r="FS158" s="14" t="str">
        <f t="shared" si="394"/>
        <v xml:space="preserve"> </v>
      </c>
      <c r="FT158" s="14" t="str">
        <f t="shared" si="395"/>
        <v xml:space="preserve"> </v>
      </c>
      <c r="FU158" s="27" t="str">
        <f t="shared" si="520"/>
        <v xml:space="preserve"> </v>
      </c>
      <c r="FV158" s="14" t="str">
        <f t="shared" si="397"/>
        <v xml:space="preserve"> </v>
      </c>
      <c r="FW158" s="14" t="str">
        <f t="shared" si="398"/>
        <v xml:space="preserve"> </v>
      </c>
      <c r="FX158" s="14" t="str">
        <f t="shared" si="399"/>
        <v xml:space="preserve"> </v>
      </c>
      <c r="FY158" s="14" t="str">
        <f t="shared" si="400"/>
        <v xml:space="preserve"> </v>
      </c>
      <c r="FZ158" s="14" t="str">
        <f t="shared" si="401"/>
        <v xml:space="preserve"> </v>
      </c>
      <c r="GA158" s="27" t="str">
        <f t="shared" si="520"/>
        <v xml:space="preserve"> </v>
      </c>
      <c r="GB158" s="14" t="str">
        <f t="shared" si="403"/>
        <v xml:space="preserve"> </v>
      </c>
      <c r="GC158" s="14" t="str">
        <f t="shared" si="404"/>
        <v xml:space="preserve"> </v>
      </c>
      <c r="GD158" s="14" t="str">
        <f t="shared" si="405"/>
        <v xml:space="preserve"> </v>
      </c>
      <c r="GE158" s="14" t="str">
        <f t="shared" si="406"/>
        <v xml:space="preserve"> </v>
      </c>
      <c r="GF158" s="14" t="str">
        <f t="shared" si="407"/>
        <v xml:space="preserve"> </v>
      </c>
      <c r="GG158" s="27" t="str">
        <f t="shared" si="520"/>
        <v xml:space="preserve"> </v>
      </c>
      <c r="GH158" s="14" t="str">
        <f t="shared" si="409"/>
        <v xml:space="preserve"> </v>
      </c>
      <c r="GI158" s="14" t="str">
        <f t="shared" si="410"/>
        <v xml:space="preserve"> </v>
      </c>
      <c r="GJ158" s="14" t="str">
        <f t="shared" si="411"/>
        <v xml:space="preserve"> </v>
      </c>
      <c r="GK158" s="14" t="str">
        <f t="shared" si="412"/>
        <v xml:space="preserve"> </v>
      </c>
      <c r="GL158" s="14" t="str">
        <f t="shared" si="413"/>
        <v xml:space="preserve"> </v>
      </c>
      <c r="GM158" s="27" t="str">
        <f t="shared" si="520"/>
        <v xml:space="preserve"> </v>
      </c>
      <c r="GN158" s="14" t="str">
        <f t="shared" si="415"/>
        <v xml:space="preserve"> </v>
      </c>
      <c r="GO158" s="14" t="str">
        <f t="shared" si="416"/>
        <v xml:space="preserve"> </v>
      </c>
      <c r="GP158" s="14" t="str">
        <f t="shared" si="417"/>
        <v xml:space="preserve"> </v>
      </c>
      <c r="GQ158" s="14" t="str">
        <f t="shared" si="418"/>
        <v xml:space="preserve"> </v>
      </c>
      <c r="GR158" s="14" t="str">
        <f t="shared" si="419"/>
        <v xml:space="preserve"> </v>
      </c>
      <c r="GS158" s="27" t="str">
        <f t="shared" si="520"/>
        <v xml:space="preserve"> </v>
      </c>
      <c r="GT158" s="14" t="str">
        <f t="shared" si="421"/>
        <v xml:space="preserve"> </v>
      </c>
      <c r="GU158" s="14" t="str">
        <f t="shared" si="422"/>
        <v xml:space="preserve"> </v>
      </c>
      <c r="GV158" s="14" t="str">
        <f t="shared" si="423"/>
        <v xml:space="preserve"> </v>
      </c>
      <c r="GW158" s="14" t="str">
        <f t="shared" si="424"/>
        <v xml:space="preserve"> </v>
      </c>
      <c r="GX158" s="14" t="str">
        <f t="shared" si="425"/>
        <v xml:space="preserve"> </v>
      </c>
      <c r="GY158" s="27" t="str">
        <f t="shared" si="520"/>
        <v xml:space="preserve"> </v>
      </c>
      <c r="GZ158" s="14" t="str">
        <f t="shared" si="427"/>
        <v xml:space="preserve"> </v>
      </c>
      <c r="HA158" s="14" t="str">
        <f t="shared" si="428"/>
        <v xml:space="preserve"> </v>
      </c>
      <c r="HB158" s="14" t="str">
        <f t="shared" si="429"/>
        <v xml:space="preserve"> </v>
      </c>
      <c r="HC158" s="14" t="str">
        <f t="shared" si="430"/>
        <v xml:space="preserve"> </v>
      </c>
      <c r="HD158" s="14" t="str">
        <f t="shared" si="431"/>
        <v xml:space="preserve"> </v>
      </c>
      <c r="HE158" s="27" t="str">
        <f t="shared" si="521"/>
        <v xml:space="preserve"> </v>
      </c>
      <c r="HF158" s="14" t="str">
        <f t="shared" si="433"/>
        <v xml:space="preserve"> </v>
      </c>
      <c r="HG158" s="14" t="str">
        <f t="shared" si="434"/>
        <v xml:space="preserve"> </v>
      </c>
      <c r="HH158" s="14" t="str">
        <f t="shared" si="435"/>
        <v xml:space="preserve"> </v>
      </c>
      <c r="HI158" s="14" t="str">
        <f t="shared" si="436"/>
        <v xml:space="preserve"> </v>
      </c>
      <c r="HJ158" s="14" t="str">
        <f t="shared" si="437"/>
        <v xml:space="preserve"> </v>
      </c>
      <c r="HK158" s="27" t="str">
        <f t="shared" si="521"/>
        <v xml:space="preserve"> </v>
      </c>
      <c r="HL158" s="14" t="str">
        <f t="shared" si="439"/>
        <v xml:space="preserve"> </v>
      </c>
      <c r="HM158" s="14" t="str">
        <f t="shared" si="440"/>
        <v xml:space="preserve"> </v>
      </c>
      <c r="HN158" s="14" t="str">
        <f t="shared" si="441"/>
        <v xml:space="preserve"> </v>
      </c>
      <c r="HO158" s="14" t="str">
        <f t="shared" si="442"/>
        <v xml:space="preserve"> </v>
      </c>
      <c r="HP158" s="14" t="str">
        <f t="shared" si="443"/>
        <v xml:space="preserve"> </v>
      </c>
      <c r="HQ158" s="27" t="str">
        <f t="shared" si="521"/>
        <v xml:space="preserve"> </v>
      </c>
    </row>
    <row r="159" spans="1:225" ht="15.75" customHeight="1">
      <c r="A159" s="7">
        <f t="shared" ref="A159:C159" si="548">A51</f>
        <v>0</v>
      </c>
      <c r="B159" s="7">
        <f t="shared" si="548"/>
        <v>0</v>
      </c>
      <c r="C159" s="7" t="str">
        <f t="shared" si="548"/>
        <v>media</v>
      </c>
      <c r="D159" s="14" t="str">
        <f t="shared" si="446"/>
        <v xml:space="preserve"> </v>
      </c>
      <c r="E159" s="14" t="str">
        <f t="shared" si="447"/>
        <v xml:space="preserve"> </v>
      </c>
      <c r="F159" s="14" t="str">
        <f t="shared" si="448"/>
        <v xml:space="preserve"> </v>
      </c>
      <c r="G159" s="14" t="str">
        <f t="shared" si="449"/>
        <v xml:space="preserve">efficiency(1), user rules and manuals(2.1), organizational rules and manuals(2.1),  </v>
      </c>
      <c r="H159" s="14" t="str">
        <f t="shared" si="450"/>
        <v xml:space="preserve">efficiency(-1,6.25%),  </v>
      </c>
      <c r="I159" s="27" t="str">
        <f t="shared" ref="I159" si="549">IF(I51="",I160,$C159&amp;"("&amp;I51&amp;"),"&amp;I160)</f>
        <v xml:space="preserve">efficiency(6.25), </v>
      </c>
      <c r="J159" s="14" t="str">
        <f t="shared" si="229"/>
        <v xml:space="preserve"> </v>
      </c>
      <c r="K159" s="14" t="str">
        <f t="shared" si="230"/>
        <v xml:space="preserve"> </v>
      </c>
      <c r="L159" s="14" t="str">
        <f t="shared" si="231"/>
        <v xml:space="preserve"> </v>
      </c>
      <c r="M159" s="14" t="str">
        <f t="shared" si="232"/>
        <v xml:space="preserve">efficiency(0.1), organizational rules and manuals(1.1),  </v>
      </c>
      <c r="N159" s="14" t="str">
        <f t="shared" si="233"/>
        <v xml:space="preserve"> </v>
      </c>
      <c r="O159" s="27" t="str">
        <f t="shared" si="518"/>
        <v xml:space="preserve"> </v>
      </c>
      <c r="P159" s="14" t="str">
        <f t="shared" si="235"/>
        <v xml:space="preserve"> </v>
      </c>
      <c r="Q159" s="14" t="str">
        <f t="shared" si="236"/>
        <v xml:space="preserve"> </v>
      </c>
      <c r="R159" s="14" t="str">
        <f t="shared" si="237"/>
        <v xml:space="preserve"> </v>
      </c>
      <c r="S159" s="14" t="str">
        <f t="shared" si="238"/>
        <v xml:space="preserve">team building(0.1),  </v>
      </c>
      <c r="T159" s="14" t="str">
        <f t="shared" si="239"/>
        <v xml:space="preserve">business model(-1,6.25%), web(-1,6.25%), mobile apps(-1,6.25%), aesthetics(-1,6.25%),  </v>
      </c>
      <c r="U159" s="27" t="str">
        <f t="shared" si="518"/>
        <v xml:space="preserve">business model(6.25),web(6.25),mobile apps(6.25),aesthetics(6.25), </v>
      </c>
      <c r="V159" s="14" t="str">
        <f t="shared" si="241"/>
        <v xml:space="preserve"> </v>
      </c>
      <c r="W159" s="14" t="str">
        <f t="shared" si="242"/>
        <v xml:space="preserve">efficiency(-1,25%),  </v>
      </c>
      <c r="X159" s="14" t="str">
        <f t="shared" si="243"/>
        <v xml:space="preserve">efficiency(25)
 </v>
      </c>
      <c r="Y159" s="14" t="str">
        <f t="shared" si="244"/>
        <v xml:space="preserve">spaciousness(1), ease of access(3), reputation(2), user rules and manuals(0.1), project management(0.1), negotiation(0.1),  </v>
      </c>
      <c r="Z159" s="14" t="str">
        <f t="shared" si="245"/>
        <v xml:space="preserve">reputation(-1,%),  </v>
      </c>
      <c r="AA159" s="27" t="str">
        <f t="shared" si="518"/>
        <v xml:space="preserve"> </v>
      </c>
      <c r="AB159" s="14" t="str">
        <f t="shared" si="247"/>
        <v xml:space="preserve"> </v>
      </c>
      <c r="AC159" s="14" t="str">
        <f t="shared" si="248"/>
        <v xml:space="preserve"> </v>
      </c>
      <c r="AD159" s="14" t="str">
        <f t="shared" si="249"/>
        <v xml:space="preserve"> </v>
      </c>
      <c r="AE159" s="14" t="str">
        <f t="shared" si="250"/>
        <v xml:space="preserve">spaciousness(1), user rules and manuals(1.1), organizational rules and manuals(1.1),  </v>
      </c>
      <c r="AF159" s="14" t="str">
        <f t="shared" si="251"/>
        <v xml:space="preserve">non-profits(-1,6.25%), efficiency(-1,6.25%),  </v>
      </c>
      <c r="AG159" s="27" t="str">
        <f t="shared" si="518"/>
        <v xml:space="preserve">non-profits(6.25),efficiency(6.25), </v>
      </c>
      <c r="AH159" s="14" t="str">
        <f t="shared" si="253"/>
        <v xml:space="preserve">ease of access(1)
reputation(1)
 </v>
      </c>
      <c r="AI159" s="14" t="str">
        <f t="shared" si="254"/>
        <v xml:space="preserve"> </v>
      </c>
      <c r="AJ159" s="14" t="str">
        <f t="shared" si="255"/>
        <v xml:space="preserve"> </v>
      </c>
      <c r="AK159" s="14" t="str">
        <f t="shared" si="256"/>
        <v xml:space="preserve">spaciousness(1), ease of access(1), reputation(2), user rules and manuals(2.1), organizational rules and manuals(2.1), law(1.1), negotiation(1.1),  </v>
      </c>
      <c r="AL159" s="14" t="str">
        <f t="shared" si="257"/>
        <v xml:space="preserve">non-profits(-1,6.25%), reputation(-1,6.25%),  </v>
      </c>
      <c r="AM159" s="27" t="str">
        <f t="shared" si="518"/>
        <v xml:space="preserve">non-profits(6.25),reputation(6.25), </v>
      </c>
      <c r="AN159" s="14" t="str">
        <f t="shared" si="259"/>
        <v xml:space="preserve"> </v>
      </c>
      <c r="AO159" s="14" t="str">
        <f t="shared" si="260"/>
        <v xml:space="preserve"> </v>
      </c>
      <c r="AP159" s="14" t="str">
        <f t="shared" si="261"/>
        <v xml:space="preserve"> </v>
      </c>
      <c r="AQ159" s="14" t="str">
        <f t="shared" si="262"/>
        <v xml:space="preserve">spaciousness(2.1), reputation(3), organizational rules and manuals(2.1), team building(2.1),  </v>
      </c>
      <c r="AR159" s="14" t="str">
        <f t="shared" si="263"/>
        <v xml:space="preserve">reputation(-1,6.25%), efficiency(-1,6.25%),  </v>
      </c>
      <c r="AS159" s="27" t="str">
        <f t="shared" si="518"/>
        <v xml:space="preserve">reputation(6.25),efficiency(6.25), </v>
      </c>
      <c r="AT159" s="14" t="str">
        <f t="shared" si="265"/>
        <v xml:space="preserve"> </v>
      </c>
      <c r="AU159" s="14" t="str">
        <f t="shared" si="266"/>
        <v xml:space="preserve"> </v>
      </c>
      <c r="AV159" s="14" t="str">
        <f t="shared" si="267"/>
        <v xml:space="preserve"> </v>
      </c>
      <c r="AW159" s="14" t="str">
        <f t="shared" si="268"/>
        <v xml:space="preserve">user rules and manuals(2.1), team building(2.1),  </v>
      </c>
      <c r="AX159" s="14" t="str">
        <f t="shared" si="269"/>
        <v xml:space="preserve"> </v>
      </c>
      <c r="AY159" s="27" t="str">
        <f t="shared" si="518"/>
        <v xml:space="preserve"> </v>
      </c>
      <c r="AZ159" s="14" t="str">
        <f t="shared" si="271"/>
        <v xml:space="preserve"> </v>
      </c>
      <c r="BA159" s="14" t="str">
        <f t="shared" si="272"/>
        <v xml:space="preserve">efficiency(-1,12.5%), user rules and manuals(1,25%),  </v>
      </c>
      <c r="BB159" s="14" t="str">
        <f t="shared" si="273"/>
        <v xml:space="preserve">efficiency(12.5)
user rules and manuals(25)
 </v>
      </c>
      <c r="BC159" s="14" t="str">
        <f t="shared" si="274"/>
        <v xml:space="preserve">user rules and manuals(2.1), organizational rules and manuals(2.1),  </v>
      </c>
      <c r="BD159" s="14" t="str">
        <f t="shared" si="275"/>
        <v xml:space="preserve">reputation(-1,6.25%),  </v>
      </c>
      <c r="BE159" s="27" t="str">
        <f t="shared" si="518"/>
        <v xml:space="preserve">reputation(6.25), </v>
      </c>
      <c r="BF159" s="14" t="str">
        <f t="shared" si="277"/>
        <v xml:space="preserve"> </v>
      </c>
      <c r="BG159" s="14" t="str">
        <f t="shared" si="278"/>
        <v xml:space="preserve">user rules and manuals(1,25%), organizational rules and manuals(1,25%),  </v>
      </c>
      <c r="BH159" s="14" t="str">
        <f t="shared" si="279"/>
        <v xml:space="preserve">user rules and manuals(25)
organizational rules and manuals(25)
 </v>
      </c>
      <c r="BI159" s="14" t="str">
        <f t="shared" si="280"/>
        <v xml:space="preserve"> </v>
      </c>
      <c r="BJ159" s="14" t="str">
        <f t="shared" si="281"/>
        <v xml:space="preserve">reputation(-1,6.25%), efficiency(-1,25%),  </v>
      </c>
      <c r="BK159" s="27" t="str">
        <f t="shared" si="518"/>
        <v xml:space="preserve">reputation(6.25),efficiency(25), </v>
      </c>
      <c r="BL159" s="14" t="str">
        <f t="shared" si="283"/>
        <v xml:space="preserve">ease of access(1)
reputation(1)
aesthetics(1)
 </v>
      </c>
      <c r="BM159" s="14" t="str">
        <f t="shared" si="284"/>
        <v xml:space="preserve">biz enhancement(1,%),  </v>
      </c>
      <c r="BN159" s="14" t="str">
        <f t="shared" si="285"/>
        <v xml:space="preserve"> </v>
      </c>
      <c r="BO159" s="14" t="str">
        <f t="shared" si="286"/>
        <v xml:space="preserve">ease of access(2), reputation(3), efficiency(2), user rules and manuals(1), marketing(1), negotiation(1), aesthetics(2), functions(1), safety(1),  </v>
      </c>
      <c r="BP159" s="14" t="str">
        <f t="shared" si="287"/>
        <v xml:space="preserve"> </v>
      </c>
      <c r="BQ159" s="27" t="str">
        <f t="shared" si="518"/>
        <v xml:space="preserve"> </v>
      </c>
      <c r="BR159" s="14" t="str">
        <f t="shared" si="289"/>
        <v xml:space="preserve">ease of access(1)
reputation(1)
aesthetics(1)
 </v>
      </c>
      <c r="BS159" s="14" t="str">
        <f t="shared" si="290"/>
        <v xml:space="preserve">biz project(1,%),  </v>
      </c>
      <c r="BT159" s="14" t="str">
        <f t="shared" si="291"/>
        <v xml:space="preserve"> </v>
      </c>
      <c r="BU159" s="14" t="str">
        <f t="shared" si="292"/>
        <v xml:space="preserve">ease of access(2), reputation(3), efficiency(2), user rules and manuals(1), marketing(1), negotiation(1), wood processing(1), aesthetics(2),  </v>
      </c>
      <c r="BV159" s="14" t="str">
        <f t="shared" si="293"/>
        <v xml:space="preserve"> </v>
      </c>
      <c r="BW159" s="27" t="str">
        <f t="shared" si="518"/>
        <v xml:space="preserve"> </v>
      </c>
      <c r="BX159" s="14" t="str">
        <f t="shared" si="295"/>
        <v xml:space="preserve">ease of access(1)
reputation(1)
aesthetics(1)
interaction(1)
 </v>
      </c>
      <c r="BY159" s="14" t="str">
        <f t="shared" si="296"/>
        <v xml:space="preserve">biz project(1,%),  </v>
      </c>
      <c r="BZ159" s="14" t="str">
        <f t="shared" si="297"/>
        <v xml:space="preserve"> </v>
      </c>
      <c r="CA159" s="14" t="str">
        <f t="shared" si="298"/>
        <v xml:space="preserve">ease of access(2), reputation(3), efficiency(2), user rules and manuals(1), marketing(1), team building(1), social media(1), negotiation(1), web(2), infrastructrue(2), database(2), security(3), aesthetics(2), functions(1), interaction(2),  </v>
      </c>
      <c r="CB159" s="14" t="str">
        <f t="shared" si="299"/>
        <v xml:space="preserve"> </v>
      </c>
      <c r="CC159" s="27" t="str">
        <f t="shared" si="519"/>
        <v xml:space="preserve"> </v>
      </c>
      <c r="CD159" s="14" t="str">
        <f t="shared" si="301"/>
        <v xml:space="preserve">ease of access(1)
reputation(1)
aesthetics(1)
 </v>
      </c>
      <c r="CE159" s="14" t="str">
        <f t="shared" si="302"/>
        <v xml:space="preserve">biz project(1,%),  </v>
      </c>
      <c r="CF159" s="14" t="str">
        <f t="shared" si="303"/>
        <v xml:space="preserve"> </v>
      </c>
      <c r="CG159" s="14" t="str">
        <f t="shared" si="304"/>
        <v xml:space="preserve">ease of access(2), efficiency(2), user rules and manuals(1), marketing(1), team building(1), negotiation(1), infrastructrue(1), database(2), mobile apps(2), security(3), aesthetics(2), functions(1), interaction(2),  </v>
      </c>
      <c r="CH159" s="14" t="str">
        <f t="shared" si="305"/>
        <v xml:space="preserve"> </v>
      </c>
      <c r="CI159" s="27" t="str">
        <f t="shared" si="519"/>
        <v xml:space="preserve"> </v>
      </c>
      <c r="CJ159" s="14" t="str">
        <f t="shared" si="307"/>
        <v xml:space="preserve">ease of access(1)
reputation(1)
aesthetics(1)
 </v>
      </c>
      <c r="CK159" s="14" t="str">
        <f t="shared" si="308"/>
        <v xml:space="preserve">biz project(1,%),  </v>
      </c>
      <c r="CL159" s="14" t="str">
        <f t="shared" si="309"/>
        <v xml:space="preserve"> </v>
      </c>
      <c r="CM159" s="14" t="str">
        <f t="shared" si="310"/>
        <v xml:space="preserve">ease of access(2), reputation(3), efficiency(2), user rules and manuals(1), marketing(2), team building(1), social media(2), negotiation(1), web(2), infrastructrue(2), database(2), mobile apps(2), security(2), aesthetics(2), functions(1), interaction(2),  </v>
      </c>
      <c r="CN159" s="14" t="str">
        <f t="shared" si="311"/>
        <v xml:space="preserve"> </v>
      </c>
      <c r="CO159" s="27" t="str">
        <f t="shared" si="519"/>
        <v xml:space="preserve"> </v>
      </c>
      <c r="CP159" s="14" t="str">
        <f t="shared" si="313"/>
        <v xml:space="preserve">metal processing(1)
functions(1)
 </v>
      </c>
      <c r="CQ159" s="14" t="str">
        <f t="shared" si="314"/>
        <v xml:space="preserve">biz enhancement(1,50%),  </v>
      </c>
      <c r="CR159" s="14" t="str">
        <f t="shared" si="315"/>
        <v xml:space="preserve">biz enhancement(50)
 </v>
      </c>
      <c r="CS159" s="14" t="str">
        <f t="shared" si="316"/>
        <v xml:space="preserve">ease of access(2), reputation(3), efficiency(2), metal processing(2), electronics(2), aesthetics(2), functions(2), safety(2),  </v>
      </c>
      <c r="CT159" s="14" t="str">
        <f t="shared" si="317"/>
        <v xml:space="preserve">reputation(1,6.25%),  </v>
      </c>
      <c r="CU159" s="27" t="str">
        <f t="shared" si="519"/>
        <v xml:space="preserve">reputation(6.25), </v>
      </c>
      <c r="CV159" s="14" t="str">
        <f t="shared" si="319"/>
        <v xml:space="preserve">non-profits(1)
wood processing(1)
aesthetics(1)
interaction(1)
 </v>
      </c>
      <c r="CW159" s="14" t="str">
        <f t="shared" si="320"/>
        <v xml:space="preserve">non-profits(1,50%), social project(1,50%),  </v>
      </c>
      <c r="CX159" s="14" t="str">
        <f t="shared" si="321"/>
        <v xml:space="preserve">non-profits(50)
social project(50)
 </v>
      </c>
      <c r="CY159" s="14" t="str">
        <f t="shared" si="322"/>
        <v xml:space="preserve">ease of access(2), efficiency(3), sensors(2), wood processing(2), plastic processing(2), electronics(2), aesthetics(2), functions(1), safety(1), interaction(2),  </v>
      </c>
      <c r="CZ159" s="14" t="str">
        <f t="shared" si="323"/>
        <v xml:space="preserve">media(1,6.25%), reputation(1,6.25%), portfolio(1,6.25%),  </v>
      </c>
      <c r="DA159" s="27" t="str">
        <f t="shared" si="519"/>
        <v xml:space="preserve">media(6.25),reputation(6.25),portfolio(6.25), </v>
      </c>
      <c r="DB159" s="14" t="str">
        <f t="shared" si="325"/>
        <v xml:space="preserve">non-profits(1)
aesthetics(1)
interaction(1)
 </v>
      </c>
      <c r="DC159" s="14" t="str">
        <f t="shared" si="326"/>
        <v xml:space="preserve">non-profits(1,50%), social project(1,50%),  </v>
      </c>
      <c r="DD159" s="14" t="str">
        <f t="shared" si="327"/>
        <v xml:space="preserve">non-profits(50)
social project(50)
 </v>
      </c>
      <c r="DE159" s="14" t="str">
        <f t="shared" si="328"/>
        <v xml:space="preserve">ease of access(2), efficiency(3), VR&amp;AR(2),  </v>
      </c>
      <c r="DF159" s="14" t="str">
        <f t="shared" si="329"/>
        <v xml:space="preserve">media(1,6.25%), reputation(1,6.25%), portfolio(1,6.25%),  </v>
      </c>
      <c r="DG159" s="27" t="str">
        <f t="shared" si="519"/>
        <v xml:space="preserve">media(6.25),reputation(6.25),portfolio(6.25), </v>
      </c>
      <c r="DH159" s="14" t="str">
        <f t="shared" si="331"/>
        <v xml:space="preserve">wood processing(1)
aesthetics(1)
safety(1)
 </v>
      </c>
      <c r="DI159" s="14" t="str">
        <f t="shared" si="332"/>
        <v xml:space="preserve">social project(1,100%),  </v>
      </c>
      <c r="DJ159" s="14" t="str">
        <f t="shared" si="333"/>
        <v xml:space="preserve">social project(100)
 </v>
      </c>
      <c r="DK159" s="14" t="str">
        <f t="shared" si="334"/>
        <v xml:space="preserve">media(2), non-profits(2), spaciousness(2), ease of access(2), efficiency(2), finance(2), marketing(2), team building(2), project management(2), social media(2), negotiation(2), sensors(1), wood processing(2), metal processing(2), plastic processing(2), electronics(2), fabric(1), aesthetics(1), functions(2), safety(2), interaction(2),  </v>
      </c>
      <c r="DL159" s="14" t="str">
        <f t="shared" si="335"/>
        <v xml:space="preserve">reputation(1,6.25%), portfolio(1,6.25%), team building(1,6.25%),  </v>
      </c>
      <c r="DM159" s="27" t="str">
        <f t="shared" si="519"/>
        <v xml:space="preserve">reputation(6.25),portfolio(6.25),team building(6.25), </v>
      </c>
      <c r="DN159" s="14" t="str">
        <f t="shared" si="337"/>
        <v xml:space="preserve">suppliers(2)
spaciousness(1)
ease of access(2)
reputation(3)
project management(2)
wood processing(1)
plastic processing(1)
electronics(1)
aesthetics(2)
functions(1)
safety(1)
biz project(1)
 </v>
      </c>
      <c r="DO159" s="14" t="str">
        <f t="shared" si="338"/>
        <v xml:space="preserve">reputation(1,25%), portfolio(1,50%),  </v>
      </c>
      <c r="DP159" s="14" t="str">
        <f t="shared" si="339"/>
        <v xml:space="preserve">reputation(25)
portfolio(50)
 </v>
      </c>
      <c r="DQ159" s="14" t="str">
        <f t="shared" si="340"/>
        <v xml:space="preserve">media(3), suppliers(3), social media(2), wood processing(2), plastic processing(2), electronics(2), aesthetics(2),  </v>
      </c>
      <c r="DR159" s="14" t="str">
        <f t="shared" si="341"/>
        <v xml:space="preserve">suppliers(1,6.25%), reputation(1,6.25%),  </v>
      </c>
      <c r="DS159" s="27" t="str">
        <f t="shared" si="519"/>
        <v xml:space="preserve">suppliers(6.25),reputation(6.25), </v>
      </c>
      <c r="DT159" s="14" t="str">
        <f t="shared" si="343"/>
        <v xml:space="preserve">reputation(3)
portfolio(2)
 </v>
      </c>
      <c r="DU159" s="14" t="str">
        <f t="shared" si="344"/>
        <v xml:space="preserve">non-profits(1,50%), reputation(1,25%),  </v>
      </c>
      <c r="DV159" s="14" t="str">
        <f t="shared" si="345"/>
        <v xml:space="preserve">non-profits(50)
reputation(25)
 </v>
      </c>
      <c r="DW159" s="14" t="str">
        <f t="shared" si="346"/>
        <v xml:space="preserve">social media(2),  </v>
      </c>
      <c r="DX159" s="14" t="str">
        <f t="shared" si="347"/>
        <v xml:space="preserve">reputation(1,6.25%),  </v>
      </c>
      <c r="DY159" s="27" t="str">
        <f t="shared" si="519"/>
        <v xml:space="preserve">reputation(6.25), </v>
      </c>
      <c r="DZ159" s="14" t="str">
        <f t="shared" si="349"/>
        <v xml:space="preserve"> </v>
      </c>
      <c r="EA159" s="14" t="str">
        <f t="shared" si="350"/>
        <v xml:space="preserve"> </v>
      </c>
      <c r="EB159" s="14" t="str">
        <f t="shared" si="351"/>
        <v xml:space="preserve"> </v>
      </c>
      <c r="EC159" s="14" t="str">
        <f t="shared" si="352"/>
        <v xml:space="preserve"> </v>
      </c>
      <c r="ED159" s="14" t="str">
        <f t="shared" si="353"/>
        <v xml:space="preserve"> </v>
      </c>
      <c r="EE159" s="27" t="str">
        <f t="shared" si="519"/>
        <v xml:space="preserve"> </v>
      </c>
      <c r="EF159" s="14" t="str">
        <f t="shared" si="355"/>
        <v xml:space="preserve"> </v>
      </c>
      <c r="EG159" s="14" t="str">
        <f t="shared" si="356"/>
        <v xml:space="preserve"> </v>
      </c>
      <c r="EH159" s="14" t="str">
        <f t="shared" si="357"/>
        <v xml:space="preserve"> </v>
      </c>
      <c r="EI159" s="14" t="str">
        <f t="shared" si="358"/>
        <v xml:space="preserve"> </v>
      </c>
      <c r="EJ159" s="14" t="str">
        <f t="shared" si="359"/>
        <v xml:space="preserve"> </v>
      </c>
      <c r="EK159" s="27" t="str">
        <f t="shared" si="519"/>
        <v xml:space="preserve"> </v>
      </c>
      <c r="EL159" s="14" t="str">
        <f t="shared" si="361"/>
        <v xml:space="preserve"> </v>
      </c>
      <c r="EM159" s="14" t="str">
        <f t="shared" si="362"/>
        <v xml:space="preserve"> </v>
      </c>
      <c r="EN159" s="14" t="str">
        <f t="shared" si="363"/>
        <v xml:space="preserve"> </v>
      </c>
      <c r="EO159" s="14" t="str">
        <f t="shared" si="364"/>
        <v xml:space="preserve"> </v>
      </c>
      <c r="EP159" s="14" t="str">
        <f t="shared" si="365"/>
        <v xml:space="preserve"> </v>
      </c>
      <c r="EQ159" s="27" t="str">
        <f t="shared" si="520"/>
        <v xml:space="preserve"> </v>
      </c>
      <c r="ER159" s="14" t="str">
        <f t="shared" si="367"/>
        <v xml:space="preserve"> </v>
      </c>
      <c r="ES159" s="14" t="str">
        <f t="shared" si="368"/>
        <v xml:space="preserve"> </v>
      </c>
      <c r="ET159" s="14" t="str">
        <f t="shared" si="369"/>
        <v xml:space="preserve"> </v>
      </c>
      <c r="EU159" s="14" t="str">
        <f t="shared" si="370"/>
        <v xml:space="preserve"> </v>
      </c>
      <c r="EV159" s="14" t="str">
        <f t="shared" si="371"/>
        <v xml:space="preserve"> </v>
      </c>
      <c r="EW159" s="27" t="str">
        <f t="shared" si="520"/>
        <v xml:space="preserve"> </v>
      </c>
      <c r="EX159" s="14" t="str">
        <f t="shared" si="373"/>
        <v xml:space="preserve"> </v>
      </c>
      <c r="EY159" s="14" t="str">
        <f t="shared" si="374"/>
        <v xml:space="preserve"> </v>
      </c>
      <c r="EZ159" s="14" t="str">
        <f t="shared" si="375"/>
        <v xml:space="preserve"> </v>
      </c>
      <c r="FA159" s="14" t="str">
        <f t="shared" si="376"/>
        <v xml:space="preserve"> </v>
      </c>
      <c r="FB159" s="14" t="str">
        <f t="shared" si="377"/>
        <v xml:space="preserve"> </v>
      </c>
      <c r="FC159" s="27" t="str">
        <f t="shared" si="520"/>
        <v xml:space="preserve"> </v>
      </c>
      <c r="FD159" s="14" t="str">
        <f t="shared" si="379"/>
        <v xml:space="preserve"> </v>
      </c>
      <c r="FE159" s="14" t="str">
        <f t="shared" si="380"/>
        <v xml:space="preserve"> </v>
      </c>
      <c r="FF159" s="14" t="str">
        <f t="shared" si="381"/>
        <v xml:space="preserve"> </v>
      </c>
      <c r="FG159" s="14" t="str">
        <f t="shared" si="382"/>
        <v xml:space="preserve"> </v>
      </c>
      <c r="FH159" s="14" t="str">
        <f t="shared" si="383"/>
        <v xml:space="preserve"> </v>
      </c>
      <c r="FI159" s="27" t="str">
        <f t="shared" si="520"/>
        <v xml:space="preserve"> </v>
      </c>
      <c r="FJ159" s="14" t="str">
        <f t="shared" si="385"/>
        <v xml:space="preserve"> </v>
      </c>
      <c r="FK159" s="14" t="str">
        <f t="shared" si="386"/>
        <v xml:space="preserve"> </v>
      </c>
      <c r="FL159" s="14" t="str">
        <f t="shared" si="387"/>
        <v xml:space="preserve"> </v>
      </c>
      <c r="FM159" s="14" t="str">
        <f t="shared" si="388"/>
        <v xml:space="preserve"> </v>
      </c>
      <c r="FN159" s="14" t="str">
        <f t="shared" si="389"/>
        <v xml:space="preserve"> </v>
      </c>
      <c r="FO159" s="27" t="str">
        <f t="shared" si="520"/>
        <v xml:space="preserve"> </v>
      </c>
      <c r="FP159" s="14" t="str">
        <f t="shared" si="391"/>
        <v xml:space="preserve"> </v>
      </c>
      <c r="FQ159" s="14" t="str">
        <f t="shared" si="392"/>
        <v xml:space="preserve"> </v>
      </c>
      <c r="FR159" s="14" t="str">
        <f t="shared" si="393"/>
        <v xml:space="preserve"> </v>
      </c>
      <c r="FS159" s="14" t="str">
        <f t="shared" si="394"/>
        <v xml:space="preserve"> </v>
      </c>
      <c r="FT159" s="14" t="str">
        <f t="shared" si="395"/>
        <v xml:space="preserve"> </v>
      </c>
      <c r="FU159" s="27" t="str">
        <f t="shared" si="520"/>
        <v xml:space="preserve"> </v>
      </c>
      <c r="FV159" s="14" t="str">
        <f t="shared" si="397"/>
        <v xml:space="preserve"> </v>
      </c>
      <c r="FW159" s="14" t="str">
        <f t="shared" si="398"/>
        <v xml:space="preserve"> </v>
      </c>
      <c r="FX159" s="14" t="str">
        <f t="shared" si="399"/>
        <v xml:space="preserve"> </v>
      </c>
      <c r="FY159" s="14" t="str">
        <f t="shared" si="400"/>
        <v xml:space="preserve"> </v>
      </c>
      <c r="FZ159" s="14" t="str">
        <f t="shared" si="401"/>
        <v xml:space="preserve"> </v>
      </c>
      <c r="GA159" s="27" t="str">
        <f t="shared" si="520"/>
        <v xml:space="preserve"> </v>
      </c>
      <c r="GB159" s="14" t="str">
        <f t="shared" si="403"/>
        <v xml:space="preserve"> </v>
      </c>
      <c r="GC159" s="14" t="str">
        <f t="shared" si="404"/>
        <v xml:space="preserve"> </v>
      </c>
      <c r="GD159" s="14" t="str">
        <f t="shared" si="405"/>
        <v xml:space="preserve"> </v>
      </c>
      <c r="GE159" s="14" t="str">
        <f t="shared" si="406"/>
        <v xml:space="preserve"> </v>
      </c>
      <c r="GF159" s="14" t="str">
        <f t="shared" si="407"/>
        <v xml:space="preserve"> </v>
      </c>
      <c r="GG159" s="27" t="str">
        <f t="shared" si="520"/>
        <v xml:space="preserve"> </v>
      </c>
      <c r="GH159" s="14" t="str">
        <f t="shared" si="409"/>
        <v xml:space="preserve"> </v>
      </c>
      <c r="GI159" s="14" t="str">
        <f t="shared" si="410"/>
        <v xml:space="preserve"> </v>
      </c>
      <c r="GJ159" s="14" t="str">
        <f t="shared" si="411"/>
        <v xml:space="preserve"> </v>
      </c>
      <c r="GK159" s="14" t="str">
        <f t="shared" si="412"/>
        <v xml:space="preserve"> </v>
      </c>
      <c r="GL159" s="14" t="str">
        <f t="shared" si="413"/>
        <v xml:space="preserve"> </v>
      </c>
      <c r="GM159" s="27" t="str">
        <f t="shared" si="520"/>
        <v xml:space="preserve"> </v>
      </c>
      <c r="GN159" s="14" t="str">
        <f t="shared" si="415"/>
        <v xml:space="preserve"> </v>
      </c>
      <c r="GO159" s="14" t="str">
        <f t="shared" si="416"/>
        <v xml:space="preserve"> </v>
      </c>
      <c r="GP159" s="14" t="str">
        <f t="shared" si="417"/>
        <v xml:space="preserve"> </v>
      </c>
      <c r="GQ159" s="14" t="str">
        <f t="shared" si="418"/>
        <v xml:space="preserve"> </v>
      </c>
      <c r="GR159" s="14" t="str">
        <f t="shared" si="419"/>
        <v xml:space="preserve"> </v>
      </c>
      <c r="GS159" s="27" t="str">
        <f t="shared" si="520"/>
        <v xml:space="preserve"> </v>
      </c>
      <c r="GT159" s="14" t="str">
        <f t="shared" si="421"/>
        <v xml:space="preserve"> </v>
      </c>
      <c r="GU159" s="14" t="str">
        <f t="shared" si="422"/>
        <v xml:space="preserve"> </v>
      </c>
      <c r="GV159" s="14" t="str">
        <f t="shared" si="423"/>
        <v xml:space="preserve"> </v>
      </c>
      <c r="GW159" s="14" t="str">
        <f t="shared" si="424"/>
        <v xml:space="preserve"> </v>
      </c>
      <c r="GX159" s="14" t="str">
        <f t="shared" si="425"/>
        <v xml:space="preserve"> </v>
      </c>
      <c r="GY159" s="27" t="str">
        <f t="shared" si="520"/>
        <v xml:space="preserve"> </v>
      </c>
      <c r="GZ159" s="14" t="str">
        <f t="shared" si="427"/>
        <v xml:space="preserve"> </v>
      </c>
      <c r="HA159" s="14" t="str">
        <f t="shared" si="428"/>
        <v xml:space="preserve"> </v>
      </c>
      <c r="HB159" s="14" t="str">
        <f t="shared" si="429"/>
        <v xml:space="preserve"> </v>
      </c>
      <c r="HC159" s="14" t="str">
        <f t="shared" si="430"/>
        <v xml:space="preserve"> </v>
      </c>
      <c r="HD159" s="14" t="str">
        <f t="shared" si="431"/>
        <v xml:space="preserve"> </v>
      </c>
      <c r="HE159" s="27" t="str">
        <f t="shared" si="521"/>
        <v xml:space="preserve"> </v>
      </c>
      <c r="HF159" s="14" t="str">
        <f t="shared" si="433"/>
        <v xml:space="preserve"> </v>
      </c>
      <c r="HG159" s="14" t="str">
        <f t="shared" si="434"/>
        <v xml:space="preserve"> </v>
      </c>
      <c r="HH159" s="14" t="str">
        <f t="shared" si="435"/>
        <v xml:space="preserve"> </v>
      </c>
      <c r="HI159" s="14" t="str">
        <f t="shared" si="436"/>
        <v xml:space="preserve"> </v>
      </c>
      <c r="HJ159" s="14" t="str">
        <f t="shared" si="437"/>
        <v xml:space="preserve"> </v>
      </c>
      <c r="HK159" s="27" t="str">
        <f t="shared" si="521"/>
        <v xml:space="preserve"> </v>
      </c>
      <c r="HL159" s="14" t="str">
        <f t="shared" si="439"/>
        <v xml:space="preserve"> </v>
      </c>
      <c r="HM159" s="14" t="str">
        <f t="shared" si="440"/>
        <v xml:space="preserve"> </v>
      </c>
      <c r="HN159" s="14" t="str">
        <f t="shared" si="441"/>
        <v xml:space="preserve"> </v>
      </c>
      <c r="HO159" s="14" t="str">
        <f t="shared" si="442"/>
        <v xml:space="preserve"> </v>
      </c>
      <c r="HP159" s="14" t="str">
        <f t="shared" si="443"/>
        <v xml:space="preserve"> </v>
      </c>
      <c r="HQ159" s="27" t="str">
        <f t="shared" si="521"/>
        <v xml:space="preserve"> </v>
      </c>
    </row>
    <row r="160" spans="1:225" ht="15.75" customHeight="1">
      <c r="A160" s="7">
        <f t="shared" ref="A160:C160" si="550">A52</f>
        <v>0</v>
      </c>
      <c r="B160" s="7">
        <f t="shared" si="550"/>
        <v>0</v>
      </c>
      <c r="C160" s="7" t="str">
        <f t="shared" si="550"/>
        <v>entrepreneurs</v>
      </c>
      <c r="D160" s="14" t="str">
        <f t="shared" si="446"/>
        <v xml:space="preserve"> </v>
      </c>
      <c r="E160" s="14" t="str">
        <f t="shared" si="447"/>
        <v xml:space="preserve"> </v>
      </c>
      <c r="F160" s="14" t="str">
        <f t="shared" si="448"/>
        <v xml:space="preserve"> </v>
      </c>
      <c r="G160" s="14" t="str">
        <f t="shared" si="449"/>
        <v xml:space="preserve">efficiency(1), user rules and manuals(2.1), organizational rules and manuals(2.1),  </v>
      </c>
      <c r="H160" s="14" t="str">
        <f t="shared" si="450"/>
        <v xml:space="preserve">efficiency(-1,6.25%),  </v>
      </c>
      <c r="I160" s="27" t="str">
        <f t="shared" ref="I160" si="551">IF(I52="",I161,$C160&amp;"("&amp;I52&amp;"),"&amp;I161)</f>
        <v xml:space="preserve">efficiency(6.25), </v>
      </c>
      <c r="J160" s="14" t="str">
        <f t="shared" si="229"/>
        <v xml:space="preserve"> </v>
      </c>
      <c r="K160" s="14" t="str">
        <f t="shared" si="230"/>
        <v xml:space="preserve"> </v>
      </c>
      <c r="L160" s="14" t="str">
        <f t="shared" si="231"/>
        <v xml:space="preserve"> </v>
      </c>
      <c r="M160" s="14" t="str">
        <f t="shared" si="232"/>
        <v xml:space="preserve">efficiency(0.1), organizational rules and manuals(1.1),  </v>
      </c>
      <c r="N160" s="14" t="str">
        <f t="shared" si="233"/>
        <v xml:space="preserve"> </v>
      </c>
      <c r="O160" s="27" t="str">
        <f t="shared" si="518"/>
        <v xml:space="preserve"> </v>
      </c>
      <c r="P160" s="14" t="str">
        <f t="shared" si="235"/>
        <v xml:space="preserve"> </v>
      </c>
      <c r="Q160" s="14" t="str">
        <f t="shared" si="236"/>
        <v xml:space="preserve"> </v>
      </c>
      <c r="R160" s="14" t="str">
        <f t="shared" si="237"/>
        <v xml:space="preserve"> </v>
      </c>
      <c r="S160" s="14" t="str">
        <f t="shared" si="238"/>
        <v xml:space="preserve">team building(0.1),  </v>
      </c>
      <c r="T160" s="14" t="str">
        <f t="shared" si="239"/>
        <v xml:space="preserve">business model(-1,6.25%), web(-1,6.25%), mobile apps(-1,6.25%), aesthetics(-1,6.25%),  </v>
      </c>
      <c r="U160" s="27" t="str">
        <f t="shared" si="518"/>
        <v xml:space="preserve">business model(6.25),web(6.25),mobile apps(6.25),aesthetics(6.25), </v>
      </c>
      <c r="V160" s="14" t="str">
        <f t="shared" si="241"/>
        <v xml:space="preserve"> </v>
      </c>
      <c r="W160" s="14" t="str">
        <f t="shared" si="242"/>
        <v xml:space="preserve">efficiency(-1,25%),  </v>
      </c>
      <c r="X160" s="14" t="str">
        <f t="shared" si="243"/>
        <v xml:space="preserve">efficiency(25)
 </v>
      </c>
      <c r="Y160" s="14" t="str">
        <f t="shared" si="244"/>
        <v xml:space="preserve">spaciousness(1), ease of access(3), reputation(2), user rules and manuals(0.1), project management(0.1), negotiation(0.1),  </v>
      </c>
      <c r="Z160" s="14" t="str">
        <f t="shared" si="245"/>
        <v xml:space="preserve">reputation(-1,%),  </v>
      </c>
      <c r="AA160" s="27" t="str">
        <f t="shared" si="518"/>
        <v xml:space="preserve"> </v>
      </c>
      <c r="AB160" s="14" t="str">
        <f t="shared" si="247"/>
        <v xml:space="preserve"> </v>
      </c>
      <c r="AC160" s="14" t="str">
        <f t="shared" si="248"/>
        <v xml:space="preserve"> </v>
      </c>
      <c r="AD160" s="14" t="str">
        <f t="shared" si="249"/>
        <v xml:space="preserve"> </v>
      </c>
      <c r="AE160" s="14" t="str">
        <f t="shared" si="250"/>
        <v xml:space="preserve">spaciousness(1), user rules and manuals(1.1), organizational rules and manuals(1.1),  </v>
      </c>
      <c r="AF160" s="14" t="str">
        <f t="shared" si="251"/>
        <v xml:space="preserve">non-profits(-1,6.25%), efficiency(-1,6.25%),  </v>
      </c>
      <c r="AG160" s="27" t="str">
        <f t="shared" si="518"/>
        <v xml:space="preserve">non-profits(6.25),efficiency(6.25), </v>
      </c>
      <c r="AH160" s="14" t="str">
        <f t="shared" si="253"/>
        <v xml:space="preserve">ease of access(1)
reputation(1)
 </v>
      </c>
      <c r="AI160" s="14" t="str">
        <f t="shared" si="254"/>
        <v xml:space="preserve"> </v>
      </c>
      <c r="AJ160" s="14" t="str">
        <f t="shared" si="255"/>
        <v xml:space="preserve"> </v>
      </c>
      <c r="AK160" s="14" t="str">
        <f t="shared" si="256"/>
        <v xml:space="preserve">spaciousness(1), ease of access(1), reputation(2), user rules and manuals(2.1), organizational rules and manuals(2.1), law(1.1), negotiation(1.1),  </v>
      </c>
      <c r="AL160" s="14" t="str">
        <f t="shared" si="257"/>
        <v xml:space="preserve">non-profits(-1,6.25%), reputation(-1,6.25%),  </v>
      </c>
      <c r="AM160" s="27" t="str">
        <f t="shared" si="518"/>
        <v xml:space="preserve">non-profits(6.25),reputation(6.25), </v>
      </c>
      <c r="AN160" s="14" t="str">
        <f t="shared" si="259"/>
        <v xml:space="preserve"> </v>
      </c>
      <c r="AO160" s="14" t="str">
        <f t="shared" si="260"/>
        <v xml:space="preserve"> </v>
      </c>
      <c r="AP160" s="14" t="str">
        <f t="shared" si="261"/>
        <v xml:space="preserve"> </v>
      </c>
      <c r="AQ160" s="14" t="str">
        <f t="shared" si="262"/>
        <v xml:space="preserve">spaciousness(2.1), reputation(3), organizational rules and manuals(2.1), team building(2.1),  </v>
      </c>
      <c r="AR160" s="14" t="str">
        <f t="shared" si="263"/>
        <v xml:space="preserve">reputation(-1,6.25%), efficiency(-1,6.25%),  </v>
      </c>
      <c r="AS160" s="27" t="str">
        <f t="shared" si="518"/>
        <v xml:space="preserve">reputation(6.25),efficiency(6.25), </v>
      </c>
      <c r="AT160" s="14" t="str">
        <f t="shared" si="265"/>
        <v xml:space="preserve"> </v>
      </c>
      <c r="AU160" s="14" t="str">
        <f t="shared" si="266"/>
        <v xml:space="preserve"> </v>
      </c>
      <c r="AV160" s="14" t="str">
        <f t="shared" si="267"/>
        <v xml:space="preserve"> </v>
      </c>
      <c r="AW160" s="14" t="str">
        <f t="shared" si="268"/>
        <v xml:space="preserve">user rules and manuals(2.1), team building(2.1),  </v>
      </c>
      <c r="AX160" s="14" t="str">
        <f t="shared" si="269"/>
        <v xml:space="preserve"> </v>
      </c>
      <c r="AY160" s="27" t="str">
        <f t="shared" si="518"/>
        <v xml:space="preserve"> </v>
      </c>
      <c r="AZ160" s="14" t="str">
        <f t="shared" si="271"/>
        <v xml:space="preserve"> </v>
      </c>
      <c r="BA160" s="14" t="str">
        <f t="shared" si="272"/>
        <v xml:space="preserve">efficiency(-1,12.5%), user rules and manuals(1,25%),  </v>
      </c>
      <c r="BB160" s="14" t="str">
        <f t="shared" si="273"/>
        <v xml:space="preserve">efficiency(12.5)
user rules and manuals(25)
 </v>
      </c>
      <c r="BC160" s="14" t="str">
        <f t="shared" si="274"/>
        <v xml:space="preserve">user rules and manuals(2.1), organizational rules and manuals(2.1),  </v>
      </c>
      <c r="BD160" s="14" t="str">
        <f t="shared" si="275"/>
        <v xml:space="preserve">reputation(-1,6.25%),  </v>
      </c>
      <c r="BE160" s="27" t="str">
        <f t="shared" si="518"/>
        <v xml:space="preserve">reputation(6.25), </v>
      </c>
      <c r="BF160" s="14" t="str">
        <f t="shared" si="277"/>
        <v xml:space="preserve"> </v>
      </c>
      <c r="BG160" s="14" t="str">
        <f t="shared" si="278"/>
        <v xml:space="preserve">user rules and manuals(1,25%), organizational rules and manuals(1,25%),  </v>
      </c>
      <c r="BH160" s="14" t="str">
        <f t="shared" si="279"/>
        <v xml:space="preserve">user rules and manuals(25)
organizational rules and manuals(25)
 </v>
      </c>
      <c r="BI160" s="14" t="str">
        <f t="shared" si="280"/>
        <v xml:space="preserve"> </v>
      </c>
      <c r="BJ160" s="14" t="str">
        <f t="shared" si="281"/>
        <v xml:space="preserve">reputation(-1,6.25%), efficiency(-1,25%),  </v>
      </c>
      <c r="BK160" s="27" t="str">
        <f t="shared" si="518"/>
        <v xml:space="preserve">reputation(6.25),efficiency(25), </v>
      </c>
      <c r="BL160" s="14" t="str">
        <f t="shared" si="283"/>
        <v xml:space="preserve">ease of access(1)
reputation(1)
aesthetics(1)
 </v>
      </c>
      <c r="BM160" s="14" t="str">
        <f t="shared" si="284"/>
        <v xml:space="preserve">biz enhancement(1,%),  </v>
      </c>
      <c r="BN160" s="14" t="str">
        <f t="shared" si="285"/>
        <v xml:space="preserve"> </v>
      </c>
      <c r="BO160" s="14" t="str">
        <f t="shared" si="286"/>
        <v xml:space="preserve">ease of access(2), reputation(3), efficiency(2), user rules and manuals(1), marketing(1), negotiation(1), aesthetics(2), functions(1), safety(1),  </v>
      </c>
      <c r="BP160" s="14" t="str">
        <f t="shared" si="287"/>
        <v xml:space="preserve"> </v>
      </c>
      <c r="BQ160" s="27" t="str">
        <f t="shared" si="518"/>
        <v xml:space="preserve"> </v>
      </c>
      <c r="BR160" s="14" t="str">
        <f t="shared" si="289"/>
        <v xml:space="preserve">ease of access(1)
reputation(1)
aesthetics(1)
 </v>
      </c>
      <c r="BS160" s="14" t="str">
        <f t="shared" si="290"/>
        <v xml:space="preserve">biz project(1,%),  </v>
      </c>
      <c r="BT160" s="14" t="str">
        <f t="shared" si="291"/>
        <v xml:space="preserve"> </v>
      </c>
      <c r="BU160" s="14" t="str">
        <f t="shared" si="292"/>
        <v xml:space="preserve">ease of access(2), reputation(3), efficiency(2), user rules and manuals(1), marketing(1), negotiation(1), wood processing(1), aesthetics(2),  </v>
      </c>
      <c r="BV160" s="14" t="str">
        <f t="shared" si="293"/>
        <v xml:space="preserve"> </v>
      </c>
      <c r="BW160" s="27" t="str">
        <f t="shared" si="518"/>
        <v xml:space="preserve"> </v>
      </c>
      <c r="BX160" s="14" t="str">
        <f t="shared" si="295"/>
        <v xml:space="preserve">ease of access(1)
reputation(1)
aesthetics(1)
interaction(1)
 </v>
      </c>
      <c r="BY160" s="14" t="str">
        <f t="shared" si="296"/>
        <v xml:space="preserve">biz project(1,%),  </v>
      </c>
      <c r="BZ160" s="14" t="str">
        <f t="shared" si="297"/>
        <v xml:space="preserve"> </v>
      </c>
      <c r="CA160" s="14" t="str">
        <f t="shared" si="298"/>
        <v xml:space="preserve">ease of access(2), reputation(3), efficiency(2), user rules and manuals(1), marketing(1), team building(1), social media(1), negotiation(1), web(2), infrastructrue(2), database(2), security(3), aesthetics(2), functions(1), interaction(2),  </v>
      </c>
      <c r="CB160" s="14" t="str">
        <f t="shared" si="299"/>
        <v xml:space="preserve"> </v>
      </c>
      <c r="CC160" s="27" t="str">
        <f t="shared" si="519"/>
        <v xml:space="preserve"> </v>
      </c>
      <c r="CD160" s="14" t="str">
        <f t="shared" si="301"/>
        <v xml:space="preserve">ease of access(1)
reputation(1)
aesthetics(1)
 </v>
      </c>
      <c r="CE160" s="14" t="str">
        <f t="shared" si="302"/>
        <v xml:space="preserve">biz project(1,%),  </v>
      </c>
      <c r="CF160" s="14" t="str">
        <f t="shared" si="303"/>
        <v xml:space="preserve"> </v>
      </c>
      <c r="CG160" s="14" t="str">
        <f t="shared" si="304"/>
        <v xml:space="preserve">ease of access(2), efficiency(2), user rules and manuals(1), marketing(1), team building(1), negotiation(1), infrastructrue(1), database(2), mobile apps(2), security(3), aesthetics(2), functions(1), interaction(2),  </v>
      </c>
      <c r="CH160" s="14" t="str">
        <f t="shared" si="305"/>
        <v xml:space="preserve"> </v>
      </c>
      <c r="CI160" s="27" t="str">
        <f t="shared" si="519"/>
        <v xml:space="preserve"> </v>
      </c>
      <c r="CJ160" s="14" t="str">
        <f t="shared" si="307"/>
        <v xml:space="preserve">ease of access(1)
reputation(1)
aesthetics(1)
 </v>
      </c>
      <c r="CK160" s="14" t="str">
        <f t="shared" si="308"/>
        <v xml:space="preserve">biz project(1,%),  </v>
      </c>
      <c r="CL160" s="14" t="str">
        <f t="shared" si="309"/>
        <v xml:space="preserve"> </v>
      </c>
      <c r="CM160" s="14" t="str">
        <f t="shared" si="310"/>
        <v xml:space="preserve">ease of access(2), reputation(3), efficiency(2), user rules and manuals(1), marketing(2), team building(1), social media(2), negotiation(1), web(2), infrastructrue(2), database(2), mobile apps(2), security(2), aesthetics(2), functions(1), interaction(2),  </v>
      </c>
      <c r="CN160" s="14" t="str">
        <f t="shared" si="311"/>
        <v xml:space="preserve"> </v>
      </c>
      <c r="CO160" s="27" t="str">
        <f t="shared" si="519"/>
        <v xml:space="preserve"> </v>
      </c>
      <c r="CP160" s="14" t="str">
        <f t="shared" si="313"/>
        <v xml:space="preserve">metal processing(1)
functions(1)
 </v>
      </c>
      <c r="CQ160" s="14" t="str">
        <f t="shared" si="314"/>
        <v xml:space="preserve">biz enhancement(1,50%),  </v>
      </c>
      <c r="CR160" s="14" t="str">
        <f t="shared" si="315"/>
        <v xml:space="preserve">biz enhancement(50)
 </v>
      </c>
      <c r="CS160" s="14" t="str">
        <f t="shared" si="316"/>
        <v xml:space="preserve">ease of access(2), reputation(3), efficiency(2), metal processing(2), electronics(2), aesthetics(2), functions(2), safety(2),  </v>
      </c>
      <c r="CT160" s="14" t="str">
        <f t="shared" si="317"/>
        <v xml:space="preserve">reputation(1,6.25%),  </v>
      </c>
      <c r="CU160" s="27" t="str">
        <f t="shared" si="519"/>
        <v xml:space="preserve">reputation(6.25), </v>
      </c>
      <c r="CV160" s="14" t="str">
        <f t="shared" si="319"/>
        <v xml:space="preserve">non-profits(1)
wood processing(1)
aesthetics(1)
interaction(1)
 </v>
      </c>
      <c r="CW160" s="14" t="str">
        <f t="shared" si="320"/>
        <v xml:space="preserve">non-profits(1,50%), social project(1,50%),  </v>
      </c>
      <c r="CX160" s="14" t="str">
        <f t="shared" si="321"/>
        <v xml:space="preserve">non-profits(50)
social project(50)
 </v>
      </c>
      <c r="CY160" s="14" t="str">
        <f t="shared" si="322"/>
        <v xml:space="preserve">ease of access(2), efficiency(3), sensors(2), wood processing(2), plastic processing(2), electronics(2), aesthetics(2), functions(1), safety(1), interaction(2),  </v>
      </c>
      <c r="CZ160" s="14" t="str">
        <f t="shared" si="323"/>
        <v xml:space="preserve">reputation(1,6.25%), portfolio(1,6.25%),  </v>
      </c>
      <c r="DA160" s="27" t="str">
        <f t="shared" si="519"/>
        <v xml:space="preserve">reputation(6.25),portfolio(6.25), </v>
      </c>
      <c r="DB160" s="14" t="str">
        <f t="shared" si="325"/>
        <v xml:space="preserve">non-profits(1)
aesthetics(1)
interaction(1)
 </v>
      </c>
      <c r="DC160" s="14" t="str">
        <f t="shared" si="326"/>
        <v xml:space="preserve">non-profits(1,50%), social project(1,50%),  </v>
      </c>
      <c r="DD160" s="14" t="str">
        <f t="shared" si="327"/>
        <v xml:space="preserve">non-profits(50)
social project(50)
 </v>
      </c>
      <c r="DE160" s="14" t="str">
        <f t="shared" si="328"/>
        <v xml:space="preserve">ease of access(2), efficiency(3), VR&amp;AR(2),  </v>
      </c>
      <c r="DF160" s="14" t="str">
        <f t="shared" si="329"/>
        <v xml:space="preserve">reputation(1,6.25%), portfolio(1,6.25%),  </v>
      </c>
      <c r="DG160" s="27" t="str">
        <f t="shared" si="519"/>
        <v xml:space="preserve">reputation(6.25),portfolio(6.25), </v>
      </c>
      <c r="DH160" s="14" t="str">
        <f t="shared" si="331"/>
        <v xml:space="preserve">wood processing(1)
aesthetics(1)
safety(1)
 </v>
      </c>
      <c r="DI160" s="14" t="str">
        <f t="shared" si="332"/>
        <v xml:space="preserve">social project(1,100%),  </v>
      </c>
      <c r="DJ160" s="14" t="str">
        <f t="shared" si="333"/>
        <v xml:space="preserve">social project(100)
 </v>
      </c>
      <c r="DK160" s="14" t="str">
        <f t="shared" si="334"/>
        <v xml:space="preserve">non-profits(2), spaciousness(2), ease of access(2), efficiency(2), finance(2), marketing(2), team building(2), project management(2), social media(2), negotiation(2), sensors(1), wood processing(2), metal processing(2), plastic processing(2), electronics(2), fabric(1), aesthetics(1), functions(2), safety(2), interaction(2),  </v>
      </c>
      <c r="DL160" s="14" t="str">
        <f t="shared" si="335"/>
        <v xml:space="preserve">reputation(1,6.25%), portfolio(1,6.25%), team building(1,6.25%),  </v>
      </c>
      <c r="DM160" s="27" t="str">
        <f t="shared" si="519"/>
        <v xml:space="preserve">reputation(6.25),portfolio(6.25),team building(6.25), </v>
      </c>
      <c r="DN160" s="14" t="str">
        <f t="shared" si="337"/>
        <v xml:space="preserve">suppliers(2)
spaciousness(1)
ease of access(2)
reputation(3)
project management(2)
wood processing(1)
plastic processing(1)
electronics(1)
aesthetics(2)
functions(1)
safety(1)
biz project(1)
 </v>
      </c>
      <c r="DO160" s="14" t="str">
        <f t="shared" si="338"/>
        <v xml:space="preserve">reputation(1,25%), portfolio(1,50%),  </v>
      </c>
      <c r="DP160" s="14" t="str">
        <f t="shared" si="339"/>
        <v xml:space="preserve">reputation(25)
portfolio(50)
 </v>
      </c>
      <c r="DQ160" s="14" t="str">
        <f t="shared" si="340"/>
        <v xml:space="preserve">suppliers(3), social media(2), wood processing(2), plastic processing(2), electronics(2), aesthetics(2),  </v>
      </c>
      <c r="DR160" s="14" t="str">
        <f t="shared" si="341"/>
        <v xml:space="preserve">suppliers(1,6.25%), reputation(1,6.25%),  </v>
      </c>
      <c r="DS160" s="27" t="str">
        <f t="shared" si="519"/>
        <v xml:space="preserve">suppliers(6.25),reputation(6.25), </v>
      </c>
      <c r="DT160" s="14" t="str">
        <f t="shared" si="343"/>
        <v xml:space="preserve">reputation(3)
portfolio(2)
 </v>
      </c>
      <c r="DU160" s="14" t="str">
        <f t="shared" si="344"/>
        <v xml:space="preserve">non-profits(1,50%), reputation(1,25%),  </v>
      </c>
      <c r="DV160" s="14" t="str">
        <f t="shared" si="345"/>
        <v xml:space="preserve">non-profits(50)
reputation(25)
 </v>
      </c>
      <c r="DW160" s="14" t="str">
        <f t="shared" si="346"/>
        <v xml:space="preserve">social media(2),  </v>
      </c>
      <c r="DX160" s="14" t="str">
        <f t="shared" si="347"/>
        <v xml:space="preserve">reputation(1,6.25%),  </v>
      </c>
      <c r="DY160" s="27" t="str">
        <f t="shared" si="519"/>
        <v xml:space="preserve">reputation(6.25), </v>
      </c>
      <c r="DZ160" s="14" t="str">
        <f t="shared" si="349"/>
        <v xml:space="preserve"> </v>
      </c>
      <c r="EA160" s="14" t="str">
        <f t="shared" si="350"/>
        <v xml:space="preserve"> </v>
      </c>
      <c r="EB160" s="14" t="str">
        <f t="shared" si="351"/>
        <v xml:space="preserve"> </v>
      </c>
      <c r="EC160" s="14" t="str">
        <f t="shared" si="352"/>
        <v xml:space="preserve"> </v>
      </c>
      <c r="ED160" s="14" t="str">
        <f t="shared" si="353"/>
        <v xml:space="preserve"> </v>
      </c>
      <c r="EE160" s="27" t="str">
        <f t="shared" si="519"/>
        <v xml:space="preserve"> </v>
      </c>
      <c r="EF160" s="14" t="str">
        <f t="shared" si="355"/>
        <v xml:space="preserve"> </v>
      </c>
      <c r="EG160" s="14" t="str">
        <f t="shared" si="356"/>
        <v xml:space="preserve"> </v>
      </c>
      <c r="EH160" s="14" t="str">
        <f t="shared" si="357"/>
        <v xml:space="preserve"> </v>
      </c>
      <c r="EI160" s="14" t="str">
        <f t="shared" si="358"/>
        <v xml:space="preserve"> </v>
      </c>
      <c r="EJ160" s="14" t="str">
        <f t="shared" si="359"/>
        <v xml:space="preserve"> </v>
      </c>
      <c r="EK160" s="27" t="str">
        <f t="shared" si="519"/>
        <v xml:space="preserve"> </v>
      </c>
      <c r="EL160" s="14" t="str">
        <f t="shared" si="361"/>
        <v xml:space="preserve"> </v>
      </c>
      <c r="EM160" s="14" t="str">
        <f t="shared" si="362"/>
        <v xml:space="preserve"> </v>
      </c>
      <c r="EN160" s="14" t="str">
        <f t="shared" si="363"/>
        <v xml:space="preserve"> </v>
      </c>
      <c r="EO160" s="14" t="str">
        <f t="shared" si="364"/>
        <v xml:space="preserve"> </v>
      </c>
      <c r="EP160" s="14" t="str">
        <f t="shared" si="365"/>
        <v xml:space="preserve"> </v>
      </c>
      <c r="EQ160" s="27" t="str">
        <f t="shared" si="520"/>
        <v xml:space="preserve"> </v>
      </c>
      <c r="ER160" s="14" t="str">
        <f t="shared" si="367"/>
        <v xml:space="preserve"> </v>
      </c>
      <c r="ES160" s="14" t="str">
        <f t="shared" si="368"/>
        <v xml:space="preserve"> </v>
      </c>
      <c r="ET160" s="14" t="str">
        <f t="shared" si="369"/>
        <v xml:space="preserve"> </v>
      </c>
      <c r="EU160" s="14" t="str">
        <f t="shared" si="370"/>
        <v xml:space="preserve"> </v>
      </c>
      <c r="EV160" s="14" t="str">
        <f t="shared" si="371"/>
        <v xml:space="preserve"> </v>
      </c>
      <c r="EW160" s="27" t="str">
        <f t="shared" si="520"/>
        <v xml:space="preserve"> </v>
      </c>
      <c r="EX160" s="14" t="str">
        <f t="shared" si="373"/>
        <v xml:space="preserve"> </v>
      </c>
      <c r="EY160" s="14" t="str">
        <f t="shared" si="374"/>
        <v xml:space="preserve"> </v>
      </c>
      <c r="EZ160" s="14" t="str">
        <f t="shared" si="375"/>
        <v xml:space="preserve"> </v>
      </c>
      <c r="FA160" s="14" t="str">
        <f t="shared" si="376"/>
        <v xml:space="preserve"> </v>
      </c>
      <c r="FB160" s="14" t="str">
        <f t="shared" si="377"/>
        <v xml:space="preserve"> </v>
      </c>
      <c r="FC160" s="27" t="str">
        <f t="shared" si="520"/>
        <v xml:space="preserve"> </v>
      </c>
      <c r="FD160" s="14" t="str">
        <f t="shared" si="379"/>
        <v xml:space="preserve"> </v>
      </c>
      <c r="FE160" s="14" t="str">
        <f t="shared" si="380"/>
        <v xml:space="preserve"> </v>
      </c>
      <c r="FF160" s="14" t="str">
        <f t="shared" si="381"/>
        <v xml:space="preserve"> </v>
      </c>
      <c r="FG160" s="14" t="str">
        <f t="shared" si="382"/>
        <v xml:space="preserve"> </v>
      </c>
      <c r="FH160" s="14" t="str">
        <f t="shared" si="383"/>
        <v xml:space="preserve"> </v>
      </c>
      <c r="FI160" s="27" t="str">
        <f t="shared" si="520"/>
        <v xml:space="preserve"> </v>
      </c>
      <c r="FJ160" s="14" t="str">
        <f t="shared" si="385"/>
        <v xml:space="preserve"> </v>
      </c>
      <c r="FK160" s="14" t="str">
        <f t="shared" si="386"/>
        <v xml:space="preserve"> </v>
      </c>
      <c r="FL160" s="14" t="str">
        <f t="shared" si="387"/>
        <v xml:space="preserve"> </v>
      </c>
      <c r="FM160" s="14" t="str">
        <f t="shared" si="388"/>
        <v xml:space="preserve"> </v>
      </c>
      <c r="FN160" s="14" t="str">
        <f t="shared" si="389"/>
        <v xml:space="preserve"> </v>
      </c>
      <c r="FO160" s="27" t="str">
        <f t="shared" si="520"/>
        <v xml:space="preserve"> </v>
      </c>
      <c r="FP160" s="14" t="str">
        <f t="shared" si="391"/>
        <v xml:space="preserve"> </v>
      </c>
      <c r="FQ160" s="14" t="str">
        <f t="shared" si="392"/>
        <v xml:space="preserve"> </v>
      </c>
      <c r="FR160" s="14" t="str">
        <f t="shared" si="393"/>
        <v xml:space="preserve"> </v>
      </c>
      <c r="FS160" s="14" t="str">
        <f t="shared" si="394"/>
        <v xml:space="preserve"> </v>
      </c>
      <c r="FT160" s="14" t="str">
        <f t="shared" si="395"/>
        <v xml:space="preserve"> </v>
      </c>
      <c r="FU160" s="27" t="str">
        <f t="shared" si="520"/>
        <v xml:space="preserve"> </v>
      </c>
      <c r="FV160" s="14" t="str">
        <f t="shared" si="397"/>
        <v xml:space="preserve"> </v>
      </c>
      <c r="FW160" s="14" t="str">
        <f t="shared" si="398"/>
        <v xml:space="preserve"> </v>
      </c>
      <c r="FX160" s="14" t="str">
        <f t="shared" si="399"/>
        <v xml:space="preserve"> </v>
      </c>
      <c r="FY160" s="14" t="str">
        <f t="shared" si="400"/>
        <v xml:space="preserve"> </v>
      </c>
      <c r="FZ160" s="14" t="str">
        <f t="shared" si="401"/>
        <v xml:space="preserve"> </v>
      </c>
      <c r="GA160" s="27" t="str">
        <f t="shared" si="520"/>
        <v xml:space="preserve"> </v>
      </c>
      <c r="GB160" s="14" t="str">
        <f t="shared" si="403"/>
        <v xml:space="preserve"> </v>
      </c>
      <c r="GC160" s="14" t="str">
        <f t="shared" si="404"/>
        <v xml:space="preserve"> </v>
      </c>
      <c r="GD160" s="14" t="str">
        <f t="shared" si="405"/>
        <v xml:space="preserve"> </v>
      </c>
      <c r="GE160" s="14" t="str">
        <f t="shared" si="406"/>
        <v xml:space="preserve"> </v>
      </c>
      <c r="GF160" s="14" t="str">
        <f t="shared" si="407"/>
        <v xml:space="preserve"> </v>
      </c>
      <c r="GG160" s="27" t="str">
        <f t="shared" si="520"/>
        <v xml:space="preserve"> </v>
      </c>
      <c r="GH160" s="14" t="str">
        <f t="shared" si="409"/>
        <v xml:space="preserve"> </v>
      </c>
      <c r="GI160" s="14" t="str">
        <f t="shared" si="410"/>
        <v xml:space="preserve"> </v>
      </c>
      <c r="GJ160" s="14" t="str">
        <f t="shared" si="411"/>
        <v xml:space="preserve"> </v>
      </c>
      <c r="GK160" s="14" t="str">
        <f t="shared" si="412"/>
        <v xml:space="preserve"> </v>
      </c>
      <c r="GL160" s="14" t="str">
        <f t="shared" si="413"/>
        <v xml:space="preserve"> </v>
      </c>
      <c r="GM160" s="27" t="str">
        <f t="shared" si="520"/>
        <v xml:space="preserve"> </v>
      </c>
      <c r="GN160" s="14" t="str">
        <f t="shared" si="415"/>
        <v xml:space="preserve"> </v>
      </c>
      <c r="GO160" s="14" t="str">
        <f t="shared" si="416"/>
        <v xml:space="preserve"> </v>
      </c>
      <c r="GP160" s="14" t="str">
        <f t="shared" si="417"/>
        <v xml:space="preserve"> </v>
      </c>
      <c r="GQ160" s="14" t="str">
        <f t="shared" si="418"/>
        <v xml:space="preserve"> </v>
      </c>
      <c r="GR160" s="14" t="str">
        <f t="shared" si="419"/>
        <v xml:space="preserve"> </v>
      </c>
      <c r="GS160" s="27" t="str">
        <f t="shared" si="520"/>
        <v xml:space="preserve"> </v>
      </c>
      <c r="GT160" s="14" t="str">
        <f t="shared" si="421"/>
        <v xml:space="preserve"> </v>
      </c>
      <c r="GU160" s="14" t="str">
        <f t="shared" si="422"/>
        <v xml:space="preserve"> </v>
      </c>
      <c r="GV160" s="14" t="str">
        <f t="shared" si="423"/>
        <v xml:space="preserve"> </v>
      </c>
      <c r="GW160" s="14" t="str">
        <f t="shared" si="424"/>
        <v xml:space="preserve"> </v>
      </c>
      <c r="GX160" s="14" t="str">
        <f t="shared" si="425"/>
        <v xml:space="preserve"> </v>
      </c>
      <c r="GY160" s="27" t="str">
        <f t="shared" si="520"/>
        <v xml:space="preserve"> </v>
      </c>
      <c r="GZ160" s="14" t="str">
        <f t="shared" si="427"/>
        <v xml:space="preserve"> </v>
      </c>
      <c r="HA160" s="14" t="str">
        <f t="shared" si="428"/>
        <v xml:space="preserve"> </v>
      </c>
      <c r="HB160" s="14" t="str">
        <f t="shared" si="429"/>
        <v xml:space="preserve"> </v>
      </c>
      <c r="HC160" s="14" t="str">
        <f t="shared" si="430"/>
        <v xml:space="preserve"> </v>
      </c>
      <c r="HD160" s="14" t="str">
        <f t="shared" si="431"/>
        <v xml:space="preserve"> </v>
      </c>
      <c r="HE160" s="27" t="str">
        <f t="shared" si="521"/>
        <v xml:space="preserve"> </v>
      </c>
      <c r="HF160" s="14" t="str">
        <f t="shared" si="433"/>
        <v xml:space="preserve"> </v>
      </c>
      <c r="HG160" s="14" t="str">
        <f t="shared" si="434"/>
        <v xml:space="preserve"> </v>
      </c>
      <c r="HH160" s="14" t="str">
        <f t="shared" si="435"/>
        <v xml:space="preserve"> </v>
      </c>
      <c r="HI160" s="14" t="str">
        <f t="shared" si="436"/>
        <v xml:space="preserve"> </v>
      </c>
      <c r="HJ160" s="14" t="str">
        <f t="shared" si="437"/>
        <v xml:space="preserve"> </v>
      </c>
      <c r="HK160" s="27" t="str">
        <f t="shared" si="521"/>
        <v xml:space="preserve"> </v>
      </c>
      <c r="HL160" s="14" t="str">
        <f t="shared" si="439"/>
        <v xml:space="preserve"> </v>
      </c>
      <c r="HM160" s="14" t="str">
        <f t="shared" si="440"/>
        <v xml:space="preserve"> </v>
      </c>
      <c r="HN160" s="14" t="str">
        <f t="shared" si="441"/>
        <v xml:space="preserve"> </v>
      </c>
      <c r="HO160" s="14" t="str">
        <f t="shared" si="442"/>
        <v xml:space="preserve"> </v>
      </c>
      <c r="HP160" s="14" t="str">
        <f t="shared" si="443"/>
        <v xml:space="preserve"> </v>
      </c>
      <c r="HQ160" s="27" t="str">
        <f t="shared" si="521"/>
        <v xml:space="preserve"> </v>
      </c>
    </row>
    <row r="161" spans="1:225" ht="15.75" customHeight="1">
      <c r="A161" s="7">
        <f t="shared" ref="A161:C161" si="552">A53</f>
        <v>0</v>
      </c>
      <c r="B161" s="7">
        <f t="shared" si="552"/>
        <v>0</v>
      </c>
      <c r="C161" s="7" t="str">
        <f t="shared" si="552"/>
        <v>technologists</v>
      </c>
      <c r="D161" s="14" t="str">
        <f t="shared" si="446"/>
        <v xml:space="preserve"> </v>
      </c>
      <c r="E161" s="14" t="str">
        <f t="shared" si="447"/>
        <v xml:space="preserve"> </v>
      </c>
      <c r="F161" s="14" t="str">
        <f t="shared" si="448"/>
        <v xml:space="preserve"> </v>
      </c>
      <c r="G161" s="14" t="str">
        <f t="shared" si="449"/>
        <v xml:space="preserve">efficiency(1), user rules and manuals(2.1), organizational rules and manuals(2.1),  </v>
      </c>
      <c r="H161" s="14" t="str">
        <f t="shared" si="450"/>
        <v xml:space="preserve">efficiency(-1,6.25%),  </v>
      </c>
      <c r="I161" s="27" t="str">
        <f t="shared" ref="I161" si="553">IF(I53="",I162,$C161&amp;"("&amp;I53&amp;"),"&amp;I162)</f>
        <v xml:space="preserve">efficiency(6.25), </v>
      </c>
      <c r="J161" s="14" t="str">
        <f t="shared" si="229"/>
        <v xml:space="preserve"> </v>
      </c>
      <c r="K161" s="14" t="str">
        <f t="shared" si="230"/>
        <v xml:space="preserve"> </v>
      </c>
      <c r="L161" s="14" t="str">
        <f t="shared" si="231"/>
        <v xml:space="preserve"> </v>
      </c>
      <c r="M161" s="14" t="str">
        <f t="shared" si="232"/>
        <v xml:space="preserve">efficiency(0.1), organizational rules and manuals(1.1),  </v>
      </c>
      <c r="N161" s="14" t="str">
        <f t="shared" si="233"/>
        <v xml:space="preserve"> </v>
      </c>
      <c r="O161" s="27" t="str">
        <f t="shared" ref="O161:BW176" si="554">IF(O53="",O162,$C161&amp;"("&amp;O53&amp;"),"&amp;O162)</f>
        <v xml:space="preserve"> </v>
      </c>
      <c r="P161" s="14" t="str">
        <f t="shared" si="235"/>
        <v xml:space="preserve"> </v>
      </c>
      <c r="Q161" s="14" t="str">
        <f t="shared" si="236"/>
        <v xml:space="preserve"> </v>
      </c>
      <c r="R161" s="14" t="str">
        <f t="shared" si="237"/>
        <v xml:space="preserve"> </v>
      </c>
      <c r="S161" s="14" t="str">
        <f t="shared" si="238"/>
        <v xml:space="preserve">team building(0.1),  </v>
      </c>
      <c r="T161" s="14" t="str">
        <f t="shared" si="239"/>
        <v xml:space="preserve">business model(-1,6.25%), web(-1,6.25%), mobile apps(-1,6.25%), aesthetics(-1,6.25%),  </v>
      </c>
      <c r="U161" s="27" t="str">
        <f t="shared" si="554"/>
        <v xml:space="preserve">business model(6.25),web(6.25),mobile apps(6.25),aesthetics(6.25), </v>
      </c>
      <c r="V161" s="14" t="str">
        <f t="shared" si="241"/>
        <v xml:space="preserve"> </v>
      </c>
      <c r="W161" s="14" t="str">
        <f t="shared" si="242"/>
        <v xml:space="preserve">efficiency(-1,25%),  </v>
      </c>
      <c r="X161" s="14" t="str">
        <f t="shared" si="243"/>
        <v xml:space="preserve">efficiency(25)
 </v>
      </c>
      <c r="Y161" s="14" t="str">
        <f t="shared" si="244"/>
        <v xml:space="preserve">spaciousness(1), ease of access(3), reputation(2), user rules and manuals(0.1), project management(0.1), negotiation(0.1),  </v>
      </c>
      <c r="Z161" s="14" t="str">
        <f t="shared" si="245"/>
        <v xml:space="preserve">reputation(-1,%),  </v>
      </c>
      <c r="AA161" s="27" t="str">
        <f t="shared" si="554"/>
        <v xml:space="preserve"> </v>
      </c>
      <c r="AB161" s="14" t="str">
        <f t="shared" si="247"/>
        <v xml:space="preserve"> </v>
      </c>
      <c r="AC161" s="14" t="str">
        <f t="shared" si="248"/>
        <v xml:space="preserve"> </v>
      </c>
      <c r="AD161" s="14" t="str">
        <f t="shared" si="249"/>
        <v xml:space="preserve"> </v>
      </c>
      <c r="AE161" s="14" t="str">
        <f t="shared" si="250"/>
        <v xml:space="preserve">spaciousness(1), user rules and manuals(1.1), organizational rules and manuals(1.1),  </v>
      </c>
      <c r="AF161" s="14" t="str">
        <f t="shared" si="251"/>
        <v xml:space="preserve">non-profits(-1,6.25%), efficiency(-1,6.25%),  </v>
      </c>
      <c r="AG161" s="27" t="str">
        <f t="shared" si="554"/>
        <v xml:space="preserve">non-profits(6.25),efficiency(6.25), </v>
      </c>
      <c r="AH161" s="14" t="str">
        <f t="shared" si="253"/>
        <v xml:space="preserve">ease of access(1)
reputation(1)
 </v>
      </c>
      <c r="AI161" s="14" t="str">
        <f t="shared" si="254"/>
        <v xml:space="preserve"> </v>
      </c>
      <c r="AJ161" s="14" t="str">
        <f t="shared" si="255"/>
        <v xml:space="preserve"> </v>
      </c>
      <c r="AK161" s="14" t="str">
        <f t="shared" si="256"/>
        <v xml:space="preserve">spaciousness(1), ease of access(1), reputation(2), user rules and manuals(2.1), organizational rules and manuals(2.1), law(1.1), negotiation(1.1),  </v>
      </c>
      <c r="AL161" s="14" t="str">
        <f t="shared" si="257"/>
        <v xml:space="preserve">non-profits(-1,6.25%), reputation(-1,6.25%),  </v>
      </c>
      <c r="AM161" s="27" t="str">
        <f t="shared" si="554"/>
        <v xml:space="preserve">non-profits(6.25),reputation(6.25), </v>
      </c>
      <c r="AN161" s="14" t="str">
        <f t="shared" si="259"/>
        <v xml:space="preserve"> </v>
      </c>
      <c r="AO161" s="14" t="str">
        <f t="shared" si="260"/>
        <v xml:space="preserve"> </v>
      </c>
      <c r="AP161" s="14" t="str">
        <f t="shared" si="261"/>
        <v xml:space="preserve"> </v>
      </c>
      <c r="AQ161" s="14" t="str">
        <f t="shared" si="262"/>
        <v xml:space="preserve">spaciousness(2.1), reputation(3), organizational rules and manuals(2.1), team building(2.1),  </v>
      </c>
      <c r="AR161" s="14" t="str">
        <f t="shared" si="263"/>
        <v xml:space="preserve">reputation(-1,6.25%), efficiency(-1,6.25%),  </v>
      </c>
      <c r="AS161" s="27" t="str">
        <f t="shared" si="554"/>
        <v xml:space="preserve">reputation(6.25),efficiency(6.25), </v>
      </c>
      <c r="AT161" s="14" t="str">
        <f t="shared" si="265"/>
        <v xml:space="preserve"> </v>
      </c>
      <c r="AU161" s="14" t="str">
        <f t="shared" si="266"/>
        <v xml:space="preserve"> </v>
      </c>
      <c r="AV161" s="14" t="str">
        <f t="shared" si="267"/>
        <v xml:space="preserve"> </v>
      </c>
      <c r="AW161" s="14" t="str">
        <f t="shared" si="268"/>
        <v xml:space="preserve">user rules and manuals(2.1), team building(2.1),  </v>
      </c>
      <c r="AX161" s="14" t="str">
        <f t="shared" si="269"/>
        <v xml:space="preserve"> </v>
      </c>
      <c r="AY161" s="27" t="str">
        <f t="shared" si="554"/>
        <v xml:space="preserve"> </v>
      </c>
      <c r="AZ161" s="14" t="str">
        <f t="shared" si="271"/>
        <v xml:space="preserve"> </v>
      </c>
      <c r="BA161" s="14" t="str">
        <f t="shared" si="272"/>
        <v xml:space="preserve">efficiency(-1,12.5%), user rules and manuals(1,25%),  </v>
      </c>
      <c r="BB161" s="14" t="str">
        <f t="shared" si="273"/>
        <v xml:space="preserve">efficiency(12.5)
user rules and manuals(25)
 </v>
      </c>
      <c r="BC161" s="14" t="str">
        <f t="shared" si="274"/>
        <v xml:space="preserve">user rules and manuals(2.1), organizational rules and manuals(2.1),  </v>
      </c>
      <c r="BD161" s="14" t="str">
        <f t="shared" si="275"/>
        <v xml:space="preserve">reputation(-1,6.25%),  </v>
      </c>
      <c r="BE161" s="27" t="str">
        <f t="shared" si="554"/>
        <v xml:space="preserve">reputation(6.25), </v>
      </c>
      <c r="BF161" s="14" t="str">
        <f t="shared" si="277"/>
        <v xml:space="preserve"> </v>
      </c>
      <c r="BG161" s="14" t="str">
        <f t="shared" si="278"/>
        <v xml:space="preserve">user rules and manuals(1,25%), organizational rules and manuals(1,25%),  </v>
      </c>
      <c r="BH161" s="14" t="str">
        <f t="shared" si="279"/>
        <v xml:space="preserve">user rules and manuals(25)
organizational rules and manuals(25)
 </v>
      </c>
      <c r="BI161" s="14" t="str">
        <f t="shared" si="280"/>
        <v xml:space="preserve"> </v>
      </c>
      <c r="BJ161" s="14" t="str">
        <f t="shared" si="281"/>
        <v xml:space="preserve">reputation(-1,6.25%), efficiency(-1,25%),  </v>
      </c>
      <c r="BK161" s="27" t="str">
        <f t="shared" si="554"/>
        <v xml:space="preserve">reputation(6.25),efficiency(25), </v>
      </c>
      <c r="BL161" s="14" t="str">
        <f t="shared" si="283"/>
        <v xml:space="preserve">ease of access(1)
reputation(1)
aesthetics(1)
 </v>
      </c>
      <c r="BM161" s="14" t="str">
        <f t="shared" si="284"/>
        <v xml:space="preserve">biz enhancement(1,%),  </v>
      </c>
      <c r="BN161" s="14" t="str">
        <f t="shared" si="285"/>
        <v xml:space="preserve"> </v>
      </c>
      <c r="BO161" s="14" t="str">
        <f t="shared" si="286"/>
        <v xml:space="preserve">ease of access(2), reputation(3), efficiency(2), user rules and manuals(1), marketing(1), negotiation(1), aesthetics(2), functions(1), safety(1),  </v>
      </c>
      <c r="BP161" s="14" t="str">
        <f t="shared" si="287"/>
        <v xml:space="preserve"> </v>
      </c>
      <c r="BQ161" s="27" t="str">
        <f t="shared" si="554"/>
        <v xml:space="preserve"> </v>
      </c>
      <c r="BR161" s="14" t="str">
        <f t="shared" si="289"/>
        <v xml:space="preserve">ease of access(1)
reputation(1)
aesthetics(1)
 </v>
      </c>
      <c r="BS161" s="14" t="str">
        <f t="shared" si="290"/>
        <v xml:space="preserve">biz project(1,%),  </v>
      </c>
      <c r="BT161" s="14" t="str">
        <f t="shared" si="291"/>
        <v xml:space="preserve"> </v>
      </c>
      <c r="BU161" s="14" t="str">
        <f t="shared" si="292"/>
        <v xml:space="preserve">ease of access(2), reputation(3), efficiency(2), user rules and manuals(1), marketing(1), negotiation(1), wood processing(1), aesthetics(2),  </v>
      </c>
      <c r="BV161" s="14" t="str">
        <f t="shared" si="293"/>
        <v xml:space="preserve"> </v>
      </c>
      <c r="BW161" s="27" t="str">
        <f t="shared" si="554"/>
        <v xml:space="preserve"> </v>
      </c>
      <c r="BX161" s="14" t="str">
        <f t="shared" si="295"/>
        <v xml:space="preserve">ease of access(1)
reputation(1)
aesthetics(1)
interaction(1)
 </v>
      </c>
      <c r="BY161" s="14" t="str">
        <f t="shared" si="296"/>
        <v xml:space="preserve">biz project(1,%),  </v>
      </c>
      <c r="BZ161" s="14" t="str">
        <f t="shared" si="297"/>
        <v xml:space="preserve"> </v>
      </c>
      <c r="CA161" s="14" t="str">
        <f t="shared" si="298"/>
        <v xml:space="preserve">ease of access(2), reputation(3), efficiency(2), user rules and manuals(1), marketing(1), team building(1), social media(1), negotiation(1), web(2), infrastructrue(2), database(2), security(3), aesthetics(2), functions(1), interaction(2),  </v>
      </c>
      <c r="CB161" s="14" t="str">
        <f t="shared" si="299"/>
        <v xml:space="preserve"> </v>
      </c>
      <c r="CC161" s="27" t="str">
        <f t="shared" ref="CC161:EK176" si="555">IF(CC53="",CC162,$C161&amp;"("&amp;CC53&amp;"),"&amp;CC162)</f>
        <v xml:space="preserve"> </v>
      </c>
      <c r="CD161" s="14" t="str">
        <f t="shared" si="301"/>
        <v xml:space="preserve">ease of access(1)
reputation(1)
aesthetics(1)
 </v>
      </c>
      <c r="CE161" s="14" t="str">
        <f t="shared" si="302"/>
        <v xml:space="preserve">biz project(1,%),  </v>
      </c>
      <c r="CF161" s="14" t="str">
        <f t="shared" si="303"/>
        <v xml:space="preserve"> </v>
      </c>
      <c r="CG161" s="14" t="str">
        <f t="shared" si="304"/>
        <v xml:space="preserve">ease of access(2), efficiency(2), user rules and manuals(1), marketing(1), team building(1), negotiation(1), infrastructrue(1), database(2), mobile apps(2), security(3), aesthetics(2), functions(1), interaction(2),  </v>
      </c>
      <c r="CH161" s="14" t="str">
        <f t="shared" si="305"/>
        <v xml:space="preserve"> </v>
      </c>
      <c r="CI161" s="27" t="str">
        <f t="shared" si="555"/>
        <v xml:space="preserve"> </v>
      </c>
      <c r="CJ161" s="14" t="str">
        <f t="shared" si="307"/>
        <v xml:space="preserve">ease of access(1)
reputation(1)
aesthetics(1)
 </v>
      </c>
      <c r="CK161" s="14" t="str">
        <f t="shared" si="308"/>
        <v xml:space="preserve">biz project(1,%),  </v>
      </c>
      <c r="CL161" s="14" t="str">
        <f t="shared" si="309"/>
        <v xml:space="preserve"> </v>
      </c>
      <c r="CM161" s="14" t="str">
        <f t="shared" si="310"/>
        <v xml:space="preserve">ease of access(2), reputation(3), efficiency(2), user rules and manuals(1), marketing(2), team building(1), social media(2), negotiation(1), web(2), infrastructrue(2), database(2), mobile apps(2), security(2), aesthetics(2), functions(1), interaction(2),  </v>
      </c>
      <c r="CN161" s="14" t="str">
        <f t="shared" si="311"/>
        <v xml:space="preserve"> </v>
      </c>
      <c r="CO161" s="27" t="str">
        <f t="shared" si="555"/>
        <v xml:space="preserve"> </v>
      </c>
      <c r="CP161" s="14" t="str">
        <f t="shared" si="313"/>
        <v xml:space="preserve">metal processing(1)
functions(1)
 </v>
      </c>
      <c r="CQ161" s="14" t="str">
        <f t="shared" si="314"/>
        <v xml:space="preserve">biz enhancement(1,50%),  </v>
      </c>
      <c r="CR161" s="14" t="str">
        <f t="shared" si="315"/>
        <v xml:space="preserve">biz enhancement(50)
 </v>
      </c>
      <c r="CS161" s="14" t="str">
        <f t="shared" si="316"/>
        <v xml:space="preserve">ease of access(2), reputation(3), efficiency(2), metal processing(2), electronics(2), aesthetics(2), functions(2), safety(2),  </v>
      </c>
      <c r="CT161" s="14" t="str">
        <f t="shared" si="317"/>
        <v xml:space="preserve">reputation(1,6.25%),  </v>
      </c>
      <c r="CU161" s="27" t="str">
        <f t="shared" si="555"/>
        <v xml:space="preserve">reputation(6.25), </v>
      </c>
      <c r="CV161" s="14" t="str">
        <f t="shared" si="319"/>
        <v xml:space="preserve">non-profits(1)
wood processing(1)
aesthetics(1)
interaction(1)
 </v>
      </c>
      <c r="CW161" s="14" t="str">
        <f t="shared" si="320"/>
        <v xml:space="preserve">non-profits(1,50%), social project(1,50%),  </v>
      </c>
      <c r="CX161" s="14" t="str">
        <f t="shared" si="321"/>
        <v xml:space="preserve">non-profits(50)
social project(50)
 </v>
      </c>
      <c r="CY161" s="14" t="str">
        <f t="shared" si="322"/>
        <v xml:space="preserve">ease of access(2), efficiency(3), sensors(2), wood processing(2), plastic processing(2), electronics(2), aesthetics(2), functions(1), safety(1), interaction(2),  </v>
      </c>
      <c r="CZ161" s="14" t="str">
        <f t="shared" si="323"/>
        <v xml:space="preserve">reputation(1,6.25%), portfolio(1,6.25%),  </v>
      </c>
      <c r="DA161" s="27" t="str">
        <f t="shared" si="555"/>
        <v xml:space="preserve">reputation(6.25),portfolio(6.25), </v>
      </c>
      <c r="DB161" s="14" t="str">
        <f t="shared" si="325"/>
        <v xml:space="preserve">non-profits(1)
aesthetics(1)
interaction(1)
 </v>
      </c>
      <c r="DC161" s="14" t="str">
        <f t="shared" si="326"/>
        <v xml:space="preserve">non-profits(1,50%), social project(1,50%),  </v>
      </c>
      <c r="DD161" s="14" t="str">
        <f t="shared" si="327"/>
        <v xml:space="preserve">non-profits(50)
social project(50)
 </v>
      </c>
      <c r="DE161" s="14" t="str">
        <f t="shared" si="328"/>
        <v xml:space="preserve">ease of access(2), efficiency(3), VR&amp;AR(2),  </v>
      </c>
      <c r="DF161" s="14" t="str">
        <f t="shared" si="329"/>
        <v xml:space="preserve">reputation(1,6.25%), portfolio(1,6.25%),  </v>
      </c>
      <c r="DG161" s="27" t="str">
        <f t="shared" si="555"/>
        <v xml:space="preserve">reputation(6.25),portfolio(6.25), </v>
      </c>
      <c r="DH161" s="14" t="str">
        <f t="shared" si="331"/>
        <v xml:space="preserve">wood processing(1)
aesthetics(1)
safety(1)
 </v>
      </c>
      <c r="DI161" s="14" t="str">
        <f t="shared" si="332"/>
        <v xml:space="preserve">social project(1,100%),  </v>
      </c>
      <c r="DJ161" s="14" t="str">
        <f t="shared" si="333"/>
        <v xml:space="preserve">social project(100)
 </v>
      </c>
      <c r="DK161" s="14" t="str">
        <f t="shared" si="334"/>
        <v xml:space="preserve">non-profits(2), spaciousness(2), ease of access(2), efficiency(2), finance(2), marketing(2), team building(2), project management(2), social media(2), negotiation(2), sensors(1), wood processing(2), metal processing(2), plastic processing(2), electronics(2), fabric(1), aesthetics(1), functions(2), safety(2), interaction(2),  </v>
      </c>
      <c r="DL161" s="14" t="str">
        <f t="shared" si="335"/>
        <v xml:space="preserve">reputation(1,6.25%), portfolio(1,6.25%), team building(1,6.25%),  </v>
      </c>
      <c r="DM161" s="27" t="str">
        <f t="shared" si="555"/>
        <v xml:space="preserve">reputation(6.25),portfolio(6.25),team building(6.25), </v>
      </c>
      <c r="DN161" s="14" t="str">
        <f t="shared" si="337"/>
        <v xml:space="preserve">suppliers(2)
spaciousness(1)
ease of access(2)
reputation(3)
project management(2)
wood processing(1)
plastic processing(1)
electronics(1)
aesthetics(2)
functions(1)
safety(1)
biz project(1)
 </v>
      </c>
      <c r="DO161" s="14" t="str">
        <f t="shared" si="338"/>
        <v xml:space="preserve">reputation(1,25%), portfolio(1,50%),  </v>
      </c>
      <c r="DP161" s="14" t="str">
        <f t="shared" si="339"/>
        <v xml:space="preserve">reputation(25)
portfolio(50)
 </v>
      </c>
      <c r="DQ161" s="14" t="str">
        <f t="shared" si="340"/>
        <v xml:space="preserve">suppliers(3), social media(2), wood processing(2), plastic processing(2), electronics(2), aesthetics(2),  </v>
      </c>
      <c r="DR161" s="14" t="str">
        <f t="shared" si="341"/>
        <v xml:space="preserve">suppliers(1,6.25%), reputation(1,6.25%),  </v>
      </c>
      <c r="DS161" s="27" t="str">
        <f t="shared" si="555"/>
        <v xml:space="preserve">suppliers(6.25),reputation(6.25), </v>
      </c>
      <c r="DT161" s="14" t="str">
        <f t="shared" si="343"/>
        <v xml:space="preserve">reputation(3)
portfolio(2)
 </v>
      </c>
      <c r="DU161" s="14" t="str">
        <f t="shared" si="344"/>
        <v xml:space="preserve">non-profits(1,50%), reputation(1,25%),  </v>
      </c>
      <c r="DV161" s="14" t="str">
        <f t="shared" si="345"/>
        <v xml:space="preserve">non-profits(50)
reputation(25)
 </v>
      </c>
      <c r="DW161" s="14" t="str">
        <f t="shared" si="346"/>
        <v xml:space="preserve">social media(2),  </v>
      </c>
      <c r="DX161" s="14" t="str">
        <f t="shared" si="347"/>
        <v xml:space="preserve">reputation(1,6.25%),  </v>
      </c>
      <c r="DY161" s="27" t="str">
        <f t="shared" si="555"/>
        <v xml:space="preserve">reputation(6.25), </v>
      </c>
      <c r="DZ161" s="14" t="str">
        <f t="shared" si="349"/>
        <v xml:space="preserve"> </v>
      </c>
      <c r="EA161" s="14" t="str">
        <f t="shared" si="350"/>
        <v xml:space="preserve"> </v>
      </c>
      <c r="EB161" s="14" t="str">
        <f t="shared" si="351"/>
        <v xml:space="preserve"> </v>
      </c>
      <c r="EC161" s="14" t="str">
        <f t="shared" si="352"/>
        <v xml:space="preserve"> </v>
      </c>
      <c r="ED161" s="14" t="str">
        <f t="shared" si="353"/>
        <v xml:space="preserve"> </v>
      </c>
      <c r="EE161" s="27" t="str">
        <f t="shared" si="555"/>
        <v xml:space="preserve"> </v>
      </c>
      <c r="EF161" s="14" t="str">
        <f t="shared" si="355"/>
        <v xml:space="preserve"> </v>
      </c>
      <c r="EG161" s="14" t="str">
        <f t="shared" si="356"/>
        <v xml:space="preserve"> </v>
      </c>
      <c r="EH161" s="14" t="str">
        <f t="shared" si="357"/>
        <v xml:space="preserve"> </v>
      </c>
      <c r="EI161" s="14" t="str">
        <f t="shared" si="358"/>
        <v xml:space="preserve"> </v>
      </c>
      <c r="EJ161" s="14" t="str">
        <f t="shared" si="359"/>
        <v xml:space="preserve"> </v>
      </c>
      <c r="EK161" s="27" t="str">
        <f t="shared" si="555"/>
        <v xml:space="preserve"> </v>
      </c>
      <c r="EL161" s="14" t="str">
        <f t="shared" si="361"/>
        <v xml:space="preserve"> </v>
      </c>
      <c r="EM161" s="14" t="str">
        <f t="shared" si="362"/>
        <v xml:space="preserve"> </v>
      </c>
      <c r="EN161" s="14" t="str">
        <f t="shared" si="363"/>
        <v xml:space="preserve"> </v>
      </c>
      <c r="EO161" s="14" t="str">
        <f t="shared" si="364"/>
        <v xml:space="preserve"> </v>
      </c>
      <c r="EP161" s="14" t="str">
        <f t="shared" si="365"/>
        <v xml:space="preserve"> </v>
      </c>
      <c r="EQ161" s="27" t="str">
        <f t="shared" ref="EQ161:GY176" si="556">IF(EQ53="",EQ162,$C161&amp;"("&amp;EQ53&amp;"),"&amp;EQ162)</f>
        <v xml:space="preserve"> </v>
      </c>
      <c r="ER161" s="14" t="str">
        <f t="shared" si="367"/>
        <v xml:space="preserve"> </v>
      </c>
      <c r="ES161" s="14" t="str">
        <f t="shared" si="368"/>
        <v xml:space="preserve"> </v>
      </c>
      <c r="ET161" s="14" t="str">
        <f t="shared" si="369"/>
        <v xml:space="preserve"> </v>
      </c>
      <c r="EU161" s="14" t="str">
        <f t="shared" si="370"/>
        <v xml:space="preserve"> </v>
      </c>
      <c r="EV161" s="14" t="str">
        <f t="shared" si="371"/>
        <v xml:space="preserve"> </v>
      </c>
      <c r="EW161" s="27" t="str">
        <f t="shared" si="556"/>
        <v xml:space="preserve"> </v>
      </c>
      <c r="EX161" s="14" t="str">
        <f t="shared" si="373"/>
        <v xml:space="preserve"> </v>
      </c>
      <c r="EY161" s="14" t="str">
        <f t="shared" si="374"/>
        <v xml:space="preserve"> </v>
      </c>
      <c r="EZ161" s="14" t="str">
        <f t="shared" si="375"/>
        <v xml:space="preserve"> </v>
      </c>
      <c r="FA161" s="14" t="str">
        <f t="shared" si="376"/>
        <v xml:space="preserve"> </v>
      </c>
      <c r="FB161" s="14" t="str">
        <f t="shared" si="377"/>
        <v xml:space="preserve"> </v>
      </c>
      <c r="FC161" s="27" t="str">
        <f t="shared" si="556"/>
        <v xml:space="preserve"> </v>
      </c>
      <c r="FD161" s="14" t="str">
        <f t="shared" si="379"/>
        <v xml:space="preserve"> </v>
      </c>
      <c r="FE161" s="14" t="str">
        <f t="shared" si="380"/>
        <v xml:space="preserve"> </v>
      </c>
      <c r="FF161" s="14" t="str">
        <f t="shared" si="381"/>
        <v xml:space="preserve"> </v>
      </c>
      <c r="FG161" s="14" t="str">
        <f t="shared" si="382"/>
        <v xml:space="preserve"> </v>
      </c>
      <c r="FH161" s="14" t="str">
        <f t="shared" si="383"/>
        <v xml:space="preserve"> </v>
      </c>
      <c r="FI161" s="27" t="str">
        <f t="shared" si="556"/>
        <v xml:space="preserve"> </v>
      </c>
      <c r="FJ161" s="14" t="str">
        <f t="shared" si="385"/>
        <v xml:space="preserve"> </v>
      </c>
      <c r="FK161" s="14" t="str">
        <f t="shared" si="386"/>
        <v xml:space="preserve"> </v>
      </c>
      <c r="FL161" s="14" t="str">
        <f t="shared" si="387"/>
        <v xml:space="preserve"> </v>
      </c>
      <c r="FM161" s="14" t="str">
        <f t="shared" si="388"/>
        <v xml:space="preserve"> </v>
      </c>
      <c r="FN161" s="14" t="str">
        <f t="shared" si="389"/>
        <v xml:space="preserve"> </v>
      </c>
      <c r="FO161" s="27" t="str">
        <f t="shared" si="556"/>
        <v xml:space="preserve"> </v>
      </c>
      <c r="FP161" s="14" t="str">
        <f t="shared" si="391"/>
        <v xml:space="preserve"> </v>
      </c>
      <c r="FQ161" s="14" t="str">
        <f t="shared" si="392"/>
        <v xml:space="preserve"> </v>
      </c>
      <c r="FR161" s="14" t="str">
        <f t="shared" si="393"/>
        <v xml:space="preserve"> </v>
      </c>
      <c r="FS161" s="14" t="str">
        <f t="shared" si="394"/>
        <v xml:space="preserve"> </v>
      </c>
      <c r="FT161" s="14" t="str">
        <f t="shared" si="395"/>
        <v xml:space="preserve"> </v>
      </c>
      <c r="FU161" s="27" t="str">
        <f t="shared" si="556"/>
        <v xml:space="preserve"> </v>
      </c>
      <c r="FV161" s="14" t="str">
        <f t="shared" si="397"/>
        <v xml:space="preserve"> </v>
      </c>
      <c r="FW161" s="14" t="str">
        <f t="shared" si="398"/>
        <v xml:space="preserve"> </v>
      </c>
      <c r="FX161" s="14" t="str">
        <f t="shared" si="399"/>
        <v xml:space="preserve"> </v>
      </c>
      <c r="FY161" s="14" t="str">
        <f t="shared" si="400"/>
        <v xml:space="preserve"> </v>
      </c>
      <c r="FZ161" s="14" t="str">
        <f t="shared" si="401"/>
        <v xml:space="preserve"> </v>
      </c>
      <c r="GA161" s="27" t="str">
        <f t="shared" si="556"/>
        <v xml:space="preserve"> </v>
      </c>
      <c r="GB161" s="14" t="str">
        <f t="shared" si="403"/>
        <v xml:space="preserve"> </v>
      </c>
      <c r="GC161" s="14" t="str">
        <f t="shared" si="404"/>
        <v xml:space="preserve"> </v>
      </c>
      <c r="GD161" s="14" t="str">
        <f t="shared" si="405"/>
        <v xml:space="preserve"> </v>
      </c>
      <c r="GE161" s="14" t="str">
        <f t="shared" si="406"/>
        <v xml:space="preserve"> </v>
      </c>
      <c r="GF161" s="14" t="str">
        <f t="shared" si="407"/>
        <v xml:space="preserve"> </v>
      </c>
      <c r="GG161" s="27" t="str">
        <f t="shared" si="556"/>
        <v xml:space="preserve"> </v>
      </c>
      <c r="GH161" s="14" t="str">
        <f t="shared" si="409"/>
        <v xml:space="preserve"> </v>
      </c>
      <c r="GI161" s="14" t="str">
        <f t="shared" si="410"/>
        <v xml:space="preserve"> </v>
      </c>
      <c r="GJ161" s="14" t="str">
        <f t="shared" si="411"/>
        <v xml:space="preserve"> </v>
      </c>
      <c r="GK161" s="14" t="str">
        <f t="shared" si="412"/>
        <v xml:space="preserve"> </v>
      </c>
      <c r="GL161" s="14" t="str">
        <f t="shared" si="413"/>
        <v xml:space="preserve"> </v>
      </c>
      <c r="GM161" s="27" t="str">
        <f t="shared" si="556"/>
        <v xml:space="preserve"> </v>
      </c>
      <c r="GN161" s="14" t="str">
        <f t="shared" si="415"/>
        <v xml:space="preserve"> </v>
      </c>
      <c r="GO161" s="14" t="str">
        <f t="shared" si="416"/>
        <v xml:space="preserve"> </v>
      </c>
      <c r="GP161" s="14" t="str">
        <f t="shared" si="417"/>
        <v xml:space="preserve"> </v>
      </c>
      <c r="GQ161" s="14" t="str">
        <f t="shared" si="418"/>
        <v xml:space="preserve"> </v>
      </c>
      <c r="GR161" s="14" t="str">
        <f t="shared" si="419"/>
        <v xml:space="preserve"> </v>
      </c>
      <c r="GS161" s="27" t="str">
        <f t="shared" si="556"/>
        <v xml:space="preserve"> </v>
      </c>
      <c r="GT161" s="14" t="str">
        <f t="shared" si="421"/>
        <v xml:space="preserve"> </v>
      </c>
      <c r="GU161" s="14" t="str">
        <f t="shared" si="422"/>
        <v xml:space="preserve"> </v>
      </c>
      <c r="GV161" s="14" t="str">
        <f t="shared" si="423"/>
        <v xml:space="preserve"> </v>
      </c>
      <c r="GW161" s="14" t="str">
        <f t="shared" si="424"/>
        <v xml:space="preserve"> </v>
      </c>
      <c r="GX161" s="14" t="str">
        <f t="shared" si="425"/>
        <v xml:space="preserve"> </v>
      </c>
      <c r="GY161" s="27" t="str">
        <f t="shared" si="556"/>
        <v xml:space="preserve"> </v>
      </c>
      <c r="GZ161" s="14" t="str">
        <f t="shared" si="427"/>
        <v xml:space="preserve"> </v>
      </c>
      <c r="HA161" s="14" t="str">
        <f t="shared" si="428"/>
        <v xml:space="preserve"> </v>
      </c>
      <c r="HB161" s="14" t="str">
        <f t="shared" si="429"/>
        <v xml:space="preserve"> </v>
      </c>
      <c r="HC161" s="14" t="str">
        <f t="shared" si="430"/>
        <v xml:space="preserve"> </v>
      </c>
      <c r="HD161" s="14" t="str">
        <f t="shared" si="431"/>
        <v xml:space="preserve"> </v>
      </c>
      <c r="HE161" s="27" t="str">
        <f t="shared" ref="HE161:HQ176" si="557">IF(HE53="",HE162,$C161&amp;"("&amp;HE53&amp;"),"&amp;HE162)</f>
        <v xml:space="preserve"> </v>
      </c>
      <c r="HF161" s="14" t="str">
        <f t="shared" si="433"/>
        <v xml:space="preserve"> </v>
      </c>
      <c r="HG161" s="14" t="str">
        <f t="shared" si="434"/>
        <v xml:space="preserve"> </v>
      </c>
      <c r="HH161" s="14" t="str">
        <f t="shared" si="435"/>
        <v xml:space="preserve"> </v>
      </c>
      <c r="HI161" s="14" t="str">
        <f t="shared" si="436"/>
        <v xml:space="preserve"> </v>
      </c>
      <c r="HJ161" s="14" t="str">
        <f t="shared" si="437"/>
        <v xml:space="preserve"> </v>
      </c>
      <c r="HK161" s="27" t="str">
        <f t="shared" si="557"/>
        <v xml:space="preserve"> </v>
      </c>
      <c r="HL161" s="14" t="str">
        <f t="shared" si="439"/>
        <v xml:space="preserve"> </v>
      </c>
      <c r="HM161" s="14" t="str">
        <f t="shared" si="440"/>
        <v xml:space="preserve"> </v>
      </c>
      <c r="HN161" s="14" t="str">
        <f t="shared" si="441"/>
        <v xml:space="preserve"> </v>
      </c>
      <c r="HO161" s="14" t="str">
        <f t="shared" si="442"/>
        <v xml:space="preserve"> </v>
      </c>
      <c r="HP161" s="14" t="str">
        <f t="shared" si="443"/>
        <v xml:space="preserve"> </v>
      </c>
      <c r="HQ161" s="27" t="str">
        <f t="shared" si="557"/>
        <v xml:space="preserve"> </v>
      </c>
    </row>
    <row r="162" spans="1:225" ht="15.75" customHeight="1">
      <c r="A162" s="7">
        <f t="shared" ref="A162:C162" si="558">A54</f>
        <v>0</v>
      </c>
      <c r="B162" s="7">
        <f t="shared" si="558"/>
        <v>0</v>
      </c>
      <c r="C162" s="7" t="str">
        <f t="shared" si="558"/>
        <v>suppliers</v>
      </c>
      <c r="D162" s="14" t="str">
        <f t="shared" si="446"/>
        <v xml:space="preserve"> </v>
      </c>
      <c r="E162" s="14" t="str">
        <f t="shared" si="447"/>
        <v xml:space="preserve"> </v>
      </c>
      <c r="F162" s="14" t="str">
        <f t="shared" si="448"/>
        <v xml:space="preserve"> </v>
      </c>
      <c r="G162" s="14" t="str">
        <f t="shared" si="449"/>
        <v xml:space="preserve">efficiency(1), user rules and manuals(2.1), organizational rules and manuals(2.1),  </v>
      </c>
      <c r="H162" s="14" t="str">
        <f t="shared" si="450"/>
        <v xml:space="preserve">efficiency(-1,6.25%),  </v>
      </c>
      <c r="I162" s="27" t="str">
        <f t="shared" ref="I162" si="559">IF(I54="",I163,$C162&amp;"("&amp;I54&amp;"),"&amp;I163)</f>
        <v xml:space="preserve">efficiency(6.25), </v>
      </c>
      <c r="J162" s="14" t="str">
        <f t="shared" si="229"/>
        <v xml:space="preserve"> </v>
      </c>
      <c r="K162" s="14" t="str">
        <f t="shared" si="230"/>
        <v xml:space="preserve"> </v>
      </c>
      <c r="L162" s="14" t="str">
        <f t="shared" si="231"/>
        <v xml:space="preserve"> </v>
      </c>
      <c r="M162" s="14" t="str">
        <f t="shared" si="232"/>
        <v xml:space="preserve">efficiency(0.1), organizational rules and manuals(1.1),  </v>
      </c>
      <c r="N162" s="14" t="str">
        <f t="shared" si="233"/>
        <v xml:space="preserve"> </v>
      </c>
      <c r="O162" s="27" t="str">
        <f t="shared" si="554"/>
        <v xml:space="preserve"> </v>
      </c>
      <c r="P162" s="14" t="str">
        <f t="shared" si="235"/>
        <v xml:space="preserve"> </v>
      </c>
      <c r="Q162" s="14" t="str">
        <f t="shared" si="236"/>
        <v xml:space="preserve"> </v>
      </c>
      <c r="R162" s="14" t="str">
        <f t="shared" si="237"/>
        <v xml:space="preserve"> </v>
      </c>
      <c r="S162" s="14" t="str">
        <f t="shared" si="238"/>
        <v xml:space="preserve">team building(0.1),  </v>
      </c>
      <c r="T162" s="14" t="str">
        <f t="shared" si="239"/>
        <v xml:space="preserve">business model(-1,6.25%), web(-1,6.25%), mobile apps(-1,6.25%), aesthetics(-1,6.25%),  </v>
      </c>
      <c r="U162" s="27" t="str">
        <f t="shared" si="554"/>
        <v xml:space="preserve">business model(6.25),web(6.25),mobile apps(6.25),aesthetics(6.25), </v>
      </c>
      <c r="V162" s="14" t="str">
        <f t="shared" si="241"/>
        <v xml:space="preserve"> </v>
      </c>
      <c r="W162" s="14" t="str">
        <f t="shared" si="242"/>
        <v xml:space="preserve">efficiency(-1,25%),  </v>
      </c>
      <c r="X162" s="14" t="str">
        <f t="shared" si="243"/>
        <v xml:space="preserve">efficiency(25)
 </v>
      </c>
      <c r="Y162" s="14" t="str">
        <f t="shared" si="244"/>
        <v xml:space="preserve">spaciousness(1), ease of access(3), reputation(2), user rules and manuals(0.1), project management(0.1), negotiation(0.1),  </v>
      </c>
      <c r="Z162" s="14" t="str">
        <f t="shared" si="245"/>
        <v xml:space="preserve">reputation(-1,%),  </v>
      </c>
      <c r="AA162" s="27" t="str">
        <f t="shared" si="554"/>
        <v xml:space="preserve"> </v>
      </c>
      <c r="AB162" s="14" t="str">
        <f t="shared" si="247"/>
        <v xml:space="preserve"> </v>
      </c>
      <c r="AC162" s="14" t="str">
        <f t="shared" si="248"/>
        <v xml:space="preserve"> </v>
      </c>
      <c r="AD162" s="14" t="str">
        <f t="shared" si="249"/>
        <v xml:space="preserve"> </v>
      </c>
      <c r="AE162" s="14" t="str">
        <f t="shared" si="250"/>
        <v xml:space="preserve">spaciousness(1), user rules and manuals(1.1), organizational rules and manuals(1.1),  </v>
      </c>
      <c r="AF162" s="14" t="str">
        <f t="shared" si="251"/>
        <v xml:space="preserve">non-profits(-1,6.25%), efficiency(-1,6.25%),  </v>
      </c>
      <c r="AG162" s="27" t="str">
        <f t="shared" si="554"/>
        <v xml:space="preserve">non-profits(6.25),efficiency(6.25), </v>
      </c>
      <c r="AH162" s="14" t="str">
        <f t="shared" si="253"/>
        <v xml:space="preserve">ease of access(1)
reputation(1)
 </v>
      </c>
      <c r="AI162" s="14" t="str">
        <f t="shared" si="254"/>
        <v xml:space="preserve"> </v>
      </c>
      <c r="AJ162" s="14" t="str">
        <f t="shared" si="255"/>
        <v xml:space="preserve"> </v>
      </c>
      <c r="AK162" s="14" t="str">
        <f t="shared" si="256"/>
        <v xml:space="preserve">spaciousness(1), ease of access(1), reputation(2), user rules and manuals(2.1), organizational rules and manuals(2.1), law(1.1), negotiation(1.1),  </v>
      </c>
      <c r="AL162" s="14" t="str">
        <f t="shared" si="257"/>
        <v xml:space="preserve">non-profits(-1,6.25%), reputation(-1,6.25%),  </v>
      </c>
      <c r="AM162" s="27" t="str">
        <f t="shared" si="554"/>
        <v xml:space="preserve">non-profits(6.25),reputation(6.25), </v>
      </c>
      <c r="AN162" s="14" t="str">
        <f t="shared" si="259"/>
        <v xml:space="preserve"> </v>
      </c>
      <c r="AO162" s="14" t="str">
        <f t="shared" si="260"/>
        <v xml:space="preserve"> </v>
      </c>
      <c r="AP162" s="14" t="str">
        <f t="shared" si="261"/>
        <v xml:space="preserve"> </v>
      </c>
      <c r="AQ162" s="14" t="str">
        <f t="shared" si="262"/>
        <v xml:space="preserve">spaciousness(2.1), reputation(3), organizational rules and manuals(2.1), team building(2.1),  </v>
      </c>
      <c r="AR162" s="14" t="str">
        <f t="shared" si="263"/>
        <v xml:space="preserve">reputation(-1,6.25%), efficiency(-1,6.25%),  </v>
      </c>
      <c r="AS162" s="27" t="str">
        <f t="shared" si="554"/>
        <v xml:space="preserve">reputation(6.25),efficiency(6.25), </v>
      </c>
      <c r="AT162" s="14" t="str">
        <f t="shared" si="265"/>
        <v xml:space="preserve"> </v>
      </c>
      <c r="AU162" s="14" t="str">
        <f t="shared" si="266"/>
        <v xml:space="preserve"> </v>
      </c>
      <c r="AV162" s="14" t="str">
        <f t="shared" si="267"/>
        <v xml:space="preserve"> </v>
      </c>
      <c r="AW162" s="14" t="str">
        <f t="shared" si="268"/>
        <v xml:space="preserve">user rules and manuals(2.1), team building(2.1),  </v>
      </c>
      <c r="AX162" s="14" t="str">
        <f t="shared" si="269"/>
        <v xml:space="preserve"> </v>
      </c>
      <c r="AY162" s="27" t="str">
        <f t="shared" si="554"/>
        <v xml:space="preserve"> </v>
      </c>
      <c r="AZ162" s="14" t="str">
        <f t="shared" si="271"/>
        <v xml:space="preserve"> </v>
      </c>
      <c r="BA162" s="14" t="str">
        <f t="shared" si="272"/>
        <v xml:space="preserve">efficiency(-1,12.5%), user rules and manuals(1,25%),  </v>
      </c>
      <c r="BB162" s="14" t="str">
        <f t="shared" si="273"/>
        <v xml:space="preserve">efficiency(12.5)
user rules and manuals(25)
 </v>
      </c>
      <c r="BC162" s="14" t="str">
        <f t="shared" si="274"/>
        <v xml:space="preserve">user rules and manuals(2.1), organizational rules and manuals(2.1),  </v>
      </c>
      <c r="BD162" s="14" t="str">
        <f t="shared" si="275"/>
        <v xml:space="preserve">reputation(-1,6.25%),  </v>
      </c>
      <c r="BE162" s="27" t="str">
        <f t="shared" si="554"/>
        <v xml:space="preserve">reputation(6.25), </v>
      </c>
      <c r="BF162" s="14" t="str">
        <f t="shared" si="277"/>
        <v xml:space="preserve"> </v>
      </c>
      <c r="BG162" s="14" t="str">
        <f t="shared" si="278"/>
        <v xml:space="preserve">user rules and manuals(1,25%), organizational rules and manuals(1,25%),  </v>
      </c>
      <c r="BH162" s="14" t="str">
        <f t="shared" si="279"/>
        <v xml:space="preserve">user rules and manuals(25)
organizational rules and manuals(25)
 </v>
      </c>
      <c r="BI162" s="14" t="str">
        <f t="shared" si="280"/>
        <v xml:space="preserve"> </v>
      </c>
      <c r="BJ162" s="14" t="str">
        <f t="shared" si="281"/>
        <v xml:space="preserve">reputation(-1,6.25%), efficiency(-1,25%),  </v>
      </c>
      <c r="BK162" s="27" t="str">
        <f t="shared" si="554"/>
        <v xml:space="preserve">reputation(6.25),efficiency(25), </v>
      </c>
      <c r="BL162" s="14" t="str">
        <f t="shared" si="283"/>
        <v xml:space="preserve">ease of access(1)
reputation(1)
aesthetics(1)
 </v>
      </c>
      <c r="BM162" s="14" t="str">
        <f t="shared" si="284"/>
        <v xml:space="preserve">biz enhancement(1,%),  </v>
      </c>
      <c r="BN162" s="14" t="str">
        <f t="shared" si="285"/>
        <v xml:space="preserve"> </v>
      </c>
      <c r="BO162" s="14" t="str">
        <f t="shared" si="286"/>
        <v xml:space="preserve">ease of access(2), reputation(3), efficiency(2), user rules and manuals(1), marketing(1), negotiation(1), aesthetics(2), functions(1), safety(1),  </v>
      </c>
      <c r="BP162" s="14" t="str">
        <f t="shared" si="287"/>
        <v xml:space="preserve"> </v>
      </c>
      <c r="BQ162" s="27" t="str">
        <f t="shared" si="554"/>
        <v xml:space="preserve"> </v>
      </c>
      <c r="BR162" s="14" t="str">
        <f t="shared" si="289"/>
        <v xml:space="preserve">ease of access(1)
reputation(1)
aesthetics(1)
 </v>
      </c>
      <c r="BS162" s="14" t="str">
        <f t="shared" si="290"/>
        <v xml:space="preserve">biz project(1,%),  </v>
      </c>
      <c r="BT162" s="14" t="str">
        <f t="shared" si="291"/>
        <v xml:space="preserve"> </v>
      </c>
      <c r="BU162" s="14" t="str">
        <f t="shared" si="292"/>
        <v xml:space="preserve">ease of access(2), reputation(3), efficiency(2), user rules and manuals(1), marketing(1), negotiation(1), wood processing(1), aesthetics(2),  </v>
      </c>
      <c r="BV162" s="14" t="str">
        <f t="shared" si="293"/>
        <v xml:space="preserve"> </v>
      </c>
      <c r="BW162" s="27" t="str">
        <f t="shared" si="554"/>
        <v xml:space="preserve"> </v>
      </c>
      <c r="BX162" s="14" t="str">
        <f t="shared" si="295"/>
        <v xml:space="preserve">ease of access(1)
reputation(1)
aesthetics(1)
interaction(1)
 </v>
      </c>
      <c r="BY162" s="14" t="str">
        <f t="shared" si="296"/>
        <v xml:space="preserve">biz project(1,%),  </v>
      </c>
      <c r="BZ162" s="14" t="str">
        <f t="shared" si="297"/>
        <v xml:space="preserve"> </v>
      </c>
      <c r="CA162" s="14" t="str">
        <f t="shared" si="298"/>
        <v xml:space="preserve">ease of access(2), reputation(3), efficiency(2), user rules and manuals(1), marketing(1), team building(1), social media(1), negotiation(1), web(2), infrastructrue(2), database(2), security(3), aesthetics(2), functions(1), interaction(2),  </v>
      </c>
      <c r="CB162" s="14" t="str">
        <f t="shared" si="299"/>
        <v xml:space="preserve"> </v>
      </c>
      <c r="CC162" s="27" t="str">
        <f t="shared" si="555"/>
        <v xml:space="preserve"> </v>
      </c>
      <c r="CD162" s="14" t="str">
        <f t="shared" si="301"/>
        <v xml:space="preserve">ease of access(1)
reputation(1)
aesthetics(1)
 </v>
      </c>
      <c r="CE162" s="14" t="str">
        <f t="shared" si="302"/>
        <v xml:space="preserve">biz project(1,%),  </v>
      </c>
      <c r="CF162" s="14" t="str">
        <f t="shared" si="303"/>
        <v xml:space="preserve"> </v>
      </c>
      <c r="CG162" s="14" t="str">
        <f t="shared" si="304"/>
        <v xml:space="preserve">ease of access(2), efficiency(2), user rules and manuals(1), marketing(1), team building(1), negotiation(1), infrastructrue(1), database(2), mobile apps(2), security(3), aesthetics(2), functions(1), interaction(2),  </v>
      </c>
      <c r="CH162" s="14" t="str">
        <f t="shared" si="305"/>
        <v xml:space="preserve"> </v>
      </c>
      <c r="CI162" s="27" t="str">
        <f t="shared" si="555"/>
        <v xml:space="preserve"> </v>
      </c>
      <c r="CJ162" s="14" t="str">
        <f t="shared" si="307"/>
        <v xml:space="preserve">ease of access(1)
reputation(1)
aesthetics(1)
 </v>
      </c>
      <c r="CK162" s="14" t="str">
        <f t="shared" si="308"/>
        <v xml:space="preserve">biz project(1,%),  </v>
      </c>
      <c r="CL162" s="14" t="str">
        <f t="shared" si="309"/>
        <v xml:space="preserve"> </v>
      </c>
      <c r="CM162" s="14" t="str">
        <f t="shared" si="310"/>
        <v xml:space="preserve">ease of access(2), reputation(3), efficiency(2), user rules and manuals(1), marketing(2), team building(1), social media(2), negotiation(1), web(2), infrastructrue(2), database(2), mobile apps(2), security(2), aesthetics(2), functions(1), interaction(2),  </v>
      </c>
      <c r="CN162" s="14" t="str">
        <f t="shared" si="311"/>
        <v xml:space="preserve"> </v>
      </c>
      <c r="CO162" s="27" t="str">
        <f t="shared" si="555"/>
        <v xml:space="preserve"> </v>
      </c>
      <c r="CP162" s="14" t="str">
        <f t="shared" si="313"/>
        <v xml:space="preserve">metal processing(1)
functions(1)
 </v>
      </c>
      <c r="CQ162" s="14" t="str">
        <f t="shared" si="314"/>
        <v xml:space="preserve">biz enhancement(1,50%),  </v>
      </c>
      <c r="CR162" s="14" t="str">
        <f t="shared" si="315"/>
        <v xml:space="preserve">biz enhancement(50)
 </v>
      </c>
      <c r="CS162" s="14" t="str">
        <f t="shared" si="316"/>
        <v xml:space="preserve">ease of access(2), reputation(3), efficiency(2), metal processing(2), electronics(2), aesthetics(2), functions(2), safety(2),  </v>
      </c>
      <c r="CT162" s="14" t="str">
        <f t="shared" si="317"/>
        <v xml:space="preserve">reputation(1,6.25%),  </v>
      </c>
      <c r="CU162" s="27" t="str">
        <f t="shared" si="555"/>
        <v xml:space="preserve">reputation(6.25), </v>
      </c>
      <c r="CV162" s="14" t="str">
        <f t="shared" si="319"/>
        <v xml:space="preserve">non-profits(1)
wood processing(1)
aesthetics(1)
interaction(1)
 </v>
      </c>
      <c r="CW162" s="14" t="str">
        <f t="shared" si="320"/>
        <v xml:space="preserve">non-profits(1,50%), social project(1,50%),  </v>
      </c>
      <c r="CX162" s="14" t="str">
        <f t="shared" si="321"/>
        <v xml:space="preserve">non-profits(50)
social project(50)
 </v>
      </c>
      <c r="CY162" s="14" t="str">
        <f t="shared" si="322"/>
        <v xml:space="preserve">ease of access(2), efficiency(3), sensors(2), wood processing(2), plastic processing(2), electronics(2), aesthetics(2), functions(1), safety(1), interaction(2),  </v>
      </c>
      <c r="CZ162" s="14" t="str">
        <f t="shared" si="323"/>
        <v xml:space="preserve">reputation(1,6.25%), portfolio(1,6.25%),  </v>
      </c>
      <c r="DA162" s="27" t="str">
        <f t="shared" si="555"/>
        <v xml:space="preserve">reputation(6.25),portfolio(6.25), </v>
      </c>
      <c r="DB162" s="14" t="str">
        <f t="shared" si="325"/>
        <v xml:space="preserve">non-profits(1)
aesthetics(1)
interaction(1)
 </v>
      </c>
      <c r="DC162" s="14" t="str">
        <f t="shared" si="326"/>
        <v xml:space="preserve">non-profits(1,50%), social project(1,50%),  </v>
      </c>
      <c r="DD162" s="14" t="str">
        <f t="shared" si="327"/>
        <v xml:space="preserve">non-profits(50)
social project(50)
 </v>
      </c>
      <c r="DE162" s="14" t="str">
        <f t="shared" si="328"/>
        <v xml:space="preserve">ease of access(2), efficiency(3), VR&amp;AR(2),  </v>
      </c>
      <c r="DF162" s="14" t="str">
        <f t="shared" si="329"/>
        <v xml:space="preserve">reputation(1,6.25%), portfolio(1,6.25%),  </v>
      </c>
      <c r="DG162" s="27" t="str">
        <f t="shared" si="555"/>
        <v xml:space="preserve">reputation(6.25),portfolio(6.25), </v>
      </c>
      <c r="DH162" s="14" t="str">
        <f t="shared" si="331"/>
        <v xml:space="preserve">wood processing(1)
aesthetics(1)
safety(1)
 </v>
      </c>
      <c r="DI162" s="14" t="str">
        <f t="shared" si="332"/>
        <v xml:space="preserve">social project(1,100%),  </v>
      </c>
      <c r="DJ162" s="14" t="str">
        <f t="shared" si="333"/>
        <v xml:space="preserve">social project(100)
 </v>
      </c>
      <c r="DK162" s="14" t="str">
        <f t="shared" si="334"/>
        <v xml:space="preserve">non-profits(2), spaciousness(2), ease of access(2), efficiency(2), finance(2), marketing(2), team building(2), project management(2), social media(2), negotiation(2), sensors(1), wood processing(2), metal processing(2), plastic processing(2), electronics(2), fabric(1), aesthetics(1), functions(2), safety(2), interaction(2),  </v>
      </c>
      <c r="DL162" s="14" t="str">
        <f t="shared" si="335"/>
        <v xml:space="preserve">reputation(1,6.25%), portfolio(1,6.25%), team building(1,6.25%),  </v>
      </c>
      <c r="DM162" s="27" t="str">
        <f t="shared" si="555"/>
        <v xml:space="preserve">reputation(6.25),portfolio(6.25),team building(6.25), </v>
      </c>
      <c r="DN162" s="14" t="str">
        <f t="shared" si="337"/>
        <v xml:space="preserve">suppliers(2)
spaciousness(1)
ease of access(2)
reputation(3)
project management(2)
wood processing(1)
plastic processing(1)
electronics(1)
aesthetics(2)
functions(1)
safety(1)
biz project(1)
 </v>
      </c>
      <c r="DO162" s="14" t="str">
        <f t="shared" si="338"/>
        <v xml:space="preserve">reputation(1,25%), portfolio(1,50%),  </v>
      </c>
      <c r="DP162" s="14" t="str">
        <f t="shared" si="339"/>
        <v xml:space="preserve">reputation(25)
portfolio(50)
 </v>
      </c>
      <c r="DQ162" s="14" t="str">
        <f t="shared" si="340"/>
        <v xml:space="preserve">suppliers(3), social media(2), wood processing(2), plastic processing(2), electronics(2), aesthetics(2),  </v>
      </c>
      <c r="DR162" s="14" t="str">
        <f t="shared" si="341"/>
        <v xml:space="preserve">suppliers(1,6.25%), reputation(1,6.25%),  </v>
      </c>
      <c r="DS162" s="27" t="str">
        <f t="shared" si="555"/>
        <v xml:space="preserve">suppliers(6.25),reputation(6.25), </v>
      </c>
      <c r="DT162" s="14" t="str">
        <f t="shared" si="343"/>
        <v xml:space="preserve">reputation(3)
portfolio(2)
 </v>
      </c>
      <c r="DU162" s="14" t="str">
        <f t="shared" si="344"/>
        <v xml:space="preserve">non-profits(1,50%), reputation(1,25%),  </v>
      </c>
      <c r="DV162" s="14" t="str">
        <f t="shared" si="345"/>
        <v xml:space="preserve">non-profits(50)
reputation(25)
 </v>
      </c>
      <c r="DW162" s="14" t="str">
        <f t="shared" si="346"/>
        <v xml:space="preserve">social media(2),  </v>
      </c>
      <c r="DX162" s="14" t="str">
        <f t="shared" si="347"/>
        <v xml:space="preserve">reputation(1,6.25%),  </v>
      </c>
      <c r="DY162" s="27" t="str">
        <f t="shared" si="555"/>
        <v xml:space="preserve">reputation(6.25), </v>
      </c>
      <c r="DZ162" s="14" t="str">
        <f t="shared" si="349"/>
        <v xml:space="preserve"> </v>
      </c>
      <c r="EA162" s="14" t="str">
        <f t="shared" si="350"/>
        <v xml:space="preserve"> </v>
      </c>
      <c r="EB162" s="14" t="str">
        <f t="shared" si="351"/>
        <v xml:space="preserve"> </v>
      </c>
      <c r="EC162" s="14" t="str">
        <f t="shared" si="352"/>
        <v xml:space="preserve"> </v>
      </c>
      <c r="ED162" s="14" t="str">
        <f t="shared" si="353"/>
        <v xml:space="preserve"> </v>
      </c>
      <c r="EE162" s="27" t="str">
        <f t="shared" si="555"/>
        <v xml:space="preserve"> </v>
      </c>
      <c r="EF162" s="14" t="str">
        <f t="shared" si="355"/>
        <v xml:space="preserve"> </v>
      </c>
      <c r="EG162" s="14" t="str">
        <f t="shared" si="356"/>
        <v xml:space="preserve"> </v>
      </c>
      <c r="EH162" s="14" t="str">
        <f t="shared" si="357"/>
        <v xml:space="preserve"> </v>
      </c>
      <c r="EI162" s="14" t="str">
        <f t="shared" si="358"/>
        <v xml:space="preserve"> </v>
      </c>
      <c r="EJ162" s="14" t="str">
        <f t="shared" si="359"/>
        <v xml:space="preserve"> </v>
      </c>
      <c r="EK162" s="27" t="str">
        <f t="shared" si="555"/>
        <v xml:space="preserve"> </v>
      </c>
      <c r="EL162" s="14" t="str">
        <f t="shared" si="361"/>
        <v xml:space="preserve"> </v>
      </c>
      <c r="EM162" s="14" t="str">
        <f t="shared" si="362"/>
        <v xml:space="preserve"> </v>
      </c>
      <c r="EN162" s="14" t="str">
        <f t="shared" si="363"/>
        <v xml:space="preserve"> </v>
      </c>
      <c r="EO162" s="14" t="str">
        <f t="shared" si="364"/>
        <v xml:space="preserve"> </v>
      </c>
      <c r="EP162" s="14" t="str">
        <f t="shared" si="365"/>
        <v xml:space="preserve"> </v>
      </c>
      <c r="EQ162" s="27" t="str">
        <f t="shared" si="556"/>
        <v xml:space="preserve"> </v>
      </c>
      <c r="ER162" s="14" t="str">
        <f t="shared" si="367"/>
        <v xml:space="preserve"> </v>
      </c>
      <c r="ES162" s="14" t="str">
        <f t="shared" si="368"/>
        <v xml:space="preserve"> </v>
      </c>
      <c r="ET162" s="14" t="str">
        <f t="shared" si="369"/>
        <v xml:space="preserve"> </v>
      </c>
      <c r="EU162" s="14" t="str">
        <f t="shared" si="370"/>
        <v xml:space="preserve"> </v>
      </c>
      <c r="EV162" s="14" t="str">
        <f t="shared" si="371"/>
        <v xml:space="preserve"> </v>
      </c>
      <c r="EW162" s="27" t="str">
        <f t="shared" si="556"/>
        <v xml:space="preserve"> </v>
      </c>
      <c r="EX162" s="14" t="str">
        <f t="shared" si="373"/>
        <v xml:space="preserve"> </v>
      </c>
      <c r="EY162" s="14" t="str">
        <f t="shared" si="374"/>
        <v xml:space="preserve"> </v>
      </c>
      <c r="EZ162" s="14" t="str">
        <f t="shared" si="375"/>
        <v xml:space="preserve"> </v>
      </c>
      <c r="FA162" s="14" t="str">
        <f t="shared" si="376"/>
        <v xml:space="preserve"> </v>
      </c>
      <c r="FB162" s="14" t="str">
        <f t="shared" si="377"/>
        <v xml:space="preserve"> </v>
      </c>
      <c r="FC162" s="27" t="str">
        <f t="shared" si="556"/>
        <v xml:space="preserve"> </v>
      </c>
      <c r="FD162" s="14" t="str">
        <f t="shared" si="379"/>
        <v xml:space="preserve"> </v>
      </c>
      <c r="FE162" s="14" t="str">
        <f t="shared" si="380"/>
        <v xml:space="preserve"> </v>
      </c>
      <c r="FF162" s="14" t="str">
        <f t="shared" si="381"/>
        <v xml:space="preserve"> </v>
      </c>
      <c r="FG162" s="14" t="str">
        <f t="shared" si="382"/>
        <v xml:space="preserve"> </v>
      </c>
      <c r="FH162" s="14" t="str">
        <f t="shared" si="383"/>
        <v xml:space="preserve"> </v>
      </c>
      <c r="FI162" s="27" t="str">
        <f t="shared" si="556"/>
        <v xml:space="preserve"> </v>
      </c>
      <c r="FJ162" s="14" t="str">
        <f t="shared" si="385"/>
        <v xml:space="preserve"> </v>
      </c>
      <c r="FK162" s="14" t="str">
        <f t="shared" si="386"/>
        <v xml:space="preserve"> </v>
      </c>
      <c r="FL162" s="14" t="str">
        <f t="shared" si="387"/>
        <v xml:space="preserve"> </v>
      </c>
      <c r="FM162" s="14" t="str">
        <f t="shared" si="388"/>
        <v xml:space="preserve"> </v>
      </c>
      <c r="FN162" s="14" t="str">
        <f t="shared" si="389"/>
        <v xml:space="preserve"> </v>
      </c>
      <c r="FO162" s="27" t="str">
        <f t="shared" si="556"/>
        <v xml:space="preserve"> </v>
      </c>
      <c r="FP162" s="14" t="str">
        <f t="shared" si="391"/>
        <v xml:space="preserve"> </v>
      </c>
      <c r="FQ162" s="14" t="str">
        <f t="shared" si="392"/>
        <v xml:space="preserve"> </v>
      </c>
      <c r="FR162" s="14" t="str">
        <f t="shared" si="393"/>
        <v xml:space="preserve"> </v>
      </c>
      <c r="FS162" s="14" t="str">
        <f t="shared" si="394"/>
        <v xml:space="preserve"> </v>
      </c>
      <c r="FT162" s="14" t="str">
        <f t="shared" si="395"/>
        <v xml:space="preserve"> </v>
      </c>
      <c r="FU162" s="27" t="str">
        <f t="shared" si="556"/>
        <v xml:space="preserve"> </v>
      </c>
      <c r="FV162" s="14" t="str">
        <f t="shared" si="397"/>
        <v xml:space="preserve"> </v>
      </c>
      <c r="FW162" s="14" t="str">
        <f t="shared" si="398"/>
        <v xml:space="preserve"> </v>
      </c>
      <c r="FX162" s="14" t="str">
        <f t="shared" si="399"/>
        <v xml:space="preserve"> </v>
      </c>
      <c r="FY162" s="14" t="str">
        <f t="shared" si="400"/>
        <v xml:space="preserve"> </v>
      </c>
      <c r="FZ162" s="14" t="str">
        <f t="shared" si="401"/>
        <v xml:space="preserve"> </v>
      </c>
      <c r="GA162" s="27" t="str">
        <f t="shared" si="556"/>
        <v xml:space="preserve"> </v>
      </c>
      <c r="GB162" s="14" t="str">
        <f t="shared" si="403"/>
        <v xml:space="preserve"> </v>
      </c>
      <c r="GC162" s="14" t="str">
        <f t="shared" si="404"/>
        <v xml:space="preserve"> </v>
      </c>
      <c r="GD162" s="14" t="str">
        <f t="shared" si="405"/>
        <v xml:space="preserve"> </v>
      </c>
      <c r="GE162" s="14" t="str">
        <f t="shared" si="406"/>
        <v xml:space="preserve"> </v>
      </c>
      <c r="GF162" s="14" t="str">
        <f t="shared" si="407"/>
        <v xml:space="preserve"> </v>
      </c>
      <c r="GG162" s="27" t="str">
        <f t="shared" si="556"/>
        <v xml:space="preserve"> </v>
      </c>
      <c r="GH162" s="14" t="str">
        <f t="shared" si="409"/>
        <v xml:space="preserve"> </v>
      </c>
      <c r="GI162" s="14" t="str">
        <f t="shared" si="410"/>
        <v xml:space="preserve"> </v>
      </c>
      <c r="GJ162" s="14" t="str">
        <f t="shared" si="411"/>
        <v xml:space="preserve"> </v>
      </c>
      <c r="GK162" s="14" t="str">
        <f t="shared" si="412"/>
        <v xml:space="preserve"> </v>
      </c>
      <c r="GL162" s="14" t="str">
        <f t="shared" si="413"/>
        <v xml:space="preserve"> </v>
      </c>
      <c r="GM162" s="27" t="str">
        <f t="shared" si="556"/>
        <v xml:space="preserve"> </v>
      </c>
      <c r="GN162" s="14" t="str">
        <f t="shared" si="415"/>
        <v xml:space="preserve"> </v>
      </c>
      <c r="GO162" s="14" t="str">
        <f t="shared" si="416"/>
        <v xml:space="preserve"> </v>
      </c>
      <c r="GP162" s="14" t="str">
        <f t="shared" si="417"/>
        <v xml:space="preserve"> </v>
      </c>
      <c r="GQ162" s="14" t="str">
        <f t="shared" si="418"/>
        <v xml:space="preserve"> </v>
      </c>
      <c r="GR162" s="14" t="str">
        <f t="shared" si="419"/>
        <v xml:space="preserve"> </v>
      </c>
      <c r="GS162" s="27" t="str">
        <f t="shared" si="556"/>
        <v xml:space="preserve"> </v>
      </c>
      <c r="GT162" s="14" t="str">
        <f t="shared" si="421"/>
        <v xml:space="preserve"> </v>
      </c>
      <c r="GU162" s="14" t="str">
        <f t="shared" si="422"/>
        <v xml:space="preserve"> </v>
      </c>
      <c r="GV162" s="14" t="str">
        <f t="shared" si="423"/>
        <v xml:space="preserve"> </v>
      </c>
      <c r="GW162" s="14" t="str">
        <f t="shared" si="424"/>
        <v xml:space="preserve"> </v>
      </c>
      <c r="GX162" s="14" t="str">
        <f t="shared" si="425"/>
        <v xml:space="preserve"> </v>
      </c>
      <c r="GY162" s="27" t="str">
        <f t="shared" si="556"/>
        <v xml:space="preserve"> </v>
      </c>
      <c r="GZ162" s="14" t="str">
        <f t="shared" si="427"/>
        <v xml:space="preserve"> </v>
      </c>
      <c r="HA162" s="14" t="str">
        <f t="shared" si="428"/>
        <v xml:space="preserve"> </v>
      </c>
      <c r="HB162" s="14" t="str">
        <f t="shared" si="429"/>
        <v xml:space="preserve"> </v>
      </c>
      <c r="HC162" s="14" t="str">
        <f t="shared" si="430"/>
        <v xml:space="preserve"> </v>
      </c>
      <c r="HD162" s="14" t="str">
        <f t="shared" si="431"/>
        <v xml:space="preserve"> </v>
      </c>
      <c r="HE162" s="27" t="str">
        <f t="shared" si="557"/>
        <v xml:space="preserve"> </v>
      </c>
      <c r="HF162" s="14" t="str">
        <f t="shared" si="433"/>
        <v xml:space="preserve"> </v>
      </c>
      <c r="HG162" s="14" t="str">
        <f t="shared" si="434"/>
        <v xml:space="preserve"> </v>
      </c>
      <c r="HH162" s="14" t="str">
        <f t="shared" si="435"/>
        <v xml:space="preserve"> </v>
      </c>
      <c r="HI162" s="14" t="str">
        <f t="shared" si="436"/>
        <v xml:space="preserve"> </v>
      </c>
      <c r="HJ162" s="14" t="str">
        <f t="shared" si="437"/>
        <v xml:space="preserve"> </v>
      </c>
      <c r="HK162" s="27" t="str">
        <f t="shared" si="557"/>
        <v xml:space="preserve"> </v>
      </c>
      <c r="HL162" s="14" t="str">
        <f t="shared" si="439"/>
        <v xml:space="preserve"> </v>
      </c>
      <c r="HM162" s="14" t="str">
        <f t="shared" si="440"/>
        <v xml:space="preserve"> </v>
      </c>
      <c r="HN162" s="14" t="str">
        <f t="shared" si="441"/>
        <v xml:space="preserve"> </v>
      </c>
      <c r="HO162" s="14" t="str">
        <f t="shared" si="442"/>
        <v xml:space="preserve"> </v>
      </c>
      <c r="HP162" s="14" t="str">
        <f t="shared" si="443"/>
        <v xml:space="preserve"> </v>
      </c>
      <c r="HQ162" s="27" t="str">
        <f t="shared" si="557"/>
        <v xml:space="preserve"> </v>
      </c>
    </row>
    <row r="163" spans="1:225" ht="15.75" customHeight="1">
      <c r="A163" s="7">
        <f t="shared" ref="A163:C163" si="560">A55</f>
        <v>0</v>
      </c>
      <c r="B163" s="7">
        <f t="shared" si="560"/>
        <v>0</v>
      </c>
      <c r="C163" s="7" t="str">
        <f t="shared" si="560"/>
        <v>non-profits</v>
      </c>
      <c r="D163" s="14" t="str">
        <f t="shared" si="446"/>
        <v xml:space="preserve"> </v>
      </c>
      <c r="E163" s="14" t="str">
        <f t="shared" si="447"/>
        <v xml:space="preserve"> </v>
      </c>
      <c r="F163" s="14" t="str">
        <f t="shared" si="448"/>
        <v xml:space="preserve"> </v>
      </c>
      <c r="G163" s="14" t="str">
        <f t="shared" si="449"/>
        <v xml:space="preserve">efficiency(1), user rules and manuals(2.1), organizational rules and manuals(2.1),  </v>
      </c>
      <c r="H163" s="14" t="str">
        <f t="shared" si="450"/>
        <v xml:space="preserve">efficiency(-1,6.25%),  </v>
      </c>
      <c r="I163" s="27" t="str">
        <f t="shared" ref="I163" si="561">IF(I55="",I164,$C163&amp;"("&amp;I55&amp;"),"&amp;I164)</f>
        <v xml:space="preserve">efficiency(6.25), </v>
      </c>
      <c r="J163" s="14" t="str">
        <f t="shared" si="229"/>
        <v xml:space="preserve"> </v>
      </c>
      <c r="K163" s="14" t="str">
        <f t="shared" si="230"/>
        <v xml:space="preserve"> </v>
      </c>
      <c r="L163" s="14" t="str">
        <f t="shared" si="231"/>
        <v xml:space="preserve"> </v>
      </c>
      <c r="M163" s="14" t="str">
        <f t="shared" si="232"/>
        <v xml:space="preserve">efficiency(0.1), organizational rules and manuals(1.1),  </v>
      </c>
      <c r="N163" s="14" t="str">
        <f t="shared" si="233"/>
        <v xml:space="preserve"> </v>
      </c>
      <c r="O163" s="27" t="str">
        <f t="shared" si="554"/>
        <v xml:space="preserve"> </v>
      </c>
      <c r="P163" s="14" t="str">
        <f t="shared" si="235"/>
        <v xml:space="preserve"> </v>
      </c>
      <c r="Q163" s="14" t="str">
        <f t="shared" si="236"/>
        <v xml:space="preserve"> </v>
      </c>
      <c r="R163" s="14" t="str">
        <f t="shared" si="237"/>
        <v xml:space="preserve"> </v>
      </c>
      <c r="S163" s="14" t="str">
        <f t="shared" si="238"/>
        <v xml:space="preserve">team building(0.1),  </v>
      </c>
      <c r="T163" s="14" t="str">
        <f t="shared" si="239"/>
        <v xml:space="preserve">business model(-1,6.25%), web(-1,6.25%), mobile apps(-1,6.25%), aesthetics(-1,6.25%),  </v>
      </c>
      <c r="U163" s="27" t="str">
        <f t="shared" si="554"/>
        <v xml:space="preserve">business model(6.25),web(6.25),mobile apps(6.25),aesthetics(6.25), </v>
      </c>
      <c r="V163" s="14" t="str">
        <f t="shared" si="241"/>
        <v xml:space="preserve"> </v>
      </c>
      <c r="W163" s="14" t="str">
        <f t="shared" si="242"/>
        <v xml:space="preserve">efficiency(-1,25%),  </v>
      </c>
      <c r="X163" s="14" t="str">
        <f t="shared" si="243"/>
        <v xml:space="preserve">efficiency(25)
 </v>
      </c>
      <c r="Y163" s="14" t="str">
        <f t="shared" si="244"/>
        <v xml:space="preserve">spaciousness(1), ease of access(3), reputation(2), user rules and manuals(0.1), project management(0.1), negotiation(0.1),  </v>
      </c>
      <c r="Z163" s="14" t="str">
        <f t="shared" si="245"/>
        <v xml:space="preserve">reputation(-1,%),  </v>
      </c>
      <c r="AA163" s="27" t="str">
        <f t="shared" si="554"/>
        <v xml:space="preserve"> </v>
      </c>
      <c r="AB163" s="14" t="str">
        <f t="shared" si="247"/>
        <v xml:space="preserve"> </v>
      </c>
      <c r="AC163" s="14" t="str">
        <f t="shared" si="248"/>
        <v xml:space="preserve"> </v>
      </c>
      <c r="AD163" s="14" t="str">
        <f t="shared" si="249"/>
        <v xml:space="preserve"> </v>
      </c>
      <c r="AE163" s="14" t="str">
        <f t="shared" si="250"/>
        <v xml:space="preserve">spaciousness(1), user rules and manuals(1.1), organizational rules and manuals(1.1),  </v>
      </c>
      <c r="AF163" s="14" t="str">
        <f t="shared" si="251"/>
        <v xml:space="preserve">non-profits(-1,6.25%), efficiency(-1,6.25%),  </v>
      </c>
      <c r="AG163" s="27" t="str">
        <f t="shared" si="554"/>
        <v xml:space="preserve">non-profits(6.25),efficiency(6.25), </v>
      </c>
      <c r="AH163" s="14" t="str">
        <f t="shared" si="253"/>
        <v xml:space="preserve">ease of access(1)
reputation(1)
 </v>
      </c>
      <c r="AI163" s="14" t="str">
        <f t="shared" si="254"/>
        <v xml:space="preserve"> </v>
      </c>
      <c r="AJ163" s="14" t="str">
        <f t="shared" si="255"/>
        <v xml:space="preserve"> </v>
      </c>
      <c r="AK163" s="14" t="str">
        <f t="shared" si="256"/>
        <v xml:space="preserve">spaciousness(1), ease of access(1), reputation(2), user rules and manuals(2.1), organizational rules and manuals(2.1), law(1.1), negotiation(1.1),  </v>
      </c>
      <c r="AL163" s="14" t="str">
        <f t="shared" si="257"/>
        <v xml:space="preserve">non-profits(-1,6.25%), reputation(-1,6.25%),  </v>
      </c>
      <c r="AM163" s="27" t="str">
        <f t="shared" si="554"/>
        <v xml:space="preserve">non-profits(6.25),reputation(6.25), </v>
      </c>
      <c r="AN163" s="14" t="str">
        <f t="shared" si="259"/>
        <v xml:space="preserve"> </v>
      </c>
      <c r="AO163" s="14" t="str">
        <f t="shared" si="260"/>
        <v xml:space="preserve"> </v>
      </c>
      <c r="AP163" s="14" t="str">
        <f t="shared" si="261"/>
        <v xml:space="preserve"> </v>
      </c>
      <c r="AQ163" s="14" t="str">
        <f t="shared" si="262"/>
        <v xml:space="preserve">spaciousness(2.1), reputation(3), organizational rules and manuals(2.1), team building(2.1),  </v>
      </c>
      <c r="AR163" s="14" t="str">
        <f t="shared" si="263"/>
        <v xml:space="preserve">reputation(-1,6.25%), efficiency(-1,6.25%),  </v>
      </c>
      <c r="AS163" s="27" t="str">
        <f t="shared" si="554"/>
        <v xml:space="preserve">reputation(6.25),efficiency(6.25), </v>
      </c>
      <c r="AT163" s="14" t="str">
        <f t="shared" si="265"/>
        <v xml:space="preserve"> </v>
      </c>
      <c r="AU163" s="14" t="str">
        <f t="shared" si="266"/>
        <v xml:space="preserve"> </v>
      </c>
      <c r="AV163" s="14" t="str">
        <f t="shared" si="267"/>
        <v xml:space="preserve"> </v>
      </c>
      <c r="AW163" s="14" t="str">
        <f t="shared" si="268"/>
        <v xml:space="preserve">user rules and manuals(2.1), team building(2.1),  </v>
      </c>
      <c r="AX163" s="14" t="str">
        <f t="shared" si="269"/>
        <v xml:space="preserve"> </v>
      </c>
      <c r="AY163" s="27" t="str">
        <f t="shared" si="554"/>
        <v xml:space="preserve"> </v>
      </c>
      <c r="AZ163" s="14" t="str">
        <f t="shared" si="271"/>
        <v xml:space="preserve"> </v>
      </c>
      <c r="BA163" s="14" t="str">
        <f t="shared" si="272"/>
        <v xml:space="preserve">efficiency(-1,12.5%), user rules and manuals(1,25%),  </v>
      </c>
      <c r="BB163" s="14" t="str">
        <f t="shared" si="273"/>
        <v xml:space="preserve">efficiency(12.5)
user rules and manuals(25)
 </v>
      </c>
      <c r="BC163" s="14" t="str">
        <f t="shared" si="274"/>
        <v xml:space="preserve">user rules and manuals(2.1), organizational rules and manuals(2.1),  </v>
      </c>
      <c r="BD163" s="14" t="str">
        <f t="shared" si="275"/>
        <v xml:space="preserve">reputation(-1,6.25%),  </v>
      </c>
      <c r="BE163" s="27" t="str">
        <f t="shared" si="554"/>
        <v xml:space="preserve">reputation(6.25), </v>
      </c>
      <c r="BF163" s="14" t="str">
        <f t="shared" si="277"/>
        <v xml:space="preserve"> </v>
      </c>
      <c r="BG163" s="14" t="str">
        <f t="shared" si="278"/>
        <v xml:space="preserve">user rules and manuals(1,25%), organizational rules and manuals(1,25%),  </v>
      </c>
      <c r="BH163" s="14" t="str">
        <f t="shared" si="279"/>
        <v xml:space="preserve">user rules and manuals(25)
organizational rules and manuals(25)
 </v>
      </c>
      <c r="BI163" s="14" t="str">
        <f t="shared" si="280"/>
        <v xml:space="preserve"> </v>
      </c>
      <c r="BJ163" s="14" t="str">
        <f t="shared" si="281"/>
        <v xml:space="preserve">reputation(-1,6.25%), efficiency(-1,25%),  </v>
      </c>
      <c r="BK163" s="27" t="str">
        <f t="shared" si="554"/>
        <v xml:space="preserve">reputation(6.25),efficiency(25), </v>
      </c>
      <c r="BL163" s="14" t="str">
        <f t="shared" si="283"/>
        <v xml:space="preserve">ease of access(1)
reputation(1)
aesthetics(1)
 </v>
      </c>
      <c r="BM163" s="14" t="str">
        <f t="shared" si="284"/>
        <v xml:space="preserve">biz enhancement(1,%),  </v>
      </c>
      <c r="BN163" s="14" t="str">
        <f t="shared" si="285"/>
        <v xml:space="preserve"> </v>
      </c>
      <c r="BO163" s="14" t="str">
        <f t="shared" si="286"/>
        <v xml:space="preserve">ease of access(2), reputation(3), efficiency(2), user rules and manuals(1), marketing(1), negotiation(1), aesthetics(2), functions(1), safety(1),  </v>
      </c>
      <c r="BP163" s="14" t="str">
        <f t="shared" si="287"/>
        <v xml:space="preserve"> </v>
      </c>
      <c r="BQ163" s="27" t="str">
        <f t="shared" si="554"/>
        <v xml:space="preserve"> </v>
      </c>
      <c r="BR163" s="14" t="str">
        <f t="shared" si="289"/>
        <v xml:space="preserve">ease of access(1)
reputation(1)
aesthetics(1)
 </v>
      </c>
      <c r="BS163" s="14" t="str">
        <f t="shared" si="290"/>
        <v xml:space="preserve">biz project(1,%),  </v>
      </c>
      <c r="BT163" s="14" t="str">
        <f t="shared" si="291"/>
        <v xml:space="preserve"> </v>
      </c>
      <c r="BU163" s="14" t="str">
        <f t="shared" si="292"/>
        <v xml:space="preserve">ease of access(2), reputation(3), efficiency(2), user rules and manuals(1), marketing(1), negotiation(1), wood processing(1), aesthetics(2),  </v>
      </c>
      <c r="BV163" s="14" t="str">
        <f t="shared" si="293"/>
        <v xml:space="preserve"> </v>
      </c>
      <c r="BW163" s="27" t="str">
        <f t="shared" si="554"/>
        <v xml:space="preserve"> </v>
      </c>
      <c r="BX163" s="14" t="str">
        <f t="shared" si="295"/>
        <v xml:space="preserve">ease of access(1)
reputation(1)
aesthetics(1)
interaction(1)
 </v>
      </c>
      <c r="BY163" s="14" t="str">
        <f t="shared" si="296"/>
        <v xml:space="preserve">biz project(1,%),  </v>
      </c>
      <c r="BZ163" s="14" t="str">
        <f t="shared" si="297"/>
        <v xml:space="preserve"> </v>
      </c>
      <c r="CA163" s="14" t="str">
        <f t="shared" si="298"/>
        <v xml:space="preserve">ease of access(2), reputation(3), efficiency(2), user rules and manuals(1), marketing(1), team building(1), social media(1), negotiation(1), web(2), infrastructrue(2), database(2), security(3), aesthetics(2), functions(1), interaction(2),  </v>
      </c>
      <c r="CB163" s="14" t="str">
        <f t="shared" si="299"/>
        <v xml:space="preserve"> </v>
      </c>
      <c r="CC163" s="27" t="str">
        <f t="shared" si="555"/>
        <v xml:space="preserve"> </v>
      </c>
      <c r="CD163" s="14" t="str">
        <f t="shared" si="301"/>
        <v xml:space="preserve">ease of access(1)
reputation(1)
aesthetics(1)
 </v>
      </c>
      <c r="CE163" s="14" t="str">
        <f t="shared" si="302"/>
        <v xml:space="preserve">biz project(1,%),  </v>
      </c>
      <c r="CF163" s="14" t="str">
        <f t="shared" si="303"/>
        <v xml:space="preserve"> </v>
      </c>
      <c r="CG163" s="14" t="str">
        <f t="shared" si="304"/>
        <v xml:space="preserve">ease of access(2), efficiency(2), user rules and manuals(1), marketing(1), team building(1), negotiation(1), infrastructrue(1), database(2), mobile apps(2), security(3), aesthetics(2), functions(1), interaction(2),  </v>
      </c>
      <c r="CH163" s="14" t="str">
        <f t="shared" si="305"/>
        <v xml:space="preserve"> </v>
      </c>
      <c r="CI163" s="27" t="str">
        <f t="shared" si="555"/>
        <v xml:space="preserve"> </v>
      </c>
      <c r="CJ163" s="14" t="str">
        <f t="shared" si="307"/>
        <v xml:space="preserve">ease of access(1)
reputation(1)
aesthetics(1)
 </v>
      </c>
      <c r="CK163" s="14" t="str">
        <f t="shared" si="308"/>
        <v xml:space="preserve">biz project(1,%),  </v>
      </c>
      <c r="CL163" s="14" t="str">
        <f t="shared" si="309"/>
        <v xml:space="preserve"> </v>
      </c>
      <c r="CM163" s="14" t="str">
        <f t="shared" si="310"/>
        <v xml:space="preserve">ease of access(2), reputation(3), efficiency(2), user rules and manuals(1), marketing(2), team building(1), social media(2), negotiation(1), web(2), infrastructrue(2), database(2), mobile apps(2), security(2), aesthetics(2), functions(1), interaction(2),  </v>
      </c>
      <c r="CN163" s="14" t="str">
        <f t="shared" si="311"/>
        <v xml:space="preserve"> </v>
      </c>
      <c r="CO163" s="27" t="str">
        <f t="shared" si="555"/>
        <v xml:space="preserve"> </v>
      </c>
      <c r="CP163" s="14" t="str">
        <f t="shared" si="313"/>
        <v xml:space="preserve">metal processing(1)
functions(1)
 </v>
      </c>
      <c r="CQ163" s="14" t="str">
        <f t="shared" si="314"/>
        <v xml:space="preserve">biz enhancement(1,50%),  </v>
      </c>
      <c r="CR163" s="14" t="str">
        <f t="shared" si="315"/>
        <v xml:space="preserve">biz enhancement(50)
 </v>
      </c>
      <c r="CS163" s="14" t="str">
        <f t="shared" si="316"/>
        <v xml:space="preserve">ease of access(2), reputation(3), efficiency(2), metal processing(2), electronics(2), aesthetics(2), functions(2), safety(2),  </v>
      </c>
      <c r="CT163" s="14" t="str">
        <f t="shared" si="317"/>
        <v xml:space="preserve">reputation(1,6.25%),  </v>
      </c>
      <c r="CU163" s="27" t="str">
        <f t="shared" si="555"/>
        <v xml:space="preserve">reputation(6.25), </v>
      </c>
      <c r="CV163" s="14" t="str">
        <f t="shared" si="319"/>
        <v xml:space="preserve">non-profits(1)
wood processing(1)
aesthetics(1)
interaction(1)
 </v>
      </c>
      <c r="CW163" s="14" t="str">
        <f t="shared" si="320"/>
        <v xml:space="preserve">non-profits(1,50%), social project(1,50%),  </v>
      </c>
      <c r="CX163" s="14" t="str">
        <f t="shared" si="321"/>
        <v xml:space="preserve">non-profits(50)
social project(50)
 </v>
      </c>
      <c r="CY163" s="14" t="str">
        <f t="shared" si="322"/>
        <v xml:space="preserve">ease of access(2), efficiency(3), sensors(2), wood processing(2), plastic processing(2), electronics(2), aesthetics(2), functions(1), safety(1), interaction(2),  </v>
      </c>
      <c r="CZ163" s="14" t="str">
        <f t="shared" si="323"/>
        <v xml:space="preserve">reputation(1,6.25%), portfolio(1,6.25%),  </v>
      </c>
      <c r="DA163" s="27" t="str">
        <f t="shared" si="555"/>
        <v xml:space="preserve">reputation(6.25),portfolio(6.25), </v>
      </c>
      <c r="DB163" s="14" t="str">
        <f t="shared" si="325"/>
        <v xml:space="preserve">non-profits(1)
aesthetics(1)
interaction(1)
 </v>
      </c>
      <c r="DC163" s="14" t="str">
        <f t="shared" si="326"/>
        <v xml:space="preserve">non-profits(1,50%), social project(1,50%),  </v>
      </c>
      <c r="DD163" s="14" t="str">
        <f t="shared" si="327"/>
        <v xml:space="preserve">non-profits(50)
social project(50)
 </v>
      </c>
      <c r="DE163" s="14" t="str">
        <f t="shared" si="328"/>
        <v xml:space="preserve">ease of access(2), efficiency(3), VR&amp;AR(2),  </v>
      </c>
      <c r="DF163" s="14" t="str">
        <f t="shared" si="329"/>
        <v xml:space="preserve">reputation(1,6.25%), portfolio(1,6.25%),  </v>
      </c>
      <c r="DG163" s="27" t="str">
        <f t="shared" si="555"/>
        <v xml:space="preserve">reputation(6.25),portfolio(6.25), </v>
      </c>
      <c r="DH163" s="14" t="str">
        <f t="shared" si="331"/>
        <v xml:space="preserve">wood processing(1)
aesthetics(1)
safety(1)
 </v>
      </c>
      <c r="DI163" s="14" t="str">
        <f t="shared" si="332"/>
        <v xml:space="preserve">social project(1,100%),  </v>
      </c>
      <c r="DJ163" s="14" t="str">
        <f t="shared" si="333"/>
        <v xml:space="preserve">social project(100)
 </v>
      </c>
      <c r="DK163" s="14" t="str">
        <f t="shared" si="334"/>
        <v xml:space="preserve">non-profits(2), spaciousness(2), ease of access(2), efficiency(2), finance(2), marketing(2), team building(2), project management(2), social media(2), negotiation(2), sensors(1), wood processing(2), metal processing(2), plastic processing(2), electronics(2), fabric(1), aesthetics(1), functions(2), safety(2), interaction(2),  </v>
      </c>
      <c r="DL163" s="14" t="str">
        <f t="shared" si="335"/>
        <v xml:space="preserve">reputation(1,6.25%), portfolio(1,6.25%), team building(1,6.25%),  </v>
      </c>
      <c r="DM163" s="27" t="str">
        <f t="shared" si="555"/>
        <v xml:space="preserve">reputation(6.25),portfolio(6.25),team building(6.25), </v>
      </c>
      <c r="DN163" s="14" t="str">
        <f t="shared" si="337"/>
        <v xml:space="preserve">spaciousness(1)
ease of access(2)
reputation(3)
project management(2)
wood processing(1)
plastic processing(1)
electronics(1)
aesthetics(2)
functions(1)
safety(1)
biz project(1)
 </v>
      </c>
      <c r="DO163" s="14" t="str">
        <f t="shared" si="338"/>
        <v xml:space="preserve">reputation(1,25%), portfolio(1,50%),  </v>
      </c>
      <c r="DP163" s="14" t="str">
        <f t="shared" si="339"/>
        <v xml:space="preserve">reputation(25)
portfolio(50)
 </v>
      </c>
      <c r="DQ163" s="14" t="str">
        <f t="shared" si="340"/>
        <v xml:space="preserve">social media(2), wood processing(2), plastic processing(2), electronics(2), aesthetics(2),  </v>
      </c>
      <c r="DR163" s="14" t="str">
        <f t="shared" si="341"/>
        <v xml:space="preserve">reputation(1,6.25%),  </v>
      </c>
      <c r="DS163" s="27" t="str">
        <f t="shared" si="555"/>
        <v xml:space="preserve">reputation(6.25), </v>
      </c>
      <c r="DT163" s="14" t="str">
        <f t="shared" si="343"/>
        <v xml:space="preserve">reputation(3)
portfolio(2)
 </v>
      </c>
      <c r="DU163" s="14" t="str">
        <f t="shared" si="344"/>
        <v xml:space="preserve">non-profits(1,50%), reputation(1,25%),  </v>
      </c>
      <c r="DV163" s="14" t="str">
        <f t="shared" si="345"/>
        <v xml:space="preserve">non-profits(50)
reputation(25)
 </v>
      </c>
      <c r="DW163" s="14" t="str">
        <f t="shared" si="346"/>
        <v xml:space="preserve">social media(2),  </v>
      </c>
      <c r="DX163" s="14" t="str">
        <f t="shared" si="347"/>
        <v xml:space="preserve">reputation(1,6.25%),  </v>
      </c>
      <c r="DY163" s="27" t="str">
        <f t="shared" si="555"/>
        <v xml:space="preserve">reputation(6.25), </v>
      </c>
      <c r="DZ163" s="14" t="str">
        <f t="shared" si="349"/>
        <v xml:space="preserve"> </v>
      </c>
      <c r="EA163" s="14" t="str">
        <f t="shared" si="350"/>
        <v xml:space="preserve"> </v>
      </c>
      <c r="EB163" s="14" t="str">
        <f t="shared" si="351"/>
        <v xml:space="preserve"> </v>
      </c>
      <c r="EC163" s="14" t="str">
        <f t="shared" si="352"/>
        <v xml:space="preserve"> </v>
      </c>
      <c r="ED163" s="14" t="str">
        <f t="shared" si="353"/>
        <v xml:space="preserve"> </v>
      </c>
      <c r="EE163" s="27" t="str">
        <f t="shared" si="555"/>
        <v xml:space="preserve"> </v>
      </c>
      <c r="EF163" s="14" t="str">
        <f t="shared" si="355"/>
        <v xml:space="preserve"> </v>
      </c>
      <c r="EG163" s="14" t="str">
        <f t="shared" si="356"/>
        <v xml:space="preserve"> </v>
      </c>
      <c r="EH163" s="14" t="str">
        <f t="shared" si="357"/>
        <v xml:space="preserve"> </v>
      </c>
      <c r="EI163" s="14" t="str">
        <f t="shared" si="358"/>
        <v xml:space="preserve"> </v>
      </c>
      <c r="EJ163" s="14" t="str">
        <f t="shared" si="359"/>
        <v xml:space="preserve"> </v>
      </c>
      <c r="EK163" s="27" t="str">
        <f t="shared" si="555"/>
        <v xml:space="preserve"> </v>
      </c>
      <c r="EL163" s="14" t="str">
        <f t="shared" si="361"/>
        <v xml:space="preserve"> </v>
      </c>
      <c r="EM163" s="14" t="str">
        <f t="shared" si="362"/>
        <v xml:space="preserve"> </v>
      </c>
      <c r="EN163" s="14" t="str">
        <f t="shared" si="363"/>
        <v xml:space="preserve"> </v>
      </c>
      <c r="EO163" s="14" t="str">
        <f t="shared" si="364"/>
        <v xml:space="preserve"> </v>
      </c>
      <c r="EP163" s="14" t="str">
        <f t="shared" si="365"/>
        <v xml:space="preserve"> </v>
      </c>
      <c r="EQ163" s="27" t="str">
        <f t="shared" si="556"/>
        <v xml:space="preserve"> </v>
      </c>
      <c r="ER163" s="14" t="str">
        <f t="shared" si="367"/>
        <v xml:space="preserve"> </v>
      </c>
      <c r="ES163" s="14" t="str">
        <f t="shared" si="368"/>
        <v xml:space="preserve"> </v>
      </c>
      <c r="ET163" s="14" t="str">
        <f t="shared" si="369"/>
        <v xml:space="preserve"> </v>
      </c>
      <c r="EU163" s="14" t="str">
        <f t="shared" si="370"/>
        <v xml:space="preserve"> </v>
      </c>
      <c r="EV163" s="14" t="str">
        <f t="shared" si="371"/>
        <v xml:space="preserve"> </v>
      </c>
      <c r="EW163" s="27" t="str">
        <f t="shared" si="556"/>
        <v xml:space="preserve"> </v>
      </c>
      <c r="EX163" s="14" t="str">
        <f t="shared" si="373"/>
        <v xml:space="preserve"> </v>
      </c>
      <c r="EY163" s="14" t="str">
        <f t="shared" si="374"/>
        <v xml:space="preserve"> </v>
      </c>
      <c r="EZ163" s="14" t="str">
        <f t="shared" si="375"/>
        <v xml:space="preserve"> </v>
      </c>
      <c r="FA163" s="14" t="str">
        <f t="shared" si="376"/>
        <v xml:space="preserve"> </v>
      </c>
      <c r="FB163" s="14" t="str">
        <f t="shared" si="377"/>
        <v xml:space="preserve"> </v>
      </c>
      <c r="FC163" s="27" t="str">
        <f t="shared" si="556"/>
        <v xml:space="preserve"> </v>
      </c>
      <c r="FD163" s="14" t="str">
        <f t="shared" si="379"/>
        <v xml:space="preserve"> </v>
      </c>
      <c r="FE163" s="14" t="str">
        <f t="shared" si="380"/>
        <v xml:space="preserve"> </v>
      </c>
      <c r="FF163" s="14" t="str">
        <f t="shared" si="381"/>
        <v xml:space="preserve"> </v>
      </c>
      <c r="FG163" s="14" t="str">
        <f t="shared" si="382"/>
        <v xml:space="preserve"> </v>
      </c>
      <c r="FH163" s="14" t="str">
        <f t="shared" si="383"/>
        <v xml:space="preserve"> </v>
      </c>
      <c r="FI163" s="27" t="str">
        <f t="shared" si="556"/>
        <v xml:space="preserve"> </v>
      </c>
      <c r="FJ163" s="14" t="str">
        <f t="shared" si="385"/>
        <v xml:space="preserve"> </v>
      </c>
      <c r="FK163" s="14" t="str">
        <f t="shared" si="386"/>
        <v xml:space="preserve"> </v>
      </c>
      <c r="FL163" s="14" t="str">
        <f t="shared" si="387"/>
        <v xml:space="preserve"> </v>
      </c>
      <c r="FM163" s="14" t="str">
        <f t="shared" si="388"/>
        <v xml:space="preserve"> </v>
      </c>
      <c r="FN163" s="14" t="str">
        <f t="shared" si="389"/>
        <v xml:space="preserve"> </v>
      </c>
      <c r="FO163" s="27" t="str">
        <f t="shared" si="556"/>
        <v xml:space="preserve"> </v>
      </c>
      <c r="FP163" s="14" t="str">
        <f t="shared" si="391"/>
        <v xml:space="preserve"> </v>
      </c>
      <c r="FQ163" s="14" t="str">
        <f t="shared" si="392"/>
        <v xml:space="preserve"> </v>
      </c>
      <c r="FR163" s="14" t="str">
        <f t="shared" si="393"/>
        <v xml:space="preserve"> </v>
      </c>
      <c r="FS163" s="14" t="str">
        <f t="shared" si="394"/>
        <v xml:space="preserve"> </v>
      </c>
      <c r="FT163" s="14" t="str">
        <f t="shared" si="395"/>
        <v xml:space="preserve"> </v>
      </c>
      <c r="FU163" s="27" t="str">
        <f t="shared" si="556"/>
        <v xml:space="preserve"> </v>
      </c>
      <c r="FV163" s="14" t="str">
        <f t="shared" si="397"/>
        <v xml:space="preserve"> </v>
      </c>
      <c r="FW163" s="14" t="str">
        <f t="shared" si="398"/>
        <v xml:space="preserve"> </v>
      </c>
      <c r="FX163" s="14" t="str">
        <f t="shared" si="399"/>
        <v xml:space="preserve"> </v>
      </c>
      <c r="FY163" s="14" t="str">
        <f t="shared" si="400"/>
        <v xml:space="preserve"> </v>
      </c>
      <c r="FZ163" s="14" t="str">
        <f t="shared" si="401"/>
        <v xml:space="preserve"> </v>
      </c>
      <c r="GA163" s="27" t="str">
        <f t="shared" si="556"/>
        <v xml:space="preserve"> </v>
      </c>
      <c r="GB163" s="14" t="str">
        <f t="shared" si="403"/>
        <v xml:space="preserve"> </v>
      </c>
      <c r="GC163" s="14" t="str">
        <f t="shared" si="404"/>
        <v xml:space="preserve"> </v>
      </c>
      <c r="GD163" s="14" t="str">
        <f t="shared" si="405"/>
        <v xml:space="preserve"> </v>
      </c>
      <c r="GE163" s="14" t="str">
        <f t="shared" si="406"/>
        <v xml:space="preserve"> </v>
      </c>
      <c r="GF163" s="14" t="str">
        <f t="shared" si="407"/>
        <v xml:space="preserve"> </v>
      </c>
      <c r="GG163" s="27" t="str">
        <f t="shared" si="556"/>
        <v xml:space="preserve"> </v>
      </c>
      <c r="GH163" s="14" t="str">
        <f t="shared" si="409"/>
        <v xml:space="preserve"> </v>
      </c>
      <c r="GI163" s="14" t="str">
        <f t="shared" si="410"/>
        <v xml:space="preserve"> </v>
      </c>
      <c r="GJ163" s="14" t="str">
        <f t="shared" si="411"/>
        <v xml:space="preserve"> </v>
      </c>
      <c r="GK163" s="14" t="str">
        <f t="shared" si="412"/>
        <v xml:space="preserve"> </v>
      </c>
      <c r="GL163" s="14" t="str">
        <f t="shared" si="413"/>
        <v xml:space="preserve"> </v>
      </c>
      <c r="GM163" s="27" t="str">
        <f t="shared" si="556"/>
        <v xml:space="preserve"> </v>
      </c>
      <c r="GN163" s="14" t="str">
        <f t="shared" si="415"/>
        <v xml:space="preserve"> </v>
      </c>
      <c r="GO163" s="14" t="str">
        <f t="shared" si="416"/>
        <v xml:space="preserve"> </v>
      </c>
      <c r="GP163" s="14" t="str">
        <f t="shared" si="417"/>
        <v xml:space="preserve"> </v>
      </c>
      <c r="GQ163" s="14" t="str">
        <f t="shared" si="418"/>
        <v xml:space="preserve"> </v>
      </c>
      <c r="GR163" s="14" t="str">
        <f t="shared" si="419"/>
        <v xml:space="preserve"> </v>
      </c>
      <c r="GS163" s="27" t="str">
        <f t="shared" si="556"/>
        <v xml:space="preserve"> </v>
      </c>
      <c r="GT163" s="14" t="str">
        <f t="shared" si="421"/>
        <v xml:space="preserve"> </v>
      </c>
      <c r="GU163" s="14" t="str">
        <f t="shared" si="422"/>
        <v xml:space="preserve"> </v>
      </c>
      <c r="GV163" s="14" t="str">
        <f t="shared" si="423"/>
        <v xml:space="preserve"> </v>
      </c>
      <c r="GW163" s="14" t="str">
        <f t="shared" si="424"/>
        <v xml:space="preserve"> </v>
      </c>
      <c r="GX163" s="14" t="str">
        <f t="shared" si="425"/>
        <v xml:space="preserve"> </v>
      </c>
      <c r="GY163" s="27" t="str">
        <f t="shared" si="556"/>
        <v xml:space="preserve"> </v>
      </c>
      <c r="GZ163" s="14" t="str">
        <f t="shared" si="427"/>
        <v xml:space="preserve"> </v>
      </c>
      <c r="HA163" s="14" t="str">
        <f t="shared" si="428"/>
        <v xml:space="preserve"> </v>
      </c>
      <c r="HB163" s="14" t="str">
        <f t="shared" si="429"/>
        <v xml:space="preserve"> </v>
      </c>
      <c r="HC163" s="14" t="str">
        <f t="shared" si="430"/>
        <v xml:space="preserve"> </v>
      </c>
      <c r="HD163" s="14" t="str">
        <f t="shared" si="431"/>
        <v xml:space="preserve"> </v>
      </c>
      <c r="HE163" s="27" t="str">
        <f t="shared" si="557"/>
        <v xml:space="preserve"> </v>
      </c>
      <c r="HF163" s="14" t="str">
        <f t="shared" si="433"/>
        <v xml:space="preserve"> </v>
      </c>
      <c r="HG163" s="14" t="str">
        <f t="shared" si="434"/>
        <v xml:space="preserve"> </v>
      </c>
      <c r="HH163" s="14" t="str">
        <f t="shared" si="435"/>
        <v xml:space="preserve"> </v>
      </c>
      <c r="HI163" s="14" t="str">
        <f t="shared" si="436"/>
        <v xml:space="preserve"> </v>
      </c>
      <c r="HJ163" s="14" t="str">
        <f t="shared" si="437"/>
        <v xml:space="preserve"> </v>
      </c>
      <c r="HK163" s="27" t="str">
        <f t="shared" si="557"/>
        <v xml:space="preserve"> </v>
      </c>
      <c r="HL163" s="14" t="str">
        <f t="shared" si="439"/>
        <v xml:space="preserve"> </v>
      </c>
      <c r="HM163" s="14" t="str">
        <f t="shared" si="440"/>
        <v xml:space="preserve"> </v>
      </c>
      <c r="HN163" s="14" t="str">
        <f t="shared" si="441"/>
        <v xml:space="preserve"> </v>
      </c>
      <c r="HO163" s="14" t="str">
        <f t="shared" si="442"/>
        <v xml:space="preserve"> </v>
      </c>
      <c r="HP163" s="14" t="str">
        <f t="shared" si="443"/>
        <v xml:space="preserve"> </v>
      </c>
      <c r="HQ163" s="27" t="str">
        <f t="shared" si="557"/>
        <v xml:space="preserve"> </v>
      </c>
    </row>
    <row r="164" spans="1:225" ht="15.75" customHeight="1">
      <c r="A164" s="7">
        <f t="shared" ref="A164:C164" si="562">A56</f>
        <v>0</v>
      </c>
      <c r="B164" s="7" t="str">
        <f t="shared" si="562"/>
        <v>lab</v>
      </c>
      <c r="C164" s="7" t="str">
        <f t="shared" si="562"/>
        <v>spaciousness</v>
      </c>
      <c r="D164" s="14" t="str">
        <f t="shared" si="446"/>
        <v xml:space="preserve"> </v>
      </c>
      <c r="E164" s="14" t="str">
        <f t="shared" si="447"/>
        <v xml:space="preserve"> </v>
      </c>
      <c r="F164" s="14" t="str">
        <f t="shared" si="448"/>
        <v xml:space="preserve"> </v>
      </c>
      <c r="G164" s="14" t="str">
        <f t="shared" si="449"/>
        <v xml:space="preserve">efficiency(1), user rules and manuals(2.1), organizational rules and manuals(2.1),  </v>
      </c>
      <c r="H164" s="14" t="str">
        <f t="shared" si="450"/>
        <v xml:space="preserve">efficiency(-1,6.25%),  </v>
      </c>
      <c r="I164" s="27" t="str">
        <f t="shared" ref="I164" si="563">IF(I56="",I165,$C164&amp;"("&amp;I56&amp;"),"&amp;I165)</f>
        <v xml:space="preserve">efficiency(6.25), </v>
      </c>
      <c r="J164" s="14" t="str">
        <f t="shared" si="229"/>
        <v xml:space="preserve"> </v>
      </c>
      <c r="K164" s="14" t="str">
        <f t="shared" si="230"/>
        <v xml:space="preserve"> </v>
      </c>
      <c r="L164" s="14" t="str">
        <f t="shared" si="231"/>
        <v xml:space="preserve"> </v>
      </c>
      <c r="M164" s="14" t="str">
        <f t="shared" si="232"/>
        <v xml:space="preserve">efficiency(0.1), organizational rules and manuals(1.1),  </v>
      </c>
      <c r="N164" s="14" t="str">
        <f t="shared" si="233"/>
        <v xml:space="preserve"> </v>
      </c>
      <c r="O164" s="27" t="str">
        <f t="shared" si="554"/>
        <v xml:space="preserve"> </v>
      </c>
      <c r="P164" s="14" t="str">
        <f t="shared" si="235"/>
        <v xml:space="preserve"> </v>
      </c>
      <c r="Q164" s="14" t="str">
        <f t="shared" si="236"/>
        <v xml:space="preserve"> </v>
      </c>
      <c r="R164" s="14" t="str">
        <f t="shared" si="237"/>
        <v xml:space="preserve"> </v>
      </c>
      <c r="S164" s="14" t="str">
        <f t="shared" si="238"/>
        <v xml:space="preserve">team building(0.1),  </v>
      </c>
      <c r="T164" s="14" t="str">
        <f t="shared" si="239"/>
        <v xml:space="preserve">business model(-1,6.25%), web(-1,6.25%), mobile apps(-1,6.25%), aesthetics(-1,6.25%),  </v>
      </c>
      <c r="U164" s="27" t="str">
        <f t="shared" si="554"/>
        <v xml:space="preserve">business model(6.25),web(6.25),mobile apps(6.25),aesthetics(6.25), </v>
      </c>
      <c r="V164" s="14" t="str">
        <f t="shared" si="241"/>
        <v xml:space="preserve"> </v>
      </c>
      <c r="W164" s="14" t="str">
        <f t="shared" si="242"/>
        <v xml:space="preserve">efficiency(-1,25%),  </v>
      </c>
      <c r="X164" s="14" t="str">
        <f t="shared" si="243"/>
        <v xml:space="preserve">efficiency(25)
 </v>
      </c>
      <c r="Y164" s="14" t="str">
        <f t="shared" si="244"/>
        <v xml:space="preserve">spaciousness(1), ease of access(3), reputation(2), user rules and manuals(0.1), project management(0.1), negotiation(0.1),  </v>
      </c>
      <c r="Z164" s="14" t="str">
        <f t="shared" si="245"/>
        <v xml:space="preserve">reputation(-1,%),  </v>
      </c>
      <c r="AA164" s="27" t="str">
        <f t="shared" si="554"/>
        <v xml:space="preserve"> </v>
      </c>
      <c r="AB164" s="14" t="str">
        <f t="shared" si="247"/>
        <v xml:space="preserve"> </v>
      </c>
      <c r="AC164" s="14" t="str">
        <f t="shared" si="248"/>
        <v xml:space="preserve"> </v>
      </c>
      <c r="AD164" s="14" t="str">
        <f t="shared" si="249"/>
        <v xml:space="preserve"> </v>
      </c>
      <c r="AE164" s="14" t="str">
        <f t="shared" si="250"/>
        <v xml:space="preserve">spaciousness(1), user rules and manuals(1.1), organizational rules and manuals(1.1),  </v>
      </c>
      <c r="AF164" s="14" t="str">
        <f t="shared" si="251"/>
        <v xml:space="preserve">efficiency(-1,6.25%),  </v>
      </c>
      <c r="AG164" s="27" t="str">
        <f t="shared" si="554"/>
        <v xml:space="preserve">efficiency(6.25), </v>
      </c>
      <c r="AH164" s="14" t="str">
        <f t="shared" si="253"/>
        <v xml:space="preserve">ease of access(1)
reputation(1)
 </v>
      </c>
      <c r="AI164" s="14" t="str">
        <f t="shared" si="254"/>
        <v xml:space="preserve"> </v>
      </c>
      <c r="AJ164" s="14" t="str">
        <f t="shared" si="255"/>
        <v xml:space="preserve"> </v>
      </c>
      <c r="AK164" s="14" t="str">
        <f t="shared" si="256"/>
        <v xml:space="preserve">spaciousness(1), ease of access(1), reputation(2), user rules and manuals(2.1), organizational rules and manuals(2.1), law(1.1), negotiation(1.1),  </v>
      </c>
      <c r="AL164" s="14" t="str">
        <f t="shared" si="257"/>
        <v xml:space="preserve">reputation(-1,6.25%),  </v>
      </c>
      <c r="AM164" s="27" t="str">
        <f t="shared" si="554"/>
        <v xml:space="preserve">reputation(6.25), </v>
      </c>
      <c r="AN164" s="14" t="str">
        <f t="shared" si="259"/>
        <v xml:space="preserve"> </v>
      </c>
      <c r="AO164" s="14" t="str">
        <f t="shared" si="260"/>
        <v xml:space="preserve"> </v>
      </c>
      <c r="AP164" s="14" t="str">
        <f t="shared" si="261"/>
        <v xml:space="preserve"> </v>
      </c>
      <c r="AQ164" s="14" t="str">
        <f t="shared" si="262"/>
        <v xml:space="preserve">spaciousness(2.1), reputation(3), organizational rules and manuals(2.1), team building(2.1),  </v>
      </c>
      <c r="AR164" s="14" t="str">
        <f t="shared" si="263"/>
        <v xml:space="preserve">reputation(-1,6.25%), efficiency(-1,6.25%),  </v>
      </c>
      <c r="AS164" s="27" t="str">
        <f t="shared" si="554"/>
        <v xml:space="preserve">reputation(6.25),efficiency(6.25), </v>
      </c>
      <c r="AT164" s="14" t="str">
        <f t="shared" si="265"/>
        <v xml:space="preserve"> </v>
      </c>
      <c r="AU164" s="14" t="str">
        <f t="shared" si="266"/>
        <v xml:space="preserve"> </v>
      </c>
      <c r="AV164" s="14" t="str">
        <f t="shared" si="267"/>
        <v xml:space="preserve"> </v>
      </c>
      <c r="AW164" s="14" t="str">
        <f t="shared" si="268"/>
        <v xml:space="preserve">user rules and manuals(2.1), team building(2.1),  </v>
      </c>
      <c r="AX164" s="14" t="str">
        <f t="shared" si="269"/>
        <v xml:space="preserve"> </v>
      </c>
      <c r="AY164" s="27" t="str">
        <f t="shared" si="554"/>
        <v xml:space="preserve"> </v>
      </c>
      <c r="AZ164" s="14" t="str">
        <f t="shared" si="271"/>
        <v xml:space="preserve"> </v>
      </c>
      <c r="BA164" s="14" t="str">
        <f t="shared" si="272"/>
        <v xml:space="preserve">efficiency(-1,12.5%), user rules and manuals(1,25%),  </v>
      </c>
      <c r="BB164" s="14" t="str">
        <f t="shared" si="273"/>
        <v xml:space="preserve">efficiency(12.5)
user rules and manuals(25)
 </v>
      </c>
      <c r="BC164" s="14" t="str">
        <f t="shared" si="274"/>
        <v xml:space="preserve">user rules and manuals(2.1), organizational rules and manuals(2.1),  </v>
      </c>
      <c r="BD164" s="14" t="str">
        <f t="shared" si="275"/>
        <v xml:space="preserve">reputation(-1,6.25%),  </v>
      </c>
      <c r="BE164" s="27" t="str">
        <f t="shared" si="554"/>
        <v xml:space="preserve">reputation(6.25), </v>
      </c>
      <c r="BF164" s="14" t="str">
        <f t="shared" si="277"/>
        <v xml:space="preserve"> </v>
      </c>
      <c r="BG164" s="14" t="str">
        <f t="shared" si="278"/>
        <v xml:space="preserve">user rules and manuals(1,25%), organizational rules and manuals(1,25%),  </v>
      </c>
      <c r="BH164" s="14" t="str">
        <f t="shared" si="279"/>
        <v xml:space="preserve">user rules and manuals(25)
organizational rules and manuals(25)
 </v>
      </c>
      <c r="BI164" s="14" t="str">
        <f t="shared" si="280"/>
        <v xml:space="preserve"> </v>
      </c>
      <c r="BJ164" s="14" t="str">
        <f t="shared" si="281"/>
        <v xml:space="preserve">reputation(-1,6.25%), efficiency(-1,25%),  </v>
      </c>
      <c r="BK164" s="27" t="str">
        <f t="shared" si="554"/>
        <v xml:space="preserve">reputation(6.25),efficiency(25), </v>
      </c>
      <c r="BL164" s="14" t="str">
        <f t="shared" si="283"/>
        <v xml:space="preserve">ease of access(1)
reputation(1)
aesthetics(1)
 </v>
      </c>
      <c r="BM164" s="14" t="str">
        <f t="shared" si="284"/>
        <v xml:space="preserve">biz enhancement(1,%),  </v>
      </c>
      <c r="BN164" s="14" t="str">
        <f t="shared" si="285"/>
        <v xml:space="preserve"> </v>
      </c>
      <c r="BO164" s="14" t="str">
        <f t="shared" si="286"/>
        <v xml:space="preserve">ease of access(2), reputation(3), efficiency(2), user rules and manuals(1), marketing(1), negotiation(1), aesthetics(2), functions(1), safety(1),  </v>
      </c>
      <c r="BP164" s="14" t="str">
        <f t="shared" si="287"/>
        <v xml:space="preserve"> </v>
      </c>
      <c r="BQ164" s="27" t="str">
        <f t="shared" si="554"/>
        <v xml:space="preserve"> </v>
      </c>
      <c r="BR164" s="14" t="str">
        <f t="shared" si="289"/>
        <v xml:space="preserve">ease of access(1)
reputation(1)
aesthetics(1)
 </v>
      </c>
      <c r="BS164" s="14" t="str">
        <f t="shared" si="290"/>
        <v xml:space="preserve">biz project(1,%),  </v>
      </c>
      <c r="BT164" s="14" t="str">
        <f t="shared" si="291"/>
        <v xml:space="preserve"> </v>
      </c>
      <c r="BU164" s="14" t="str">
        <f t="shared" si="292"/>
        <v xml:space="preserve">ease of access(2), reputation(3), efficiency(2), user rules and manuals(1), marketing(1), negotiation(1), wood processing(1), aesthetics(2),  </v>
      </c>
      <c r="BV164" s="14" t="str">
        <f t="shared" si="293"/>
        <v xml:space="preserve"> </v>
      </c>
      <c r="BW164" s="27" t="str">
        <f t="shared" si="554"/>
        <v xml:space="preserve"> </v>
      </c>
      <c r="BX164" s="14" t="str">
        <f t="shared" si="295"/>
        <v xml:space="preserve">ease of access(1)
reputation(1)
aesthetics(1)
interaction(1)
 </v>
      </c>
      <c r="BY164" s="14" t="str">
        <f t="shared" si="296"/>
        <v xml:space="preserve">biz project(1,%),  </v>
      </c>
      <c r="BZ164" s="14" t="str">
        <f t="shared" si="297"/>
        <v xml:space="preserve"> </v>
      </c>
      <c r="CA164" s="14" t="str">
        <f t="shared" si="298"/>
        <v xml:space="preserve">ease of access(2), reputation(3), efficiency(2), user rules and manuals(1), marketing(1), team building(1), social media(1), negotiation(1), web(2), infrastructrue(2), database(2), security(3), aesthetics(2), functions(1), interaction(2),  </v>
      </c>
      <c r="CB164" s="14" t="str">
        <f t="shared" si="299"/>
        <v xml:space="preserve"> </v>
      </c>
      <c r="CC164" s="27" t="str">
        <f t="shared" si="555"/>
        <v xml:space="preserve"> </v>
      </c>
      <c r="CD164" s="14" t="str">
        <f t="shared" si="301"/>
        <v xml:space="preserve">ease of access(1)
reputation(1)
aesthetics(1)
 </v>
      </c>
      <c r="CE164" s="14" t="str">
        <f t="shared" si="302"/>
        <v xml:space="preserve">biz project(1,%),  </v>
      </c>
      <c r="CF164" s="14" t="str">
        <f t="shared" si="303"/>
        <v xml:space="preserve"> </v>
      </c>
      <c r="CG164" s="14" t="str">
        <f t="shared" si="304"/>
        <v xml:space="preserve">ease of access(2), efficiency(2), user rules and manuals(1), marketing(1), team building(1), negotiation(1), infrastructrue(1), database(2), mobile apps(2), security(3), aesthetics(2), functions(1), interaction(2),  </v>
      </c>
      <c r="CH164" s="14" t="str">
        <f t="shared" si="305"/>
        <v xml:space="preserve"> </v>
      </c>
      <c r="CI164" s="27" t="str">
        <f t="shared" si="555"/>
        <v xml:space="preserve"> </v>
      </c>
      <c r="CJ164" s="14" t="str">
        <f t="shared" si="307"/>
        <v xml:space="preserve">ease of access(1)
reputation(1)
aesthetics(1)
 </v>
      </c>
      <c r="CK164" s="14" t="str">
        <f t="shared" si="308"/>
        <v xml:space="preserve">biz project(1,%),  </v>
      </c>
      <c r="CL164" s="14" t="str">
        <f t="shared" si="309"/>
        <v xml:space="preserve"> </v>
      </c>
      <c r="CM164" s="14" t="str">
        <f t="shared" si="310"/>
        <v xml:space="preserve">ease of access(2), reputation(3), efficiency(2), user rules and manuals(1), marketing(2), team building(1), social media(2), negotiation(1), web(2), infrastructrue(2), database(2), mobile apps(2), security(2), aesthetics(2), functions(1), interaction(2),  </v>
      </c>
      <c r="CN164" s="14" t="str">
        <f t="shared" si="311"/>
        <v xml:space="preserve"> </v>
      </c>
      <c r="CO164" s="27" t="str">
        <f t="shared" si="555"/>
        <v xml:space="preserve"> </v>
      </c>
      <c r="CP164" s="14" t="str">
        <f t="shared" si="313"/>
        <v xml:space="preserve">metal processing(1)
functions(1)
 </v>
      </c>
      <c r="CQ164" s="14" t="str">
        <f t="shared" si="314"/>
        <v xml:space="preserve">biz enhancement(1,50%),  </v>
      </c>
      <c r="CR164" s="14" t="str">
        <f t="shared" si="315"/>
        <v xml:space="preserve">biz enhancement(50)
 </v>
      </c>
      <c r="CS164" s="14" t="str">
        <f t="shared" si="316"/>
        <v xml:space="preserve">ease of access(2), reputation(3), efficiency(2), metal processing(2), electronics(2), aesthetics(2), functions(2), safety(2),  </v>
      </c>
      <c r="CT164" s="14" t="str">
        <f t="shared" si="317"/>
        <v xml:space="preserve">reputation(1,6.25%),  </v>
      </c>
      <c r="CU164" s="27" t="str">
        <f t="shared" si="555"/>
        <v xml:space="preserve">reputation(6.25), </v>
      </c>
      <c r="CV164" s="14" t="str">
        <f t="shared" si="319"/>
        <v xml:space="preserve">wood processing(1)
aesthetics(1)
interaction(1)
 </v>
      </c>
      <c r="CW164" s="14" t="str">
        <f t="shared" si="320"/>
        <v xml:space="preserve">social project(1,50%),  </v>
      </c>
      <c r="CX164" s="14" t="str">
        <f t="shared" si="321"/>
        <v xml:space="preserve">social project(50)
 </v>
      </c>
      <c r="CY164" s="14" t="str">
        <f t="shared" si="322"/>
        <v xml:space="preserve">ease of access(2), efficiency(3), sensors(2), wood processing(2), plastic processing(2), electronics(2), aesthetics(2), functions(1), safety(1), interaction(2),  </v>
      </c>
      <c r="CZ164" s="14" t="str">
        <f t="shared" si="323"/>
        <v xml:space="preserve">reputation(1,6.25%), portfolio(1,6.25%),  </v>
      </c>
      <c r="DA164" s="27" t="str">
        <f t="shared" si="555"/>
        <v xml:space="preserve">reputation(6.25),portfolio(6.25), </v>
      </c>
      <c r="DB164" s="14" t="str">
        <f t="shared" si="325"/>
        <v xml:space="preserve">aesthetics(1)
interaction(1)
 </v>
      </c>
      <c r="DC164" s="14" t="str">
        <f t="shared" si="326"/>
        <v xml:space="preserve">social project(1,50%),  </v>
      </c>
      <c r="DD164" s="14" t="str">
        <f t="shared" si="327"/>
        <v xml:space="preserve">social project(50)
 </v>
      </c>
      <c r="DE164" s="14" t="str">
        <f t="shared" si="328"/>
        <v xml:space="preserve">ease of access(2), efficiency(3), VR&amp;AR(2),  </v>
      </c>
      <c r="DF164" s="14" t="str">
        <f t="shared" si="329"/>
        <v xml:space="preserve">reputation(1,6.25%), portfolio(1,6.25%),  </v>
      </c>
      <c r="DG164" s="27" t="str">
        <f t="shared" si="555"/>
        <v xml:space="preserve">reputation(6.25),portfolio(6.25), </v>
      </c>
      <c r="DH164" s="14" t="str">
        <f t="shared" si="331"/>
        <v xml:space="preserve">wood processing(1)
aesthetics(1)
safety(1)
 </v>
      </c>
      <c r="DI164" s="14" t="str">
        <f t="shared" si="332"/>
        <v xml:space="preserve">social project(1,100%),  </v>
      </c>
      <c r="DJ164" s="14" t="str">
        <f t="shared" si="333"/>
        <v xml:space="preserve">social project(100)
 </v>
      </c>
      <c r="DK164" s="14" t="str">
        <f t="shared" si="334"/>
        <v xml:space="preserve">spaciousness(2), ease of access(2), efficiency(2), finance(2), marketing(2), team building(2), project management(2), social media(2), negotiation(2), sensors(1), wood processing(2), metal processing(2), plastic processing(2), electronics(2), fabric(1), aesthetics(1), functions(2), safety(2), interaction(2),  </v>
      </c>
      <c r="DL164" s="14" t="str">
        <f t="shared" si="335"/>
        <v xml:space="preserve">reputation(1,6.25%), portfolio(1,6.25%), team building(1,6.25%),  </v>
      </c>
      <c r="DM164" s="27" t="str">
        <f t="shared" si="555"/>
        <v xml:space="preserve">reputation(6.25),portfolio(6.25),team building(6.25), </v>
      </c>
      <c r="DN164" s="14" t="str">
        <f t="shared" si="337"/>
        <v xml:space="preserve">spaciousness(1)
ease of access(2)
reputation(3)
project management(2)
wood processing(1)
plastic processing(1)
electronics(1)
aesthetics(2)
functions(1)
safety(1)
biz project(1)
 </v>
      </c>
      <c r="DO164" s="14" t="str">
        <f t="shared" si="338"/>
        <v xml:space="preserve">reputation(1,25%), portfolio(1,50%),  </v>
      </c>
      <c r="DP164" s="14" t="str">
        <f t="shared" si="339"/>
        <v xml:space="preserve">reputation(25)
portfolio(50)
 </v>
      </c>
      <c r="DQ164" s="14" t="str">
        <f t="shared" si="340"/>
        <v xml:space="preserve">social media(2), wood processing(2), plastic processing(2), electronics(2), aesthetics(2),  </v>
      </c>
      <c r="DR164" s="14" t="str">
        <f t="shared" si="341"/>
        <v xml:space="preserve">reputation(1,6.25%),  </v>
      </c>
      <c r="DS164" s="27" t="str">
        <f t="shared" si="555"/>
        <v xml:space="preserve">reputation(6.25), </v>
      </c>
      <c r="DT164" s="14" t="str">
        <f t="shared" si="343"/>
        <v xml:space="preserve">reputation(3)
portfolio(2)
 </v>
      </c>
      <c r="DU164" s="14" t="str">
        <f t="shared" si="344"/>
        <v xml:space="preserve">reputation(1,25%),  </v>
      </c>
      <c r="DV164" s="14" t="str">
        <f t="shared" si="345"/>
        <v xml:space="preserve">reputation(25)
 </v>
      </c>
      <c r="DW164" s="14" t="str">
        <f t="shared" si="346"/>
        <v xml:space="preserve">social media(2),  </v>
      </c>
      <c r="DX164" s="14" t="str">
        <f t="shared" si="347"/>
        <v xml:space="preserve">reputation(1,6.25%),  </v>
      </c>
      <c r="DY164" s="27" t="str">
        <f t="shared" si="555"/>
        <v xml:space="preserve">reputation(6.25), </v>
      </c>
      <c r="DZ164" s="14" t="str">
        <f t="shared" si="349"/>
        <v xml:space="preserve"> </v>
      </c>
      <c r="EA164" s="14" t="str">
        <f t="shared" si="350"/>
        <v xml:space="preserve"> </v>
      </c>
      <c r="EB164" s="14" t="str">
        <f t="shared" si="351"/>
        <v xml:space="preserve"> </v>
      </c>
      <c r="EC164" s="14" t="str">
        <f t="shared" si="352"/>
        <v xml:space="preserve"> </v>
      </c>
      <c r="ED164" s="14" t="str">
        <f t="shared" si="353"/>
        <v xml:space="preserve"> </v>
      </c>
      <c r="EE164" s="27" t="str">
        <f t="shared" si="555"/>
        <v xml:space="preserve"> </v>
      </c>
      <c r="EF164" s="14" t="str">
        <f t="shared" si="355"/>
        <v xml:space="preserve"> </v>
      </c>
      <c r="EG164" s="14" t="str">
        <f t="shared" si="356"/>
        <v xml:space="preserve"> </v>
      </c>
      <c r="EH164" s="14" t="str">
        <f t="shared" si="357"/>
        <v xml:space="preserve"> </v>
      </c>
      <c r="EI164" s="14" t="str">
        <f t="shared" si="358"/>
        <v xml:space="preserve"> </v>
      </c>
      <c r="EJ164" s="14" t="str">
        <f t="shared" si="359"/>
        <v xml:space="preserve"> </v>
      </c>
      <c r="EK164" s="27" t="str">
        <f t="shared" si="555"/>
        <v xml:space="preserve"> </v>
      </c>
      <c r="EL164" s="14" t="str">
        <f t="shared" si="361"/>
        <v xml:space="preserve"> </v>
      </c>
      <c r="EM164" s="14" t="str">
        <f t="shared" si="362"/>
        <v xml:space="preserve"> </v>
      </c>
      <c r="EN164" s="14" t="str">
        <f t="shared" si="363"/>
        <v xml:space="preserve"> </v>
      </c>
      <c r="EO164" s="14" t="str">
        <f t="shared" si="364"/>
        <v xml:space="preserve"> </v>
      </c>
      <c r="EP164" s="14" t="str">
        <f t="shared" si="365"/>
        <v xml:space="preserve"> </v>
      </c>
      <c r="EQ164" s="27" t="str">
        <f t="shared" si="556"/>
        <v xml:space="preserve"> </v>
      </c>
      <c r="ER164" s="14" t="str">
        <f t="shared" si="367"/>
        <v xml:space="preserve"> </v>
      </c>
      <c r="ES164" s="14" t="str">
        <f t="shared" si="368"/>
        <v xml:space="preserve"> </v>
      </c>
      <c r="ET164" s="14" t="str">
        <f t="shared" si="369"/>
        <v xml:space="preserve"> </v>
      </c>
      <c r="EU164" s="14" t="str">
        <f t="shared" si="370"/>
        <v xml:space="preserve"> </v>
      </c>
      <c r="EV164" s="14" t="str">
        <f t="shared" si="371"/>
        <v xml:space="preserve"> </v>
      </c>
      <c r="EW164" s="27" t="str">
        <f t="shared" si="556"/>
        <v xml:space="preserve"> </v>
      </c>
      <c r="EX164" s="14" t="str">
        <f t="shared" si="373"/>
        <v xml:space="preserve"> </v>
      </c>
      <c r="EY164" s="14" t="str">
        <f t="shared" si="374"/>
        <v xml:space="preserve"> </v>
      </c>
      <c r="EZ164" s="14" t="str">
        <f t="shared" si="375"/>
        <v xml:space="preserve"> </v>
      </c>
      <c r="FA164" s="14" t="str">
        <f t="shared" si="376"/>
        <v xml:space="preserve"> </v>
      </c>
      <c r="FB164" s="14" t="str">
        <f t="shared" si="377"/>
        <v xml:space="preserve"> </v>
      </c>
      <c r="FC164" s="27" t="str">
        <f t="shared" si="556"/>
        <v xml:space="preserve"> </v>
      </c>
      <c r="FD164" s="14" t="str">
        <f t="shared" si="379"/>
        <v xml:space="preserve"> </v>
      </c>
      <c r="FE164" s="14" t="str">
        <f t="shared" si="380"/>
        <v xml:space="preserve"> </v>
      </c>
      <c r="FF164" s="14" t="str">
        <f t="shared" si="381"/>
        <v xml:space="preserve"> </v>
      </c>
      <c r="FG164" s="14" t="str">
        <f t="shared" si="382"/>
        <v xml:space="preserve"> </v>
      </c>
      <c r="FH164" s="14" t="str">
        <f t="shared" si="383"/>
        <v xml:space="preserve"> </v>
      </c>
      <c r="FI164" s="27" t="str">
        <f t="shared" si="556"/>
        <v xml:space="preserve"> </v>
      </c>
      <c r="FJ164" s="14" t="str">
        <f t="shared" si="385"/>
        <v xml:space="preserve"> </v>
      </c>
      <c r="FK164" s="14" t="str">
        <f t="shared" si="386"/>
        <v xml:space="preserve"> </v>
      </c>
      <c r="FL164" s="14" t="str">
        <f t="shared" si="387"/>
        <v xml:space="preserve"> </v>
      </c>
      <c r="FM164" s="14" t="str">
        <f t="shared" si="388"/>
        <v xml:space="preserve"> </v>
      </c>
      <c r="FN164" s="14" t="str">
        <f t="shared" si="389"/>
        <v xml:space="preserve"> </v>
      </c>
      <c r="FO164" s="27" t="str">
        <f t="shared" si="556"/>
        <v xml:space="preserve"> </v>
      </c>
      <c r="FP164" s="14" t="str">
        <f t="shared" si="391"/>
        <v xml:space="preserve"> </v>
      </c>
      <c r="FQ164" s="14" t="str">
        <f t="shared" si="392"/>
        <v xml:space="preserve"> </v>
      </c>
      <c r="FR164" s="14" t="str">
        <f t="shared" si="393"/>
        <v xml:space="preserve"> </v>
      </c>
      <c r="FS164" s="14" t="str">
        <f t="shared" si="394"/>
        <v xml:space="preserve"> </v>
      </c>
      <c r="FT164" s="14" t="str">
        <f t="shared" si="395"/>
        <v xml:space="preserve"> </v>
      </c>
      <c r="FU164" s="27" t="str">
        <f t="shared" si="556"/>
        <v xml:space="preserve"> </v>
      </c>
      <c r="FV164" s="14" t="str">
        <f t="shared" si="397"/>
        <v xml:space="preserve"> </v>
      </c>
      <c r="FW164" s="14" t="str">
        <f t="shared" si="398"/>
        <v xml:space="preserve"> </v>
      </c>
      <c r="FX164" s="14" t="str">
        <f t="shared" si="399"/>
        <v xml:space="preserve"> </v>
      </c>
      <c r="FY164" s="14" t="str">
        <f t="shared" si="400"/>
        <v xml:space="preserve"> </v>
      </c>
      <c r="FZ164" s="14" t="str">
        <f t="shared" si="401"/>
        <v xml:space="preserve"> </v>
      </c>
      <c r="GA164" s="27" t="str">
        <f t="shared" si="556"/>
        <v xml:space="preserve"> </v>
      </c>
      <c r="GB164" s="14" t="str">
        <f t="shared" si="403"/>
        <v xml:space="preserve"> </v>
      </c>
      <c r="GC164" s="14" t="str">
        <f t="shared" si="404"/>
        <v xml:space="preserve"> </v>
      </c>
      <c r="GD164" s="14" t="str">
        <f t="shared" si="405"/>
        <v xml:space="preserve"> </v>
      </c>
      <c r="GE164" s="14" t="str">
        <f t="shared" si="406"/>
        <v xml:space="preserve"> </v>
      </c>
      <c r="GF164" s="14" t="str">
        <f t="shared" si="407"/>
        <v xml:space="preserve"> </v>
      </c>
      <c r="GG164" s="27" t="str">
        <f t="shared" si="556"/>
        <v xml:space="preserve"> </v>
      </c>
      <c r="GH164" s="14" t="str">
        <f t="shared" si="409"/>
        <v xml:space="preserve"> </v>
      </c>
      <c r="GI164" s="14" t="str">
        <f t="shared" si="410"/>
        <v xml:space="preserve"> </v>
      </c>
      <c r="GJ164" s="14" t="str">
        <f t="shared" si="411"/>
        <v xml:space="preserve"> </v>
      </c>
      <c r="GK164" s="14" t="str">
        <f t="shared" si="412"/>
        <v xml:space="preserve"> </v>
      </c>
      <c r="GL164" s="14" t="str">
        <f t="shared" si="413"/>
        <v xml:space="preserve"> </v>
      </c>
      <c r="GM164" s="27" t="str">
        <f t="shared" si="556"/>
        <v xml:space="preserve"> </v>
      </c>
      <c r="GN164" s="14" t="str">
        <f t="shared" si="415"/>
        <v xml:space="preserve"> </v>
      </c>
      <c r="GO164" s="14" t="str">
        <f t="shared" si="416"/>
        <v xml:space="preserve"> </v>
      </c>
      <c r="GP164" s="14" t="str">
        <f t="shared" si="417"/>
        <v xml:space="preserve"> </v>
      </c>
      <c r="GQ164" s="14" t="str">
        <f t="shared" si="418"/>
        <v xml:space="preserve"> </v>
      </c>
      <c r="GR164" s="14" t="str">
        <f t="shared" si="419"/>
        <v xml:space="preserve"> </v>
      </c>
      <c r="GS164" s="27" t="str">
        <f t="shared" si="556"/>
        <v xml:space="preserve"> </v>
      </c>
      <c r="GT164" s="14" t="str">
        <f t="shared" si="421"/>
        <v xml:space="preserve"> </v>
      </c>
      <c r="GU164" s="14" t="str">
        <f t="shared" si="422"/>
        <v xml:space="preserve"> </v>
      </c>
      <c r="GV164" s="14" t="str">
        <f t="shared" si="423"/>
        <v xml:space="preserve"> </v>
      </c>
      <c r="GW164" s="14" t="str">
        <f t="shared" si="424"/>
        <v xml:space="preserve"> </v>
      </c>
      <c r="GX164" s="14" t="str">
        <f t="shared" si="425"/>
        <v xml:space="preserve"> </v>
      </c>
      <c r="GY164" s="27" t="str">
        <f t="shared" si="556"/>
        <v xml:space="preserve"> </v>
      </c>
      <c r="GZ164" s="14" t="str">
        <f t="shared" si="427"/>
        <v xml:space="preserve"> </v>
      </c>
      <c r="HA164" s="14" t="str">
        <f t="shared" si="428"/>
        <v xml:space="preserve"> </v>
      </c>
      <c r="HB164" s="14" t="str">
        <f t="shared" si="429"/>
        <v xml:space="preserve"> </v>
      </c>
      <c r="HC164" s="14" t="str">
        <f t="shared" si="430"/>
        <v xml:space="preserve"> </v>
      </c>
      <c r="HD164" s="14" t="str">
        <f t="shared" si="431"/>
        <v xml:space="preserve"> </v>
      </c>
      <c r="HE164" s="27" t="str">
        <f t="shared" si="557"/>
        <v xml:space="preserve"> </v>
      </c>
      <c r="HF164" s="14" t="str">
        <f t="shared" si="433"/>
        <v xml:space="preserve"> </v>
      </c>
      <c r="HG164" s="14" t="str">
        <f t="shared" si="434"/>
        <v xml:space="preserve"> </v>
      </c>
      <c r="HH164" s="14" t="str">
        <f t="shared" si="435"/>
        <v xml:space="preserve"> </v>
      </c>
      <c r="HI164" s="14" t="str">
        <f t="shared" si="436"/>
        <v xml:space="preserve"> </v>
      </c>
      <c r="HJ164" s="14" t="str">
        <f t="shared" si="437"/>
        <v xml:space="preserve"> </v>
      </c>
      <c r="HK164" s="27" t="str">
        <f t="shared" si="557"/>
        <v xml:space="preserve"> </v>
      </c>
      <c r="HL164" s="14" t="str">
        <f t="shared" si="439"/>
        <v xml:space="preserve"> </v>
      </c>
      <c r="HM164" s="14" t="str">
        <f t="shared" si="440"/>
        <v xml:space="preserve"> </v>
      </c>
      <c r="HN164" s="14" t="str">
        <f t="shared" si="441"/>
        <v xml:space="preserve"> </v>
      </c>
      <c r="HO164" s="14" t="str">
        <f t="shared" si="442"/>
        <v xml:space="preserve"> </v>
      </c>
      <c r="HP164" s="14" t="str">
        <f t="shared" si="443"/>
        <v xml:space="preserve"> </v>
      </c>
      <c r="HQ164" s="27" t="str">
        <f t="shared" si="557"/>
        <v xml:space="preserve"> </v>
      </c>
    </row>
    <row r="165" spans="1:225" ht="15.75" customHeight="1">
      <c r="A165" s="7">
        <f t="shared" ref="A165:C165" si="564">A57</f>
        <v>0</v>
      </c>
      <c r="B165" s="7">
        <f t="shared" si="564"/>
        <v>0</v>
      </c>
      <c r="C165" s="7" t="str">
        <f t="shared" si="564"/>
        <v>ease of access</v>
      </c>
      <c r="D165" s="14" t="str">
        <f t="shared" si="446"/>
        <v xml:space="preserve"> </v>
      </c>
      <c r="E165" s="14" t="str">
        <f t="shared" si="447"/>
        <v xml:space="preserve"> </v>
      </c>
      <c r="F165" s="14" t="str">
        <f t="shared" si="448"/>
        <v xml:space="preserve"> </v>
      </c>
      <c r="G165" s="14" t="str">
        <f t="shared" si="449"/>
        <v xml:space="preserve">efficiency(1), user rules and manuals(2.1), organizational rules and manuals(2.1),  </v>
      </c>
      <c r="H165" s="14" t="str">
        <f t="shared" si="450"/>
        <v xml:space="preserve">efficiency(-1,6.25%),  </v>
      </c>
      <c r="I165" s="27" t="str">
        <f t="shared" ref="I165" si="565">IF(I57="",I166,$C165&amp;"("&amp;I57&amp;"),"&amp;I166)</f>
        <v xml:space="preserve">efficiency(6.25), </v>
      </c>
      <c r="J165" s="14" t="str">
        <f t="shared" si="229"/>
        <v xml:space="preserve"> </v>
      </c>
      <c r="K165" s="14" t="str">
        <f t="shared" si="230"/>
        <v xml:space="preserve"> </v>
      </c>
      <c r="L165" s="14" t="str">
        <f t="shared" si="231"/>
        <v xml:space="preserve"> </v>
      </c>
      <c r="M165" s="14" t="str">
        <f t="shared" si="232"/>
        <v xml:space="preserve">efficiency(0.1), organizational rules and manuals(1.1),  </v>
      </c>
      <c r="N165" s="14" t="str">
        <f t="shared" si="233"/>
        <v xml:space="preserve"> </v>
      </c>
      <c r="O165" s="27" t="str">
        <f t="shared" si="554"/>
        <v xml:space="preserve"> </v>
      </c>
      <c r="P165" s="14" t="str">
        <f t="shared" si="235"/>
        <v xml:space="preserve"> </v>
      </c>
      <c r="Q165" s="14" t="str">
        <f t="shared" si="236"/>
        <v xml:space="preserve"> </v>
      </c>
      <c r="R165" s="14" t="str">
        <f t="shared" si="237"/>
        <v xml:space="preserve"> </v>
      </c>
      <c r="S165" s="14" t="str">
        <f t="shared" si="238"/>
        <v xml:space="preserve">team building(0.1),  </v>
      </c>
      <c r="T165" s="14" t="str">
        <f t="shared" si="239"/>
        <v xml:space="preserve">business model(-1,6.25%), web(-1,6.25%), mobile apps(-1,6.25%), aesthetics(-1,6.25%),  </v>
      </c>
      <c r="U165" s="27" t="str">
        <f t="shared" si="554"/>
        <v xml:space="preserve">business model(6.25),web(6.25),mobile apps(6.25),aesthetics(6.25), </v>
      </c>
      <c r="V165" s="14" t="str">
        <f t="shared" si="241"/>
        <v xml:space="preserve"> </v>
      </c>
      <c r="W165" s="14" t="str">
        <f t="shared" si="242"/>
        <v xml:space="preserve">efficiency(-1,25%),  </v>
      </c>
      <c r="X165" s="14" t="str">
        <f t="shared" si="243"/>
        <v xml:space="preserve">efficiency(25)
 </v>
      </c>
      <c r="Y165" s="14" t="str">
        <f t="shared" si="244"/>
        <v xml:space="preserve">ease of access(3), reputation(2), user rules and manuals(0.1), project management(0.1), negotiation(0.1),  </v>
      </c>
      <c r="Z165" s="14" t="str">
        <f t="shared" si="245"/>
        <v xml:space="preserve">reputation(-1,%),  </v>
      </c>
      <c r="AA165" s="27" t="str">
        <f t="shared" si="554"/>
        <v xml:space="preserve"> </v>
      </c>
      <c r="AB165" s="14" t="str">
        <f t="shared" si="247"/>
        <v xml:space="preserve"> </v>
      </c>
      <c r="AC165" s="14" t="str">
        <f t="shared" si="248"/>
        <v xml:space="preserve"> </v>
      </c>
      <c r="AD165" s="14" t="str">
        <f t="shared" si="249"/>
        <v xml:space="preserve"> </v>
      </c>
      <c r="AE165" s="14" t="str">
        <f t="shared" si="250"/>
        <v xml:space="preserve">user rules and manuals(1.1), organizational rules and manuals(1.1),  </v>
      </c>
      <c r="AF165" s="14" t="str">
        <f t="shared" si="251"/>
        <v xml:space="preserve">efficiency(-1,6.25%),  </v>
      </c>
      <c r="AG165" s="27" t="str">
        <f t="shared" si="554"/>
        <v xml:space="preserve">efficiency(6.25), </v>
      </c>
      <c r="AH165" s="14" t="str">
        <f t="shared" si="253"/>
        <v xml:space="preserve">ease of access(1)
reputation(1)
 </v>
      </c>
      <c r="AI165" s="14" t="str">
        <f t="shared" si="254"/>
        <v xml:space="preserve"> </v>
      </c>
      <c r="AJ165" s="14" t="str">
        <f t="shared" si="255"/>
        <v xml:space="preserve"> </v>
      </c>
      <c r="AK165" s="14" t="str">
        <f t="shared" si="256"/>
        <v xml:space="preserve">ease of access(1), reputation(2), user rules and manuals(2.1), organizational rules and manuals(2.1), law(1.1), negotiation(1.1),  </v>
      </c>
      <c r="AL165" s="14" t="str">
        <f t="shared" si="257"/>
        <v xml:space="preserve">reputation(-1,6.25%),  </v>
      </c>
      <c r="AM165" s="27" t="str">
        <f t="shared" si="554"/>
        <v xml:space="preserve">reputation(6.25), </v>
      </c>
      <c r="AN165" s="14" t="str">
        <f t="shared" si="259"/>
        <v xml:space="preserve"> </v>
      </c>
      <c r="AO165" s="14" t="str">
        <f t="shared" si="260"/>
        <v xml:space="preserve"> </v>
      </c>
      <c r="AP165" s="14" t="str">
        <f t="shared" si="261"/>
        <v xml:space="preserve"> </v>
      </c>
      <c r="AQ165" s="14" t="str">
        <f t="shared" si="262"/>
        <v xml:space="preserve">reputation(3), organizational rules and manuals(2.1), team building(2.1),  </v>
      </c>
      <c r="AR165" s="14" t="str">
        <f t="shared" si="263"/>
        <v xml:space="preserve">reputation(-1,6.25%), efficiency(-1,6.25%),  </v>
      </c>
      <c r="AS165" s="27" t="str">
        <f t="shared" si="554"/>
        <v xml:space="preserve">reputation(6.25),efficiency(6.25), </v>
      </c>
      <c r="AT165" s="14" t="str">
        <f t="shared" si="265"/>
        <v xml:space="preserve"> </v>
      </c>
      <c r="AU165" s="14" t="str">
        <f t="shared" si="266"/>
        <v xml:space="preserve"> </v>
      </c>
      <c r="AV165" s="14" t="str">
        <f t="shared" si="267"/>
        <v xml:space="preserve"> </v>
      </c>
      <c r="AW165" s="14" t="str">
        <f t="shared" si="268"/>
        <v xml:space="preserve">user rules and manuals(2.1), team building(2.1),  </v>
      </c>
      <c r="AX165" s="14" t="str">
        <f t="shared" si="269"/>
        <v xml:space="preserve"> </v>
      </c>
      <c r="AY165" s="27" t="str">
        <f t="shared" si="554"/>
        <v xml:space="preserve"> </v>
      </c>
      <c r="AZ165" s="14" t="str">
        <f t="shared" si="271"/>
        <v xml:space="preserve"> </v>
      </c>
      <c r="BA165" s="14" t="str">
        <f t="shared" si="272"/>
        <v xml:space="preserve">efficiency(-1,12.5%), user rules and manuals(1,25%),  </v>
      </c>
      <c r="BB165" s="14" t="str">
        <f t="shared" si="273"/>
        <v xml:space="preserve">efficiency(12.5)
user rules and manuals(25)
 </v>
      </c>
      <c r="BC165" s="14" t="str">
        <f t="shared" si="274"/>
        <v xml:space="preserve">user rules and manuals(2.1), organizational rules and manuals(2.1),  </v>
      </c>
      <c r="BD165" s="14" t="str">
        <f t="shared" si="275"/>
        <v xml:space="preserve">reputation(-1,6.25%),  </v>
      </c>
      <c r="BE165" s="27" t="str">
        <f t="shared" si="554"/>
        <v xml:space="preserve">reputation(6.25), </v>
      </c>
      <c r="BF165" s="14" t="str">
        <f t="shared" si="277"/>
        <v xml:space="preserve"> </v>
      </c>
      <c r="BG165" s="14" t="str">
        <f t="shared" si="278"/>
        <v xml:space="preserve">user rules and manuals(1,25%), organizational rules and manuals(1,25%),  </v>
      </c>
      <c r="BH165" s="14" t="str">
        <f t="shared" si="279"/>
        <v xml:space="preserve">user rules and manuals(25)
organizational rules and manuals(25)
 </v>
      </c>
      <c r="BI165" s="14" t="str">
        <f t="shared" si="280"/>
        <v xml:space="preserve"> </v>
      </c>
      <c r="BJ165" s="14" t="str">
        <f t="shared" si="281"/>
        <v xml:space="preserve">reputation(-1,6.25%), efficiency(-1,25%),  </v>
      </c>
      <c r="BK165" s="27" t="str">
        <f t="shared" si="554"/>
        <v xml:space="preserve">reputation(6.25),efficiency(25), </v>
      </c>
      <c r="BL165" s="14" t="str">
        <f t="shared" si="283"/>
        <v xml:space="preserve">ease of access(1)
reputation(1)
aesthetics(1)
 </v>
      </c>
      <c r="BM165" s="14" t="str">
        <f t="shared" si="284"/>
        <v xml:space="preserve">biz enhancement(1,%),  </v>
      </c>
      <c r="BN165" s="14" t="str">
        <f t="shared" si="285"/>
        <v xml:space="preserve"> </v>
      </c>
      <c r="BO165" s="14" t="str">
        <f t="shared" si="286"/>
        <v xml:space="preserve">ease of access(2), reputation(3), efficiency(2), user rules and manuals(1), marketing(1), negotiation(1), aesthetics(2), functions(1), safety(1),  </v>
      </c>
      <c r="BP165" s="14" t="str">
        <f t="shared" si="287"/>
        <v xml:space="preserve"> </v>
      </c>
      <c r="BQ165" s="27" t="str">
        <f t="shared" si="554"/>
        <v xml:space="preserve"> </v>
      </c>
      <c r="BR165" s="14" t="str">
        <f t="shared" si="289"/>
        <v xml:space="preserve">ease of access(1)
reputation(1)
aesthetics(1)
 </v>
      </c>
      <c r="BS165" s="14" t="str">
        <f t="shared" si="290"/>
        <v xml:space="preserve">biz project(1,%),  </v>
      </c>
      <c r="BT165" s="14" t="str">
        <f t="shared" si="291"/>
        <v xml:space="preserve"> </v>
      </c>
      <c r="BU165" s="14" t="str">
        <f t="shared" si="292"/>
        <v xml:space="preserve">ease of access(2), reputation(3), efficiency(2), user rules and manuals(1), marketing(1), negotiation(1), wood processing(1), aesthetics(2),  </v>
      </c>
      <c r="BV165" s="14" t="str">
        <f t="shared" si="293"/>
        <v xml:space="preserve"> </v>
      </c>
      <c r="BW165" s="27" t="str">
        <f t="shared" si="554"/>
        <v xml:space="preserve"> </v>
      </c>
      <c r="BX165" s="14" t="str">
        <f t="shared" si="295"/>
        <v xml:space="preserve">ease of access(1)
reputation(1)
aesthetics(1)
interaction(1)
 </v>
      </c>
      <c r="BY165" s="14" t="str">
        <f t="shared" si="296"/>
        <v xml:space="preserve">biz project(1,%),  </v>
      </c>
      <c r="BZ165" s="14" t="str">
        <f t="shared" si="297"/>
        <v xml:space="preserve"> </v>
      </c>
      <c r="CA165" s="14" t="str">
        <f t="shared" si="298"/>
        <v xml:space="preserve">ease of access(2), reputation(3), efficiency(2), user rules and manuals(1), marketing(1), team building(1), social media(1), negotiation(1), web(2), infrastructrue(2), database(2), security(3), aesthetics(2), functions(1), interaction(2),  </v>
      </c>
      <c r="CB165" s="14" t="str">
        <f t="shared" si="299"/>
        <v xml:space="preserve"> </v>
      </c>
      <c r="CC165" s="27" t="str">
        <f t="shared" si="555"/>
        <v xml:space="preserve"> </v>
      </c>
      <c r="CD165" s="14" t="str">
        <f t="shared" si="301"/>
        <v xml:space="preserve">ease of access(1)
reputation(1)
aesthetics(1)
 </v>
      </c>
      <c r="CE165" s="14" t="str">
        <f t="shared" si="302"/>
        <v xml:space="preserve">biz project(1,%),  </v>
      </c>
      <c r="CF165" s="14" t="str">
        <f t="shared" si="303"/>
        <v xml:space="preserve"> </v>
      </c>
      <c r="CG165" s="14" t="str">
        <f t="shared" si="304"/>
        <v xml:space="preserve">ease of access(2), efficiency(2), user rules and manuals(1), marketing(1), team building(1), negotiation(1), infrastructrue(1), database(2), mobile apps(2), security(3), aesthetics(2), functions(1), interaction(2),  </v>
      </c>
      <c r="CH165" s="14" t="str">
        <f t="shared" si="305"/>
        <v xml:space="preserve"> </v>
      </c>
      <c r="CI165" s="27" t="str">
        <f t="shared" si="555"/>
        <v xml:space="preserve"> </v>
      </c>
      <c r="CJ165" s="14" t="str">
        <f t="shared" si="307"/>
        <v xml:space="preserve">ease of access(1)
reputation(1)
aesthetics(1)
 </v>
      </c>
      <c r="CK165" s="14" t="str">
        <f t="shared" si="308"/>
        <v xml:space="preserve">biz project(1,%),  </v>
      </c>
      <c r="CL165" s="14" t="str">
        <f t="shared" si="309"/>
        <v xml:space="preserve"> </v>
      </c>
      <c r="CM165" s="14" t="str">
        <f t="shared" si="310"/>
        <v xml:space="preserve">ease of access(2), reputation(3), efficiency(2), user rules and manuals(1), marketing(2), team building(1), social media(2), negotiation(1), web(2), infrastructrue(2), database(2), mobile apps(2), security(2), aesthetics(2), functions(1), interaction(2),  </v>
      </c>
      <c r="CN165" s="14" t="str">
        <f t="shared" si="311"/>
        <v xml:space="preserve"> </v>
      </c>
      <c r="CO165" s="27" t="str">
        <f t="shared" si="555"/>
        <v xml:space="preserve"> </v>
      </c>
      <c r="CP165" s="14" t="str">
        <f t="shared" si="313"/>
        <v xml:space="preserve">metal processing(1)
functions(1)
 </v>
      </c>
      <c r="CQ165" s="14" t="str">
        <f t="shared" si="314"/>
        <v xml:space="preserve">biz enhancement(1,50%),  </v>
      </c>
      <c r="CR165" s="14" t="str">
        <f t="shared" si="315"/>
        <v xml:space="preserve">biz enhancement(50)
 </v>
      </c>
      <c r="CS165" s="14" t="str">
        <f t="shared" si="316"/>
        <v xml:space="preserve">ease of access(2), reputation(3), efficiency(2), metal processing(2), electronics(2), aesthetics(2), functions(2), safety(2),  </v>
      </c>
      <c r="CT165" s="14" t="str">
        <f t="shared" si="317"/>
        <v xml:space="preserve">reputation(1,6.25%),  </v>
      </c>
      <c r="CU165" s="27" t="str">
        <f t="shared" si="555"/>
        <v xml:space="preserve">reputation(6.25), </v>
      </c>
      <c r="CV165" s="14" t="str">
        <f t="shared" si="319"/>
        <v xml:space="preserve">wood processing(1)
aesthetics(1)
interaction(1)
 </v>
      </c>
      <c r="CW165" s="14" t="str">
        <f t="shared" si="320"/>
        <v xml:space="preserve">social project(1,50%),  </v>
      </c>
      <c r="CX165" s="14" t="str">
        <f t="shared" si="321"/>
        <v xml:space="preserve">social project(50)
 </v>
      </c>
      <c r="CY165" s="14" t="str">
        <f t="shared" si="322"/>
        <v xml:space="preserve">ease of access(2), efficiency(3), sensors(2), wood processing(2), plastic processing(2), electronics(2), aesthetics(2), functions(1), safety(1), interaction(2),  </v>
      </c>
      <c r="CZ165" s="14" t="str">
        <f t="shared" si="323"/>
        <v xml:space="preserve">reputation(1,6.25%), portfolio(1,6.25%),  </v>
      </c>
      <c r="DA165" s="27" t="str">
        <f t="shared" si="555"/>
        <v xml:space="preserve">reputation(6.25),portfolio(6.25), </v>
      </c>
      <c r="DB165" s="14" t="str">
        <f t="shared" si="325"/>
        <v xml:space="preserve">aesthetics(1)
interaction(1)
 </v>
      </c>
      <c r="DC165" s="14" t="str">
        <f t="shared" si="326"/>
        <v xml:space="preserve">social project(1,50%),  </v>
      </c>
      <c r="DD165" s="14" t="str">
        <f t="shared" si="327"/>
        <v xml:space="preserve">social project(50)
 </v>
      </c>
      <c r="DE165" s="14" t="str">
        <f t="shared" si="328"/>
        <v xml:space="preserve">ease of access(2), efficiency(3), VR&amp;AR(2),  </v>
      </c>
      <c r="DF165" s="14" t="str">
        <f t="shared" si="329"/>
        <v xml:space="preserve">reputation(1,6.25%), portfolio(1,6.25%),  </v>
      </c>
      <c r="DG165" s="27" t="str">
        <f t="shared" si="555"/>
        <v xml:space="preserve">reputation(6.25),portfolio(6.25), </v>
      </c>
      <c r="DH165" s="14" t="str">
        <f t="shared" si="331"/>
        <v xml:space="preserve">wood processing(1)
aesthetics(1)
safety(1)
 </v>
      </c>
      <c r="DI165" s="14" t="str">
        <f t="shared" si="332"/>
        <v xml:space="preserve">social project(1,100%),  </v>
      </c>
      <c r="DJ165" s="14" t="str">
        <f t="shared" si="333"/>
        <v xml:space="preserve">social project(100)
 </v>
      </c>
      <c r="DK165" s="14" t="str">
        <f t="shared" si="334"/>
        <v xml:space="preserve">ease of access(2), efficiency(2), finance(2), marketing(2), team building(2), project management(2), social media(2), negotiation(2), sensors(1), wood processing(2), metal processing(2), plastic processing(2), electronics(2), fabric(1), aesthetics(1), functions(2), safety(2), interaction(2),  </v>
      </c>
      <c r="DL165" s="14" t="str">
        <f t="shared" si="335"/>
        <v xml:space="preserve">reputation(1,6.25%), portfolio(1,6.25%), team building(1,6.25%),  </v>
      </c>
      <c r="DM165" s="27" t="str">
        <f t="shared" si="555"/>
        <v xml:space="preserve">reputation(6.25),portfolio(6.25),team building(6.25), </v>
      </c>
      <c r="DN165" s="14" t="str">
        <f t="shared" si="337"/>
        <v xml:space="preserve">ease of access(2)
reputation(3)
project management(2)
wood processing(1)
plastic processing(1)
electronics(1)
aesthetics(2)
functions(1)
safety(1)
biz project(1)
 </v>
      </c>
      <c r="DO165" s="14" t="str">
        <f t="shared" si="338"/>
        <v xml:space="preserve">reputation(1,25%), portfolio(1,50%),  </v>
      </c>
      <c r="DP165" s="14" t="str">
        <f t="shared" si="339"/>
        <v xml:space="preserve">reputation(25)
portfolio(50)
 </v>
      </c>
      <c r="DQ165" s="14" t="str">
        <f t="shared" si="340"/>
        <v xml:space="preserve">social media(2), wood processing(2), plastic processing(2), electronics(2), aesthetics(2),  </v>
      </c>
      <c r="DR165" s="14" t="str">
        <f t="shared" si="341"/>
        <v xml:space="preserve">reputation(1,6.25%),  </v>
      </c>
      <c r="DS165" s="27" t="str">
        <f t="shared" si="555"/>
        <v xml:space="preserve">reputation(6.25), </v>
      </c>
      <c r="DT165" s="14" t="str">
        <f t="shared" si="343"/>
        <v xml:space="preserve">reputation(3)
portfolio(2)
 </v>
      </c>
      <c r="DU165" s="14" t="str">
        <f t="shared" si="344"/>
        <v xml:space="preserve">reputation(1,25%),  </v>
      </c>
      <c r="DV165" s="14" t="str">
        <f t="shared" si="345"/>
        <v xml:space="preserve">reputation(25)
 </v>
      </c>
      <c r="DW165" s="14" t="str">
        <f t="shared" si="346"/>
        <v xml:space="preserve">social media(2),  </v>
      </c>
      <c r="DX165" s="14" t="str">
        <f t="shared" si="347"/>
        <v xml:space="preserve">reputation(1,6.25%),  </v>
      </c>
      <c r="DY165" s="27" t="str">
        <f t="shared" si="555"/>
        <v xml:space="preserve">reputation(6.25), </v>
      </c>
      <c r="DZ165" s="14" t="str">
        <f t="shared" si="349"/>
        <v xml:space="preserve"> </v>
      </c>
      <c r="EA165" s="14" t="str">
        <f t="shared" si="350"/>
        <v xml:space="preserve"> </v>
      </c>
      <c r="EB165" s="14" t="str">
        <f t="shared" si="351"/>
        <v xml:space="preserve"> </v>
      </c>
      <c r="EC165" s="14" t="str">
        <f t="shared" si="352"/>
        <v xml:space="preserve"> </v>
      </c>
      <c r="ED165" s="14" t="str">
        <f t="shared" si="353"/>
        <v xml:space="preserve"> </v>
      </c>
      <c r="EE165" s="27" t="str">
        <f t="shared" si="555"/>
        <v xml:space="preserve"> </v>
      </c>
      <c r="EF165" s="14" t="str">
        <f t="shared" si="355"/>
        <v xml:space="preserve"> </v>
      </c>
      <c r="EG165" s="14" t="str">
        <f t="shared" si="356"/>
        <v xml:space="preserve"> </v>
      </c>
      <c r="EH165" s="14" t="str">
        <f t="shared" si="357"/>
        <v xml:space="preserve"> </v>
      </c>
      <c r="EI165" s="14" t="str">
        <f t="shared" si="358"/>
        <v xml:space="preserve"> </v>
      </c>
      <c r="EJ165" s="14" t="str">
        <f t="shared" si="359"/>
        <v xml:space="preserve"> </v>
      </c>
      <c r="EK165" s="27" t="str">
        <f t="shared" si="555"/>
        <v xml:space="preserve"> </v>
      </c>
      <c r="EL165" s="14" t="str">
        <f t="shared" si="361"/>
        <v xml:space="preserve"> </v>
      </c>
      <c r="EM165" s="14" t="str">
        <f t="shared" si="362"/>
        <v xml:space="preserve"> </v>
      </c>
      <c r="EN165" s="14" t="str">
        <f t="shared" si="363"/>
        <v xml:space="preserve"> </v>
      </c>
      <c r="EO165" s="14" t="str">
        <f t="shared" si="364"/>
        <v xml:space="preserve"> </v>
      </c>
      <c r="EP165" s="14" t="str">
        <f t="shared" si="365"/>
        <v xml:space="preserve"> </v>
      </c>
      <c r="EQ165" s="27" t="str">
        <f t="shared" si="556"/>
        <v xml:space="preserve"> </v>
      </c>
      <c r="ER165" s="14" t="str">
        <f t="shared" si="367"/>
        <v xml:space="preserve"> </v>
      </c>
      <c r="ES165" s="14" t="str">
        <f t="shared" si="368"/>
        <v xml:space="preserve"> </v>
      </c>
      <c r="ET165" s="14" t="str">
        <f t="shared" si="369"/>
        <v xml:space="preserve"> </v>
      </c>
      <c r="EU165" s="14" t="str">
        <f t="shared" si="370"/>
        <v xml:space="preserve"> </v>
      </c>
      <c r="EV165" s="14" t="str">
        <f t="shared" si="371"/>
        <v xml:space="preserve"> </v>
      </c>
      <c r="EW165" s="27" t="str">
        <f t="shared" si="556"/>
        <v xml:space="preserve"> </v>
      </c>
      <c r="EX165" s="14" t="str">
        <f t="shared" si="373"/>
        <v xml:space="preserve"> </v>
      </c>
      <c r="EY165" s="14" t="str">
        <f t="shared" si="374"/>
        <v xml:space="preserve"> </v>
      </c>
      <c r="EZ165" s="14" t="str">
        <f t="shared" si="375"/>
        <v xml:space="preserve"> </v>
      </c>
      <c r="FA165" s="14" t="str">
        <f t="shared" si="376"/>
        <v xml:space="preserve"> </v>
      </c>
      <c r="FB165" s="14" t="str">
        <f t="shared" si="377"/>
        <v xml:space="preserve"> </v>
      </c>
      <c r="FC165" s="27" t="str">
        <f t="shared" si="556"/>
        <v xml:space="preserve"> </v>
      </c>
      <c r="FD165" s="14" t="str">
        <f t="shared" si="379"/>
        <v xml:space="preserve"> </v>
      </c>
      <c r="FE165" s="14" t="str">
        <f t="shared" si="380"/>
        <v xml:space="preserve"> </v>
      </c>
      <c r="FF165" s="14" t="str">
        <f t="shared" si="381"/>
        <v xml:space="preserve"> </v>
      </c>
      <c r="FG165" s="14" t="str">
        <f t="shared" si="382"/>
        <v xml:space="preserve"> </v>
      </c>
      <c r="FH165" s="14" t="str">
        <f t="shared" si="383"/>
        <v xml:space="preserve"> </v>
      </c>
      <c r="FI165" s="27" t="str">
        <f t="shared" si="556"/>
        <v xml:space="preserve"> </v>
      </c>
      <c r="FJ165" s="14" t="str">
        <f t="shared" si="385"/>
        <v xml:space="preserve"> </v>
      </c>
      <c r="FK165" s="14" t="str">
        <f t="shared" si="386"/>
        <v xml:space="preserve"> </v>
      </c>
      <c r="FL165" s="14" t="str">
        <f t="shared" si="387"/>
        <v xml:space="preserve"> </v>
      </c>
      <c r="FM165" s="14" t="str">
        <f t="shared" si="388"/>
        <v xml:space="preserve"> </v>
      </c>
      <c r="FN165" s="14" t="str">
        <f t="shared" si="389"/>
        <v xml:space="preserve"> </v>
      </c>
      <c r="FO165" s="27" t="str">
        <f t="shared" si="556"/>
        <v xml:space="preserve"> </v>
      </c>
      <c r="FP165" s="14" t="str">
        <f t="shared" si="391"/>
        <v xml:space="preserve"> </v>
      </c>
      <c r="FQ165" s="14" t="str">
        <f t="shared" si="392"/>
        <v xml:space="preserve"> </v>
      </c>
      <c r="FR165" s="14" t="str">
        <f t="shared" si="393"/>
        <v xml:space="preserve"> </v>
      </c>
      <c r="FS165" s="14" t="str">
        <f t="shared" si="394"/>
        <v xml:space="preserve"> </v>
      </c>
      <c r="FT165" s="14" t="str">
        <f t="shared" si="395"/>
        <v xml:space="preserve"> </v>
      </c>
      <c r="FU165" s="27" t="str">
        <f t="shared" si="556"/>
        <v xml:space="preserve"> </v>
      </c>
      <c r="FV165" s="14" t="str">
        <f t="shared" si="397"/>
        <v xml:space="preserve"> </v>
      </c>
      <c r="FW165" s="14" t="str">
        <f t="shared" si="398"/>
        <v xml:space="preserve"> </v>
      </c>
      <c r="FX165" s="14" t="str">
        <f t="shared" si="399"/>
        <v xml:space="preserve"> </v>
      </c>
      <c r="FY165" s="14" t="str">
        <f t="shared" si="400"/>
        <v xml:space="preserve"> </v>
      </c>
      <c r="FZ165" s="14" t="str">
        <f t="shared" si="401"/>
        <v xml:space="preserve"> </v>
      </c>
      <c r="GA165" s="27" t="str">
        <f t="shared" si="556"/>
        <v xml:space="preserve"> </v>
      </c>
      <c r="GB165" s="14" t="str">
        <f t="shared" si="403"/>
        <v xml:space="preserve"> </v>
      </c>
      <c r="GC165" s="14" t="str">
        <f t="shared" si="404"/>
        <v xml:space="preserve"> </v>
      </c>
      <c r="GD165" s="14" t="str">
        <f t="shared" si="405"/>
        <v xml:space="preserve"> </v>
      </c>
      <c r="GE165" s="14" t="str">
        <f t="shared" si="406"/>
        <v xml:space="preserve"> </v>
      </c>
      <c r="GF165" s="14" t="str">
        <f t="shared" si="407"/>
        <v xml:space="preserve"> </v>
      </c>
      <c r="GG165" s="27" t="str">
        <f t="shared" si="556"/>
        <v xml:space="preserve"> </v>
      </c>
      <c r="GH165" s="14" t="str">
        <f t="shared" si="409"/>
        <v xml:space="preserve"> </v>
      </c>
      <c r="GI165" s="14" t="str">
        <f t="shared" si="410"/>
        <v xml:space="preserve"> </v>
      </c>
      <c r="GJ165" s="14" t="str">
        <f t="shared" si="411"/>
        <v xml:space="preserve"> </v>
      </c>
      <c r="GK165" s="14" t="str">
        <f t="shared" si="412"/>
        <v xml:space="preserve"> </v>
      </c>
      <c r="GL165" s="14" t="str">
        <f t="shared" si="413"/>
        <v xml:space="preserve"> </v>
      </c>
      <c r="GM165" s="27" t="str">
        <f t="shared" si="556"/>
        <v xml:space="preserve"> </v>
      </c>
      <c r="GN165" s="14" t="str">
        <f t="shared" si="415"/>
        <v xml:space="preserve"> </v>
      </c>
      <c r="GO165" s="14" t="str">
        <f t="shared" si="416"/>
        <v xml:space="preserve"> </v>
      </c>
      <c r="GP165" s="14" t="str">
        <f t="shared" si="417"/>
        <v xml:space="preserve"> </v>
      </c>
      <c r="GQ165" s="14" t="str">
        <f t="shared" si="418"/>
        <v xml:space="preserve"> </v>
      </c>
      <c r="GR165" s="14" t="str">
        <f t="shared" si="419"/>
        <v xml:space="preserve"> </v>
      </c>
      <c r="GS165" s="27" t="str">
        <f t="shared" si="556"/>
        <v xml:space="preserve"> </v>
      </c>
      <c r="GT165" s="14" t="str">
        <f t="shared" si="421"/>
        <v xml:space="preserve"> </v>
      </c>
      <c r="GU165" s="14" t="str">
        <f t="shared" si="422"/>
        <v xml:space="preserve"> </v>
      </c>
      <c r="GV165" s="14" t="str">
        <f t="shared" si="423"/>
        <v xml:space="preserve"> </v>
      </c>
      <c r="GW165" s="14" t="str">
        <f t="shared" si="424"/>
        <v xml:space="preserve"> </v>
      </c>
      <c r="GX165" s="14" t="str">
        <f t="shared" si="425"/>
        <v xml:space="preserve"> </v>
      </c>
      <c r="GY165" s="27" t="str">
        <f t="shared" si="556"/>
        <v xml:space="preserve"> </v>
      </c>
      <c r="GZ165" s="14" t="str">
        <f t="shared" si="427"/>
        <v xml:space="preserve"> </v>
      </c>
      <c r="HA165" s="14" t="str">
        <f t="shared" si="428"/>
        <v xml:space="preserve"> </v>
      </c>
      <c r="HB165" s="14" t="str">
        <f t="shared" si="429"/>
        <v xml:space="preserve"> </v>
      </c>
      <c r="HC165" s="14" t="str">
        <f t="shared" si="430"/>
        <v xml:space="preserve"> </v>
      </c>
      <c r="HD165" s="14" t="str">
        <f t="shared" si="431"/>
        <v xml:space="preserve"> </v>
      </c>
      <c r="HE165" s="27" t="str">
        <f t="shared" si="557"/>
        <v xml:space="preserve"> </v>
      </c>
      <c r="HF165" s="14" t="str">
        <f t="shared" si="433"/>
        <v xml:space="preserve"> </v>
      </c>
      <c r="HG165" s="14" t="str">
        <f t="shared" si="434"/>
        <v xml:space="preserve"> </v>
      </c>
      <c r="HH165" s="14" t="str">
        <f t="shared" si="435"/>
        <v xml:space="preserve"> </v>
      </c>
      <c r="HI165" s="14" t="str">
        <f t="shared" si="436"/>
        <v xml:space="preserve"> </v>
      </c>
      <c r="HJ165" s="14" t="str">
        <f t="shared" si="437"/>
        <v xml:space="preserve"> </v>
      </c>
      <c r="HK165" s="27" t="str">
        <f t="shared" si="557"/>
        <v xml:space="preserve"> </v>
      </c>
      <c r="HL165" s="14" t="str">
        <f t="shared" si="439"/>
        <v xml:space="preserve"> </v>
      </c>
      <c r="HM165" s="14" t="str">
        <f t="shared" si="440"/>
        <v xml:space="preserve"> </v>
      </c>
      <c r="HN165" s="14" t="str">
        <f t="shared" si="441"/>
        <v xml:space="preserve"> </v>
      </c>
      <c r="HO165" s="14" t="str">
        <f t="shared" si="442"/>
        <v xml:space="preserve"> </v>
      </c>
      <c r="HP165" s="14" t="str">
        <f t="shared" si="443"/>
        <v xml:space="preserve"> </v>
      </c>
      <c r="HQ165" s="27" t="str">
        <f t="shared" si="557"/>
        <v xml:space="preserve"> </v>
      </c>
    </row>
    <row r="166" spans="1:225" ht="15.75" customHeight="1">
      <c r="A166" s="7">
        <f t="shared" ref="A166:C166" si="566">A58</f>
        <v>0</v>
      </c>
      <c r="B166" s="7">
        <f t="shared" si="566"/>
        <v>0</v>
      </c>
      <c r="C166" s="7" t="str">
        <f t="shared" si="566"/>
        <v>reputation</v>
      </c>
      <c r="D166" s="14" t="str">
        <f t="shared" si="446"/>
        <v xml:space="preserve"> </v>
      </c>
      <c r="E166" s="14" t="str">
        <f t="shared" si="447"/>
        <v xml:space="preserve"> </v>
      </c>
      <c r="F166" s="14" t="str">
        <f t="shared" si="448"/>
        <v xml:space="preserve"> </v>
      </c>
      <c r="G166" s="14" t="str">
        <f t="shared" si="449"/>
        <v xml:space="preserve">efficiency(1), user rules and manuals(2.1), organizational rules and manuals(2.1),  </v>
      </c>
      <c r="H166" s="14" t="str">
        <f t="shared" si="450"/>
        <v xml:space="preserve">efficiency(-1,6.25%),  </v>
      </c>
      <c r="I166" s="27" t="str">
        <f t="shared" ref="I166" si="567">IF(I58="",I167,$C166&amp;"("&amp;I58&amp;"),"&amp;I167)</f>
        <v xml:space="preserve">efficiency(6.25), </v>
      </c>
      <c r="J166" s="14" t="str">
        <f t="shared" si="229"/>
        <v xml:space="preserve"> </v>
      </c>
      <c r="K166" s="14" t="str">
        <f t="shared" si="230"/>
        <v xml:space="preserve"> </v>
      </c>
      <c r="L166" s="14" t="str">
        <f t="shared" si="231"/>
        <v xml:space="preserve"> </v>
      </c>
      <c r="M166" s="14" t="str">
        <f t="shared" si="232"/>
        <v xml:space="preserve">efficiency(0.1), organizational rules and manuals(1.1),  </v>
      </c>
      <c r="N166" s="14" t="str">
        <f t="shared" si="233"/>
        <v xml:space="preserve"> </v>
      </c>
      <c r="O166" s="27" t="str">
        <f t="shared" si="554"/>
        <v xml:space="preserve"> </v>
      </c>
      <c r="P166" s="14" t="str">
        <f t="shared" si="235"/>
        <v xml:space="preserve"> </v>
      </c>
      <c r="Q166" s="14" t="str">
        <f t="shared" si="236"/>
        <v xml:space="preserve"> </v>
      </c>
      <c r="R166" s="14" t="str">
        <f t="shared" si="237"/>
        <v xml:space="preserve"> </v>
      </c>
      <c r="S166" s="14" t="str">
        <f t="shared" si="238"/>
        <v xml:space="preserve">team building(0.1),  </v>
      </c>
      <c r="T166" s="14" t="str">
        <f t="shared" si="239"/>
        <v xml:space="preserve">business model(-1,6.25%), web(-1,6.25%), mobile apps(-1,6.25%), aesthetics(-1,6.25%),  </v>
      </c>
      <c r="U166" s="27" t="str">
        <f t="shared" si="554"/>
        <v xml:space="preserve">business model(6.25),web(6.25),mobile apps(6.25),aesthetics(6.25), </v>
      </c>
      <c r="V166" s="14" t="str">
        <f t="shared" si="241"/>
        <v xml:space="preserve"> </v>
      </c>
      <c r="W166" s="14" t="str">
        <f t="shared" si="242"/>
        <v xml:space="preserve">efficiency(-1,25%),  </v>
      </c>
      <c r="X166" s="14" t="str">
        <f t="shared" si="243"/>
        <v xml:space="preserve">efficiency(25)
 </v>
      </c>
      <c r="Y166" s="14" t="str">
        <f t="shared" si="244"/>
        <v xml:space="preserve">reputation(2), user rules and manuals(0.1), project management(0.1), negotiation(0.1),  </v>
      </c>
      <c r="Z166" s="14" t="str">
        <f t="shared" si="245"/>
        <v xml:space="preserve">reputation(-1,%),  </v>
      </c>
      <c r="AA166" s="27" t="str">
        <f t="shared" si="554"/>
        <v xml:space="preserve"> </v>
      </c>
      <c r="AB166" s="14" t="str">
        <f t="shared" si="247"/>
        <v xml:space="preserve"> </v>
      </c>
      <c r="AC166" s="14" t="str">
        <f t="shared" si="248"/>
        <v xml:space="preserve"> </v>
      </c>
      <c r="AD166" s="14" t="str">
        <f t="shared" si="249"/>
        <v xml:space="preserve"> </v>
      </c>
      <c r="AE166" s="14" t="str">
        <f t="shared" si="250"/>
        <v xml:space="preserve">user rules and manuals(1.1), organizational rules and manuals(1.1),  </v>
      </c>
      <c r="AF166" s="14" t="str">
        <f t="shared" si="251"/>
        <v xml:space="preserve">efficiency(-1,6.25%),  </v>
      </c>
      <c r="AG166" s="27" t="str">
        <f t="shared" si="554"/>
        <v xml:space="preserve">efficiency(6.25), </v>
      </c>
      <c r="AH166" s="14" t="str">
        <f t="shared" si="253"/>
        <v xml:space="preserve">reputation(1)
 </v>
      </c>
      <c r="AI166" s="14" t="str">
        <f t="shared" si="254"/>
        <v xml:space="preserve"> </v>
      </c>
      <c r="AJ166" s="14" t="str">
        <f t="shared" si="255"/>
        <v xml:space="preserve"> </v>
      </c>
      <c r="AK166" s="14" t="str">
        <f t="shared" si="256"/>
        <v xml:space="preserve">reputation(2), user rules and manuals(2.1), organizational rules and manuals(2.1), law(1.1), negotiation(1.1),  </v>
      </c>
      <c r="AL166" s="14" t="str">
        <f t="shared" si="257"/>
        <v xml:space="preserve">reputation(-1,6.25%),  </v>
      </c>
      <c r="AM166" s="27" t="str">
        <f t="shared" si="554"/>
        <v xml:space="preserve">reputation(6.25), </v>
      </c>
      <c r="AN166" s="14" t="str">
        <f t="shared" si="259"/>
        <v xml:space="preserve"> </v>
      </c>
      <c r="AO166" s="14" t="str">
        <f t="shared" si="260"/>
        <v xml:space="preserve"> </v>
      </c>
      <c r="AP166" s="14" t="str">
        <f t="shared" si="261"/>
        <v xml:space="preserve"> </v>
      </c>
      <c r="AQ166" s="14" t="str">
        <f t="shared" si="262"/>
        <v xml:space="preserve">reputation(3), organizational rules and manuals(2.1), team building(2.1),  </v>
      </c>
      <c r="AR166" s="14" t="str">
        <f t="shared" si="263"/>
        <v xml:space="preserve">reputation(-1,6.25%), efficiency(-1,6.25%),  </v>
      </c>
      <c r="AS166" s="27" t="str">
        <f t="shared" si="554"/>
        <v xml:space="preserve">reputation(6.25),efficiency(6.25), </v>
      </c>
      <c r="AT166" s="14" t="str">
        <f t="shared" si="265"/>
        <v xml:space="preserve"> </v>
      </c>
      <c r="AU166" s="14" t="str">
        <f t="shared" si="266"/>
        <v xml:space="preserve"> </v>
      </c>
      <c r="AV166" s="14" t="str">
        <f t="shared" si="267"/>
        <v xml:space="preserve"> </v>
      </c>
      <c r="AW166" s="14" t="str">
        <f t="shared" si="268"/>
        <v xml:space="preserve">user rules and manuals(2.1), team building(2.1),  </v>
      </c>
      <c r="AX166" s="14" t="str">
        <f t="shared" si="269"/>
        <v xml:space="preserve"> </v>
      </c>
      <c r="AY166" s="27" t="str">
        <f t="shared" si="554"/>
        <v xml:space="preserve"> </v>
      </c>
      <c r="AZ166" s="14" t="str">
        <f t="shared" si="271"/>
        <v xml:space="preserve"> </v>
      </c>
      <c r="BA166" s="14" t="str">
        <f t="shared" si="272"/>
        <v xml:space="preserve">efficiency(-1,12.5%), user rules and manuals(1,25%),  </v>
      </c>
      <c r="BB166" s="14" t="str">
        <f t="shared" si="273"/>
        <v xml:space="preserve">efficiency(12.5)
user rules and manuals(25)
 </v>
      </c>
      <c r="BC166" s="14" t="str">
        <f t="shared" si="274"/>
        <v xml:space="preserve">user rules and manuals(2.1), organizational rules and manuals(2.1),  </v>
      </c>
      <c r="BD166" s="14" t="str">
        <f t="shared" si="275"/>
        <v xml:space="preserve">reputation(-1,6.25%),  </v>
      </c>
      <c r="BE166" s="27" t="str">
        <f t="shared" si="554"/>
        <v xml:space="preserve">reputation(6.25), </v>
      </c>
      <c r="BF166" s="14" t="str">
        <f t="shared" si="277"/>
        <v xml:space="preserve"> </v>
      </c>
      <c r="BG166" s="14" t="str">
        <f t="shared" si="278"/>
        <v xml:space="preserve">user rules and manuals(1,25%), organizational rules and manuals(1,25%),  </v>
      </c>
      <c r="BH166" s="14" t="str">
        <f t="shared" si="279"/>
        <v xml:space="preserve">user rules and manuals(25)
organizational rules and manuals(25)
 </v>
      </c>
      <c r="BI166" s="14" t="str">
        <f t="shared" si="280"/>
        <v xml:space="preserve"> </v>
      </c>
      <c r="BJ166" s="14" t="str">
        <f t="shared" si="281"/>
        <v xml:space="preserve">reputation(-1,6.25%), efficiency(-1,25%),  </v>
      </c>
      <c r="BK166" s="27" t="str">
        <f t="shared" si="554"/>
        <v xml:space="preserve">reputation(6.25),efficiency(25), </v>
      </c>
      <c r="BL166" s="14" t="str">
        <f t="shared" si="283"/>
        <v xml:space="preserve">reputation(1)
aesthetics(1)
 </v>
      </c>
      <c r="BM166" s="14" t="str">
        <f t="shared" si="284"/>
        <v xml:space="preserve">biz enhancement(1,%),  </v>
      </c>
      <c r="BN166" s="14" t="str">
        <f t="shared" si="285"/>
        <v xml:space="preserve"> </v>
      </c>
      <c r="BO166" s="14" t="str">
        <f t="shared" si="286"/>
        <v xml:space="preserve">reputation(3), efficiency(2), user rules and manuals(1), marketing(1), negotiation(1), aesthetics(2), functions(1), safety(1),  </v>
      </c>
      <c r="BP166" s="14" t="str">
        <f t="shared" si="287"/>
        <v xml:space="preserve"> </v>
      </c>
      <c r="BQ166" s="27" t="str">
        <f t="shared" si="554"/>
        <v xml:space="preserve"> </v>
      </c>
      <c r="BR166" s="14" t="str">
        <f t="shared" si="289"/>
        <v xml:space="preserve">reputation(1)
aesthetics(1)
 </v>
      </c>
      <c r="BS166" s="14" t="str">
        <f t="shared" si="290"/>
        <v xml:space="preserve">biz project(1,%),  </v>
      </c>
      <c r="BT166" s="14" t="str">
        <f t="shared" si="291"/>
        <v xml:space="preserve"> </v>
      </c>
      <c r="BU166" s="14" t="str">
        <f t="shared" si="292"/>
        <v xml:space="preserve">reputation(3), efficiency(2), user rules and manuals(1), marketing(1), negotiation(1), wood processing(1), aesthetics(2),  </v>
      </c>
      <c r="BV166" s="14" t="str">
        <f t="shared" si="293"/>
        <v xml:space="preserve"> </v>
      </c>
      <c r="BW166" s="27" t="str">
        <f t="shared" si="554"/>
        <v xml:space="preserve"> </v>
      </c>
      <c r="BX166" s="14" t="str">
        <f t="shared" si="295"/>
        <v xml:space="preserve">reputation(1)
aesthetics(1)
interaction(1)
 </v>
      </c>
      <c r="BY166" s="14" t="str">
        <f t="shared" si="296"/>
        <v xml:space="preserve">biz project(1,%),  </v>
      </c>
      <c r="BZ166" s="14" t="str">
        <f t="shared" si="297"/>
        <v xml:space="preserve"> </v>
      </c>
      <c r="CA166" s="14" t="str">
        <f t="shared" si="298"/>
        <v xml:space="preserve">reputation(3), efficiency(2), user rules and manuals(1), marketing(1), team building(1), social media(1), negotiation(1), web(2), infrastructrue(2), database(2), security(3), aesthetics(2), functions(1), interaction(2),  </v>
      </c>
      <c r="CB166" s="14" t="str">
        <f t="shared" si="299"/>
        <v xml:space="preserve"> </v>
      </c>
      <c r="CC166" s="27" t="str">
        <f t="shared" si="555"/>
        <v xml:space="preserve"> </v>
      </c>
      <c r="CD166" s="14" t="str">
        <f t="shared" si="301"/>
        <v xml:space="preserve">reputation(1)
aesthetics(1)
 </v>
      </c>
      <c r="CE166" s="14" t="str">
        <f t="shared" si="302"/>
        <v xml:space="preserve">biz project(1,%),  </v>
      </c>
      <c r="CF166" s="14" t="str">
        <f t="shared" si="303"/>
        <v xml:space="preserve"> </v>
      </c>
      <c r="CG166" s="14" t="str">
        <f t="shared" si="304"/>
        <v xml:space="preserve">efficiency(2), user rules and manuals(1), marketing(1), team building(1), negotiation(1), infrastructrue(1), database(2), mobile apps(2), security(3), aesthetics(2), functions(1), interaction(2),  </v>
      </c>
      <c r="CH166" s="14" t="str">
        <f t="shared" si="305"/>
        <v xml:space="preserve"> </v>
      </c>
      <c r="CI166" s="27" t="str">
        <f t="shared" si="555"/>
        <v xml:space="preserve"> </v>
      </c>
      <c r="CJ166" s="14" t="str">
        <f t="shared" si="307"/>
        <v xml:space="preserve">reputation(1)
aesthetics(1)
 </v>
      </c>
      <c r="CK166" s="14" t="str">
        <f t="shared" si="308"/>
        <v xml:space="preserve">biz project(1,%),  </v>
      </c>
      <c r="CL166" s="14" t="str">
        <f t="shared" si="309"/>
        <v xml:space="preserve"> </v>
      </c>
      <c r="CM166" s="14" t="str">
        <f t="shared" si="310"/>
        <v xml:space="preserve">reputation(3), efficiency(2), user rules and manuals(1), marketing(2), team building(1), social media(2), negotiation(1), web(2), infrastructrue(2), database(2), mobile apps(2), security(2), aesthetics(2), functions(1), interaction(2),  </v>
      </c>
      <c r="CN166" s="14" t="str">
        <f t="shared" si="311"/>
        <v xml:space="preserve"> </v>
      </c>
      <c r="CO166" s="27" t="str">
        <f t="shared" si="555"/>
        <v xml:space="preserve"> </v>
      </c>
      <c r="CP166" s="14" t="str">
        <f t="shared" si="313"/>
        <v xml:space="preserve">metal processing(1)
functions(1)
 </v>
      </c>
      <c r="CQ166" s="14" t="str">
        <f t="shared" si="314"/>
        <v xml:space="preserve">biz enhancement(1,50%),  </v>
      </c>
      <c r="CR166" s="14" t="str">
        <f t="shared" si="315"/>
        <v xml:space="preserve">biz enhancement(50)
 </v>
      </c>
      <c r="CS166" s="14" t="str">
        <f t="shared" si="316"/>
        <v xml:space="preserve">reputation(3), efficiency(2), metal processing(2), electronics(2), aesthetics(2), functions(2), safety(2),  </v>
      </c>
      <c r="CT166" s="14" t="str">
        <f t="shared" si="317"/>
        <v xml:space="preserve">reputation(1,6.25%),  </v>
      </c>
      <c r="CU166" s="27" t="str">
        <f t="shared" si="555"/>
        <v xml:space="preserve">reputation(6.25), </v>
      </c>
      <c r="CV166" s="14" t="str">
        <f t="shared" si="319"/>
        <v xml:space="preserve">wood processing(1)
aesthetics(1)
interaction(1)
 </v>
      </c>
      <c r="CW166" s="14" t="str">
        <f t="shared" si="320"/>
        <v xml:space="preserve">social project(1,50%),  </v>
      </c>
      <c r="CX166" s="14" t="str">
        <f t="shared" si="321"/>
        <v xml:space="preserve">social project(50)
 </v>
      </c>
      <c r="CY166" s="14" t="str">
        <f t="shared" si="322"/>
        <v xml:space="preserve">efficiency(3), sensors(2), wood processing(2), plastic processing(2), electronics(2), aesthetics(2), functions(1), safety(1), interaction(2),  </v>
      </c>
      <c r="CZ166" s="14" t="str">
        <f t="shared" si="323"/>
        <v xml:space="preserve">reputation(1,6.25%), portfolio(1,6.25%),  </v>
      </c>
      <c r="DA166" s="27" t="str">
        <f t="shared" si="555"/>
        <v xml:space="preserve">reputation(6.25),portfolio(6.25), </v>
      </c>
      <c r="DB166" s="14" t="str">
        <f t="shared" si="325"/>
        <v xml:space="preserve">aesthetics(1)
interaction(1)
 </v>
      </c>
      <c r="DC166" s="14" t="str">
        <f t="shared" si="326"/>
        <v xml:space="preserve">social project(1,50%),  </v>
      </c>
      <c r="DD166" s="14" t="str">
        <f t="shared" si="327"/>
        <v xml:space="preserve">social project(50)
 </v>
      </c>
      <c r="DE166" s="14" t="str">
        <f t="shared" si="328"/>
        <v xml:space="preserve">efficiency(3), VR&amp;AR(2),  </v>
      </c>
      <c r="DF166" s="14" t="str">
        <f t="shared" si="329"/>
        <v xml:space="preserve">reputation(1,6.25%), portfolio(1,6.25%),  </v>
      </c>
      <c r="DG166" s="27" t="str">
        <f t="shared" si="555"/>
        <v xml:space="preserve">reputation(6.25),portfolio(6.25), </v>
      </c>
      <c r="DH166" s="14" t="str">
        <f t="shared" si="331"/>
        <v xml:space="preserve">wood processing(1)
aesthetics(1)
safety(1)
 </v>
      </c>
      <c r="DI166" s="14" t="str">
        <f t="shared" si="332"/>
        <v xml:space="preserve">social project(1,100%),  </v>
      </c>
      <c r="DJ166" s="14" t="str">
        <f t="shared" si="333"/>
        <v xml:space="preserve">social project(100)
 </v>
      </c>
      <c r="DK166" s="14" t="str">
        <f t="shared" si="334"/>
        <v xml:space="preserve">efficiency(2), finance(2), marketing(2), team building(2), project management(2), social media(2), negotiation(2), sensors(1), wood processing(2), metal processing(2), plastic processing(2), electronics(2), fabric(1), aesthetics(1), functions(2), safety(2), interaction(2),  </v>
      </c>
      <c r="DL166" s="14" t="str">
        <f t="shared" si="335"/>
        <v xml:space="preserve">reputation(1,6.25%), portfolio(1,6.25%), team building(1,6.25%),  </v>
      </c>
      <c r="DM166" s="27" t="str">
        <f t="shared" si="555"/>
        <v xml:space="preserve">reputation(6.25),portfolio(6.25),team building(6.25), </v>
      </c>
      <c r="DN166" s="14" t="str">
        <f t="shared" si="337"/>
        <v xml:space="preserve">reputation(3)
project management(2)
wood processing(1)
plastic processing(1)
electronics(1)
aesthetics(2)
functions(1)
safety(1)
biz project(1)
 </v>
      </c>
      <c r="DO166" s="14" t="str">
        <f t="shared" si="338"/>
        <v xml:space="preserve">reputation(1,25%), portfolio(1,50%),  </v>
      </c>
      <c r="DP166" s="14" t="str">
        <f t="shared" si="339"/>
        <v xml:space="preserve">reputation(25)
portfolio(50)
 </v>
      </c>
      <c r="DQ166" s="14" t="str">
        <f t="shared" si="340"/>
        <v xml:space="preserve">social media(2), wood processing(2), plastic processing(2), electronics(2), aesthetics(2),  </v>
      </c>
      <c r="DR166" s="14" t="str">
        <f t="shared" si="341"/>
        <v xml:space="preserve">reputation(1,6.25%),  </v>
      </c>
      <c r="DS166" s="27" t="str">
        <f t="shared" si="555"/>
        <v xml:space="preserve">reputation(6.25), </v>
      </c>
      <c r="DT166" s="14" t="str">
        <f t="shared" si="343"/>
        <v xml:space="preserve">reputation(3)
portfolio(2)
 </v>
      </c>
      <c r="DU166" s="14" t="str">
        <f t="shared" si="344"/>
        <v xml:space="preserve">reputation(1,25%),  </v>
      </c>
      <c r="DV166" s="14" t="str">
        <f t="shared" si="345"/>
        <v xml:space="preserve">reputation(25)
 </v>
      </c>
      <c r="DW166" s="14" t="str">
        <f t="shared" si="346"/>
        <v xml:space="preserve">social media(2),  </v>
      </c>
      <c r="DX166" s="14" t="str">
        <f t="shared" si="347"/>
        <v xml:space="preserve">reputation(1,6.25%),  </v>
      </c>
      <c r="DY166" s="27" t="str">
        <f t="shared" si="555"/>
        <v xml:space="preserve">reputation(6.25), </v>
      </c>
      <c r="DZ166" s="14" t="str">
        <f t="shared" si="349"/>
        <v xml:space="preserve"> </v>
      </c>
      <c r="EA166" s="14" t="str">
        <f t="shared" si="350"/>
        <v xml:space="preserve"> </v>
      </c>
      <c r="EB166" s="14" t="str">
        <f t="shared" si="351"/>
        <v xml:space="preserve"> </v>
      </c>
      <c r="EC166" s="14" t="str">
        <f t="shared" si="352"/>
        <v xml:space="preserve"> </v>
      </c>
      <c r="ED166" s="14" t="str">
        <f t="shared" si="353"/>
        <v xml:space="preserve"> </v>
      </c>
      <c r="EE166" s="27" t="str">
        <f t="shared" si="555"/>
        <v xml:space="preserve"> </v>
      </c>
      <c r="EF166" s="14" t="str">
        <f t="shared" si="355"/>
        <v xml:space="preserve"> </v>
      </c>
      <c r="EG166" s="14" t="str">
        <f t="shared" si="356"/>
        <v xml:space="preserve"> </v>
      </c>
      <c r="EH166" s="14" t="str">
        <f t="shared" si="357"/>
        <v xml:space="preserve"> </v>
      </c>
      <c r="EI166" s="14" t="str">
        <f t="shared" si="358"/>
        <v xml:space="preserve"> </v>
      </c>
      <c r="EJ166" s="14" t="str">
        <f t="shared" si="359"/>
        <v xml:space="preserve"> </v>
      </c>
      <c r="EK166" s="27" t="str">
        <f t="shared" si="555"/>
        <v xml:space="preserve"> </v>
      </c>
      <c r="EL166" s="14" t="str">
        <f t="shared" si="361"/>
        <v xml:space="preserve"> </v>
      </c>
      <c r="EM166" s="14" t="str">
        <f t="shared" si="362"/>
        <v xml:space="preserve"> </v>
      </c>
      <c r="EN166" s="14" t="str">
        <f t="shared" si="363"/>
        <v xml:space="preserve"> </v>
      </c>
      <c r="EO166" s="14" t="str">
        <f t="shared" si="364"/>
        <v xml:space="preserve"> </v>
      </c>
      <c r="EP166" s="14" t="str">
        <f t="shared" si="365"/>
        <v xml:space="preserve"> </v>
      </c>
      <c r="EQ166" s="27" t="str">
        <f t="shared" si="556"/>
        <v xml:space="preserve"> </v>
      </c>
      <c r="ER166" s="14" t="str">
        <f t="shared" si="367"/>
        <v xml:space="preserve"> </v>
      </c>
      <c r="ES166" s="14" t="str">
        <f t="shared" si="368"/>
        <v xml:space="preserve"> </v>
      </c>
      <c r="ET166" s="14" t="str">
        <f t="shared" si="369"/>
        <v xml:space="preserve"> </v>
      </c>
      <c r="EU166" s="14" t="str">
        <f t="shared" si="370"/>
        <v xml:space="preserve"> </v>
      </c>
      <c r="EV166" s="14" t="str">
        <f t="shared" si="371"/>
        <v xml:space="preserve"> </v>
      </c>
      <c r="EW166" s="27" t="str">
        <f t="shared" si="556"/>
        <v xml:space="preserve"> </v>
      </c>
      <c r="EX166" s="14" t="str">
        <f t="shared" si="373"/>
        <v xml:space="preserve"> </v>
      </c>
      <c r="EY166" s="14" t="str">
        <f t="shared" si="374"/>
        <v xml:space="preserve"> </v>
      </c>
      <c r="EZ166" s="14" t="str">
        <f t="shared" si="375"/>
        <v xml:space="preserve"> </v>
      </c>
      <c r="FA166" s="14" t="str">
        <f t="shared" si="376"/>
        <v xml:space="preserve"> </v>
      </c>
      <c r="FB166" s="14" t="str">
        <f t="shared" si="377"/>
        <v xml:space="preserve"> </v>
      </c>
      <c r="FC166" s="27" t="str">
        <f t="shared" si="556"/>
        <v xml:space="preserve"> </v>
      </c>
      <c r="FD166" s="14" t="str">
        <f t="shared" si="379"/>
        <v xml:space="preserve"> </v>
      </c>
      <c r="FE166" s="14" t="str">
        <f t="shared" si="380"/>
        <v xml:space="preserve"> </v>
      </c>
      <c r="FF166" s="14" t="str">
        <f t="shared" si="381"/>
        <v xml:space="preserve"> </v>
      </c>
      <c r="FG166" s="14" t="str">
        <f t="shared" si="382"/>
        <v xml:space="preserve"> </v>
      </c>
      <c r="FH166" s="14" t="str">
        <f t="shared" si="383"/>
        <v xml:space="preserve"> </v>
      </c>
      <c r="FI166" s="27" t="str">
        <f t="shared" si="556"/>
        <v xml:space="preserve"> </v>
      </c>
      <c r="FJ166" s="14" t="str">
        <f t="shared" si="385"/>
        <v xml:space="preserve"> </v>
      </c>
      <c r="FK166" s="14" t="str">
        <f t="shared" si="386"/>
        <v xml:space="preserve"> </v>
      </c>
      <c r="FL166" s="14" t="str">
        <f t="shared" si="387"/>
        <v xml:space="preserve"> </v>
      </c>
      <c r="FM166" s="14" t="str">
        <f t="shared" si="388"/>
        <v xml:space="preserve"> </v>
      </c>
      <c r="FN166" s="14" t="str">
        <f t="shared" si="389"/>
        <v xml:space="preserve"> </v>
      </c>
      <c r="FO166" s="27" t="str">
        <f t="shared" si="556"/>
        <v xml:space="preserve"> </v>
      </c>
      <c r="FP166" s="14" t="str">
        <f t="shared" si="391"/>
        <v xml:space="preserve"> </v>
      </c>
      <c r="FQ166" s="14" t="str">
        <f t="shared" si="392"/>
        <v xml:space="preserve"> </v>
      </c>
      <c r="FR166" s="14" t="str">
        <f t="shared" si="393"/>
        <v xml:space="preserve"> </v>
      </c>
      <c r="FS166" s="14" t="str">
        <f t="shared" si="394"/>
        <v xml:space="preserve"> </v>
      </c>
      <c r="FT166" s="14" t="str">
        <f t="shared" si="395"/>
        <v xml:space="preserve"> </v>
      </c>
      <c r="FU166" s="27" t="str">
        <f t="shared" si="556"/>
        <v xml:space="preserve"> </v>
      </c>
      <c r="FV166" s="14" t="str">
        <f t="shared" si="397"/>
        <v xml:space="preserve"> </v>
      </c>
      <c r="FW166" s="14" t="str">
        <f t="shared" si="398"/>
        <v xml:space="preserve"> </v>
      </c>
      <c r="FX166" s="14" t="str">
        <f t="shared" si="399"/>
        <v xml:space="preserve"> </v>
      </c>
      <c r="FY166" s="14" t="str">
        <f t="shared" si="400"/>
        <v xml:space="preserve"> </v>
      </c>
      <c r="FZ166" s="14" t="str">
        <f t="shared" si="401"/>
        <v xml:space="preserve"> </v>
      </c>
      <c r="GA166" s="27" t="str">
        <f t="shared" si="556"/>
        <v xml:space="preserve"> </v>
      </c>
      <c r="GB166" s="14" t="str">
        <f t="shared" si="403"/>
        <v xml:space="preserve"> </v>
      </c>
      <c r="GC166" s="14" t="str">
        <f t="shared" si="404"/>
        <v xml:space="preserve"> </v>
      </c>
      <c r="GD166" s="14" t="str">
        <f t="shared" si="405"/>
        <v xml:space="preserve"> </v>
      </c>
      <c r="GE166" s="14" t="str">
        <f t="shared" si="406"/>
        <v xml:space="preserve"> </v>
      </c>
      <c r="GF166" s="14" t="str">
        <f t="shared" si="407"/>
        <v xml:space="preserve"> </v>
      </c>
      <c r="GG166" s="27" t="str">
        <f t="shared" si="556"/>
        <v xml:space="preserve"> </v>
      </c>
      <c r="GH166" s="14" t="str">
        <f t="shared" si="409"/>
        <v xml:space="preserve"> </v>
      </c>
      <c r="GI166" s="14" t="str">
        <f t="shared" si="410"/>
        <v xml:space="preserve"> </v>
      </c>
      <c r="GJ166" s="14" t="str">
        <f t="shared" si="411"/>
        <v xml:space="preserve"> </v>
      </c>
      <c r="GK166" s="14" t="str">
        <f t="shared" si="412"/>
        <v xml:space="preserve"> </v>
      </c>
      <c r="GL166" s="14" t="str">
        <f t="shared" si="413"/>
        <v xml:space="preserve"> </v>
      </c>
      <c r="GM166" s="27" t="str">
        <f t="shared" si="556"/>
        <v xml:space="preserve"> </v>
      </c>
      <c r="GN166" s="14" t="str">
        <f t="shared" si="415"/>
        <v xml:space="preserve"> </v>
      </c>
      <c r="GO166" s="14" t="str">
        <f t="shared" si="416"/>
        <v xml:space="preserve"> </v>
      </c>
      <c r="GP166" s="14" t="str">
        <f t="shared" si="417"/>
        <v xml:space="preserve"> </v>
      </c>
      <c r="GQ166" s="14" t="str">
        <f t="shared" si="418"/>
        <v xml:space="preserve"> </v>
      </c>
      <c r="GR166" s="14" t="str">
        <f t="shared" si="419"/>
        <v xml:space="preserve"> </v>
      </c>
      <c r="GS166" s="27" t="str">
        <f t="shared" si="556"/>
        <v xml:space="preserve"> </v>
      </c>
      <c r="GT166" s="14" t="str">
        <f t="shared" si="421"/>
        <v xml:space="preserve"> </v>
      </c>
      <c r="GU166" s="14" t="str">
        <f t="shared" si="422"/>
        <v xml:space="preserve"> </v>
      </c>
      <c r="GV166" s="14" t="str">
        <f t="shared" si="423"/>
        <v xml:space="preserve"> </v>
      </c>
      <c r="GW166" s="14" t="str">
        <f t="shared" si="424"/>
        <v xml:space="preserve"> </v>
      </c>
      <c r="GX166" s="14" t="str">
        <f t="shared" si="425"/>
        <v xml:space="preserve"> </v>
      </c>
      <c r="GY166" s="27" t="str">
        <f t="shared" si="556"/>
        <v xml:space="preserve"> </v>
      </c>
      <c r="GZ166" s="14" t="str">
        <f t="shared" si="427"/>
        <v xml:space="preserve"> </v>
      </c>
      <c r="HA166" s="14" t="str">
        <f t="shared" si="428"/>
        <v xml:space="preserve"> </v>
      </c>
      <c r="HB166" s="14" t="str">
        <f t="shared" si="429"/>
        <v xml:space="preserve"> </v>
      </c>
      <c r="HC166" s="14" t="str">
        <f t="shared" si="430"/>
        <v xml:space="preserve"> </v>
      </c>
      <c r="HD166" s="14" t="str">
        <f t="shared" si="431"/>
        <v xml:space="preserve"> </v>
      </c>
      <c r="HE166" s="27" t="str">
        <f t="shared" si="557"/>
        <v xml:space="preserve"> </v>
      </c>
      <c r="HF166" s="14" t="str">
        <f t="shared" si="433"/>
        <v xml:space="preserve"> </v>
      </c>
      <c r="HG166" s="14" t="str">
        <f t="shared" si="434"/>
        <v xml:space="preserve"> </v>
      </c>
      <c r="HH166" s="14" t="str">
        <f t="shared" si="435"/>
        <v xml:space="preserve"> </v>
      </c>
      <c r="HI166" s="14" t="str">
        <f t="shared" si="436"/>
        <v xml:space="preserve"> </v>
      </c>
      <c r="HJ166" s="14" t="str">
        <f t="shared" si="437"/>
        <v xml:space="preserve"> </v>
      </c>
      <c r="HK166" s="27" t="str">
        <f t="shared" si="557"/>
        <v xml:space="preserve"> </v>
      </c>
      <c r="HL166" s="14" t="str">
        <f t="shared" si="439"/>
        <v xml:space="preserve"> </v>
      </c>
      <c r="HM166" s="14" t="str">
        <f t="shared" si="440"/>
        <v xml:space="preserve"> </v>
      </c>
      <c r="HN166" s="14" t="str">
        <f t="shared" si="441"/>
        <v xml:space="preserve"> </v>
      </c>
      <c r="HO166" s="14" t="str">
        <f t="shared" si="442"/>
        <v xml:space="preserve"> </v>
      </c>
      <c r="HP166" s="14" t="str">
        <f t="shared" si="443"/>
        <v xml:space="preserve"> </v>
      </c>
      <c r="HQ166" s="27" t="str">
        <f t="shared" si="557"/>
        <v xml:space="preserve"> </v>
      </c>
    </row>
    <row r="167" spans="1:225" ht="15.75" customHeight="1">
      <c r="A167" s="7">
        <f t="shared" ref="A167:C167" si="568">A59</f>
        <v>0</v>
      </c>
      <c r="B167" s="7">
        <f t="shared" si="568"/>
        <v>0</v>
      </c>
      <c r="C167" s="7" t="str">
        <f t="shared" si="568"/>
        <v>efficiency</v>
      </c>
      <c r="D167" s="14" t="str">
        <f t="shared" si="446"/>
        <v xml:space="preserve"> </v>
      </c>
      <c r="E167" s="14" t="str">
        <f t="shared" si="447"/>
        <v xml:space="preserve"> </v>
      </c>
      <c r="F167" s="14" t="str">
        <f t="shared" si="448"/>
        <v xml:space="preserve"> </v>
      </c>
      <c r="G167" s="14" t="str">
        <f t="shared" si="449"/>
        <v xml:space="preserve">efficiency(1), user rules and manuals(2.1), organizational rules and manuals(2.1),  </v>
      </c>
      <c r="H167" s="14" t="str">
        <f t="shared" si="450"/>
        <v xml:space="preserve">efficiency(-1,6.25%),  </v>
      </c>
      <c r="I167" s="27" t="str">
        <f t="shared" ref="I167" si="569">IF(I59="",I168,$C167&amp;"("&amp;I59&amp;"),"&amp;I168)</f>
        <v xml:space="preserve">efficiency(6.25), </v>
      </c>
      <c r="J167" s="14" t="str">
        <f t="shared" si="229"/>
        <v xml:space="preserve"> </v>
      </c>
      <c r="K167" s="14" t="str">
        <f t="shared" si="230"/>
        <v xml:space="preserve"> </v>
      </c>
      <c r="L167" s="14" t="str">
        <f t="shared" si="231"/>
        <v xml:space="preserve"> </v>
      </c>
      <c r="M167" s="14" t="str">
        <f t="shared" si="232"/>
        <v xml:space="preserve">efficiency(0.1), organizational rules and manuals(1.1),  </v>
      </c>
      <c r="N167" s="14" t="str">
        <f t="shared" si="233"/>
        <v xml:space="preserve"> </v>
      </c>
      <c r="O167" s="27" t="str">
        <f t="shared" si="554"/>
        <v xml:space="preserve"> </v>
      </c>
      <c r="P167" s="14" t="str">
        <f t="shared" si="235"/>
        <v xml:space="preserve"> </v>
      </c>
      <c r="Q167" s="14" t="str">
        <f t="shared" si="236"/>
        <v xml:space="preserve"> </v>
      </c>
      <c r="R167" s="14" t="str">
        <f t="shared" si="237"/>
        <v xml:space="preserve"> </v>
      </c>
      <c r="S167" s="14" t="str">
        <f t="shared" si="238"/>
        <v xml:space="preserve">team building(0.1),  </v>
      </c>
      <c r="T167" s="14" t="str">
        <f t="shared" si="239"/>
        <v xml:space="preserve">business model(-1,6.25%), web(-1,6.25%), mobile apps(-1,6.25%), aesthetics(-1,6.25%),  </v>
      </c>
      <c r="U167" s="27" t="str">
        <f t="shared" si="554"/>
        <v xml:space="preserve">business model(6.25),web(6.25),mobile apps(6.25),aesthetics(6.25), </v>
      </c>
      <c r="V167" s="14" t="str">
        <f t="shared" si="241"/>
        <v xml:space="preserve"> </v>
      </c>
      <c r="W167" s="14" t="str">
        <f t="shared" si="242"/>
        <v xml:space="preserve">efficiency(-1,25%),  </v>
      </c>
      <c r="X167" s="14" t="str">
        <f t="shared" si="243"/>
        <v xml:space="preserve">efficiency(25)
 </v>
      </c>
      <c r="Y167" s="14" t="str">
        <f t="shared" si="244"/>
        <v xml:space="preserve">user rules and manuals(0.1), project management(0.1), negotiation(0.1),  </v>
      </c>
      <c r="Z167" s="14" t="str">
        <f t="shared" si="245"/>
        <v xml:space="preserve"> </v>
      </c>
      <c r="AA167" s="27" t="str">
        <f t="shared" si="554"/>
        <v xml:space="preserve"> </v>
      </c>
      <c r="AB167" s="14" t="str">
        <f t="shared" si="247"/>
        <v xml:space="preserve"> </v>
      </c>
      <c r="AC167" s="14" t="str">
        <f t="shared" si="248"/>
        <v xml:space="preserve"> </v>
      </c>
      <c r="AD167" s="14" t="str">
        <f t="shared" si="249"/>
        <v xml:space="preserve"> </v>
      </c>
      <c r="AE167" s="14" t="str">
        <f t="shared" si="250"/>
        <v xml:space="preserve">user rules and manuals(1.1), organizational rules and manuals(1.1),  </v>
      </c>
      <c r="AF167" s="14" t="str">
        <f t="shared" si="251"/>
        <v xml:space="preserve">efficiency(-1,6.25%),  </v>
      </c>
      <c r="AG167" s="27" t="str">
        <f t="shared" si="554"/>
        <v xml:space="preserve">efficiency(6.25), </v>
      </c>
      <c r="AH167" s="14" t="str">
        <f t="shared" si="253"/>
        <v xml:space="preserve"> </v>
      </c>
      <c r="AI167" s="14" t="str">
        <f t="shared" si="254"/>
        <v xml:space="preserve"> </v>
      </c>
      <c r="AJ167" s="14" t="str">
        <f t="shared" si="255"/>
        <v xml:space="preserve"> </v>
      </c>
      <c r="AK167" s="14" t="str">
        <f t="shared" si="256"/>
        <v xml:space="preserve">user rules and manuals(2.1), organizational rules and manuals(2.1), law(1.1), negotiation(1.1),  </v>
      </c>
      <c r="AL167" s="14" t="str">
        <f t="shared" si="257"/>
        <v xml:space="preserve"> </v>
      </c>
      <c r="AM167" s="27" t="str">
        <f t="shared" si="554"/>
        <v xml:space="preserve"> </v>
      </c>
      <c r="AN167" s="14" t="str">
        <f t="shared" si="259"/>
        <v xml:space="preserve"> </v>
      </c>
      <c r="AO167" s="14" t="str">
        <f t="shared" si="260"/>
        <v xml:space="preserve"> </v>
      </c>
      <c r="AP167" s="14" t="str">
        <f t="shared" si="261"/>
        <v xml:space="preserve"> </v>
      </c>
      <c r="AQ167" s="14" t="str">
        <f t="shared" si="262"/>
        <v xml:space="preserve">organizational rules and manuals(2.1), team building(2.1),  </v>
      </c>
      <c r="AR167" s="14" t="str">
        <f t="shared" si="263"/>
        <v xml:space="preserve">efficiency(-1,6.25%),  </v>
      </c>
      <c r="AS167" s="27" t="str">
        <f t="shared" si="554"/>
        <v xml:space="preserve">efficiency(6.25), </v>
      </c>
      <c r="AT167" s="14" t="str">
        <f t="shared" si="265"/>
        <v xml:space="preserve"> </v>
      </c>
      <c r="AU167" s="14" t="str">
        <f t="shared" si="266"/>
        <v xml:space="preserve"> </v>
      </c>
      <c r="AV167" s="14" t="str">
        <f t="shared" si="267"/>
        <v xml:space="preserve"> </v>
      </c>
      <c r="AW167" s="14" t="str">
        <f t="shared" si="268"/>
        <v xml:space="preserve">user rules and manuals(2.1), team building(2.1),  </v>
      </c>
      <c r="AX167" s="14" t="str">
        <f t="shared" si="269"/>
        <v xml:space="preserve"> </v>
      </c>
      <c r="AY167" s="27" t="str">
        <f t="shared" si="554"/>
        <v xml:space="preserve"> </v>
      </c>
      <c r="AZ167" s="14" t="str">
        <f t="shared" si="271"/>
        <v xml:space="preserve"> </v>
      </c>
      <c r="BA167" s="14" t="str">
        <f t="shared" si="272"/>
        <v xml:space="preserve">efficiency(-1,12.5%), user rules and manuals(1,25%),  </v>
      </c>
      <c r="BB167" s="14" t="str">
        <f t="shared" si="273"/>
        <v xml:space="preserve">efficiency(12.5)
user rules and manuals(25)
 </v>
      </c>
      <c r="BC167" s="14" t="str">
        <f t="shared" si="274"/>
        <v xml:space="preserve">user rules and manuals(2.1), organizational rules and manuals(2.1),  </v>
      </c>
      <c r="BD167" s="14" t="str">
        <f t="shared" si="275"/>
        <v xml:space="preserve"> </v>
      </c>
      <c r="BE167" s="27" t="str">
        <f t="shared" si="554"/>
        <v xml:space="preserve"> </v>
      </c>
      <c r="BF167" s="14" t="str">
        <f t="shared" si="277"/>
        <v xml:space="preserve"> </v>
      </c>
      <c r="BG167" s="14" t="str">
        <f t="shared" si="278"/>
        <v xml:space="preserve">user rules and manuals(1,25%), organizational rules and manuals(1,25%),  </v>
      </c>
      <c r="BH167" s="14" t="str">
        <f t="shared" si="279"/>
        <v xml:space="preserve">user rules and manuals(25)
organizational rules and manuals(25)
 </v>
      </c>
      <c r="BI167" s="14" t="str">
        <f t="shared" si="280"/>
        <v xml:space="preserve"> </v>
      </c>
      <c r="BJ167" s="14" t="str">
        <f t="shared" si="281"/>
        <v xml:space="preserve">efficiency(-1,25%),  </v>
      </c>
      <c r="BK167" s="27" t="str">
        <f t="shared" si="554"/>
        <v xml:space="preserve">efficiency(25), </v>
      </c>
      <c r="BL167" s="14" t="str">
        <f t="shared" si="283"/>
        <v xml:space="preserve">aesthetics(1)
 </v>
      </c>
      <c r="BM167" s="14" t="str">
        <f t="shared" si="284"/>
        <v xml:space="preserve">biz enhancement(1,%),  </v>
      </c>
      <c r="BN167" s="14" t="str">
        <f t="shared" si="285"/>
        <v xml:space="preserve"> </v>
      </c>
      <c r="BO167" s="14" t="str">
        <f t="shared" si="286"/>
        <v xml:space="preserve">efficiency(2), user rules and manuals(1), marketing(1), negotiation(1), aesthetics(2), functions(1), safety(1),  </v>
      </c>
      <c r="BP167" s="14" t="str">
        <f t="shared" si="287"/>
        <v xml:space="preserve"> </v>
      </c>
      <c r="BQ167" s="27" t="str">
        <f t="shared" si="554"/>
        <v xml:space="preserve"> </v>
      </c>
      <c r="BR167" s="14" t="str">
        <f t="shared" si="289"/>
        <v xml:space="preserve">aesthetics(1)
 </v>
      </c>
      <c r="BS167" s="14" t="str">
        <f t="shared" si="290"/>
        <v xml:space="preserve">biz project(1,%),  </v>
      </c>
      <c r="BT167" s="14" t="str">
        <f t="shared" si="291"/>
        <v xml:space="preserve"> </v>
      </c>
      <c r="BU167" s="14" t="str">
        <f t="shared" si="292"/>
        <v xml:space="preserve">efficiency(2), user rules and manuals(1), marketing(1), negotiation(1), wood processing(1), aesthetics(2),  </v>
      </c>
      <c r="BV167" s="14" t="str">
        <f t="shared" si="293"/>
        <v xml:space="preserve"> </v>
      </c>
      <c r="BW167" s="27" t="str">
        <f t="shared" si="554"/>
        <v xml:space="preserve"> </v>
      </c>
      <c r="BX167" s="14" t="str">
        <f t="shared" si="295"/>
        <v xml:space="preserve">aesthetics(1)
interaction(1)
 </v>
      </c>
      <c r="BY167" s="14" t="str">
        <f t="shared" si="296"/>
        <v xml:space="preserve">biz project(1,%),  </v>
      </c>
      <c r="BZ167" s="14" t="str">
        <f t="shared" si="297"/>
        <v xml:space="preserve"> </v>
      </c>
      <c r="CA167" s="14" t="str">
        <f t="shared" si="298"/>
        <v xml:space="preserve">efficiency(2), user rules and manuals(1), marketing(1), team building(1), social media(1), negotiation(1), web(2), infrastructrue(2), database(2), security(3), aesthetics(2), functions(1), interaction(2),  </v>
      </c>
      <c r="CB167" s="14" t="str">
        <f t="shared" si="299"/>
        <v xml:space="preserve"> </v>
      </c>
      <c r="CC167" s="27" t="str">
        <f t="shared" si="555"/>
        <v xml:space="preserve"> </v>
      </c>
      <c r="CD167" s="14" t="str">
        <f t="shared" si="301"/>
        <v xml:space="preserve">aesthetics(1)
 </v>
      </c>
      <c r="CE167" s="14" t="str">
        <f t="shared" si="302"/>
        <v xml:space="preserve">biz project(1,%),  </v>
      </c>
      <c r="CF167" s="14" t="str">
        <f t="shared" si="303"/>
        <v xml:space="preserve"> </v>
      </c>
      <c r="CG167" s="14" t="str">
        <f t="shared" si="304"/>
        <v xml:space="preserve">efficiency(2), user rules and manuals(1), marketing(1), team building(1), negotiation(1), infrastructrue(1), database(2), mobile apps(2), security(3), aesthetics(2), functions(1), interaction(2),  </v>
      </c>
      <c r="CH167" s="14" t="str">
        <f t="shared" si="305"/>
        <v xml:space="preserve"> </v>
      </c>
      <c r="CI167" s="27" t="str">
        <f t="shared" si="555"/>
        <v xml:space="preserve"> </v>
      </c>
      <c r="CJ167" s="14" t="str">
        <f t="shared" si="307"/>
        <v xml:space="preserve">aesthetics(1)
 </v>
      </c>
      <c r="CK167" s="14" t="str">
        <f t="shared" si="308"/>
        <v xml:space="preserve">biz project(1,%),  </v>
      </c>
      <c r="CL167" s="14" t="str">
        <f t="shared" si="309"/>
        <v xml:space="preserve"> </v>
      </c>
      <c r="CM167" s="14" t="str">
        <f t="shared" si="310"/>
        <v xml:space="preserve">efficiency(2), user rules and manuals(1), marketing(2), team building(1), social media(2), negotiation(1), web(2), infrastructrue(2), database(2), mobile apps(2), security(2), aesthetics(2), functions(1), interaction(2),  </v>
      </c>
      <c r="CN167" s="14" t="str">
        <f t="shared" si="311"/>
        <v xml:space="preserve"> </v>
      </c>
      <c r="CO167" s="27" t="str">
        <f t="shared" si="555"/>
        <v xml:space="preserve"> </v>
      </c>
      <c r="CP167" s="14" t="str">
        <f t="shared" si="313"/>
        <v xml:space="preserve">metal processing(1)
functions(1)
 </v>
      </c>
      <c r="CQ167" s="14" t="str">
        <f t="shared" si="314"/>
        <v xml:space="preserve">biz enhancement(1,50%),  </v>
      </c>
      <c r="CR167" s="14" t="str">
        <f t="shared" si="315"/>
        <v xml:space="preserve">biz enhancement(50)
 </v>
      </c>
      <c r="CS167" s="14" t="str">
        <f t="shared" si="316"/>
        <v xml:space="preserve">efficiency(2), metal processing(2), electronics(2), aesthetics(2), functions(2), safety(2),  </v>
      </c>
      <c r="CT167" s="14" t="str">
        <f t="shared" si="317"/>
        <v xml:space="preserve"> </v>
      </c>
      <c r="CU167" s="27" t="str">
        <f t="shared" si="555"/>
        <v xml:space="preserve"> </v>
      </c>
      <c r="CV167" s="14" t="str">
        <f t="shared" si="319"/>
        <v xml:space="preserve">wood processing(1)
aesthetics(1)
interaction(1)
 </v>
      </c>
      <c r="CW167" s="14" t="str">
        <f t="shared" si="320"/>
        <v xml:space="preserve">social project(1,50%),  </v>
      </c>
      <c r="CX167" s="14" t="str">
        <f t="shared" si="321"/>
        <v xml:space="preserve">social project(50)
 </v>
      </c>
      <c r="CY167" s="14" t="str">
        <f t="shared" si="322"/>
        <v xml:space="preserve">efficiency(3), sensors(2), wood processing(2), plastic processing(2), electronics(2), aesthetics(2), functions(1), safety(1), interaction(2),  </v>
      </c>
      <c r="CZ167" s="14" t="str">
        <f t="shared" si="323"/>
        <v xml:space="preserve">portfolio(1,6.25%),  </v>
      </c>
      <c r="DA167" s="27" t="str">
        <f t="shared" si="555"/>
        <v xml:space="preserve">portfolio(6.25), </v>
      </c>
      <c r="DB167" s="14" t="str">
        <f t="shared" si="325"/>
        <v xml:space="preserve">aesthetics(1)
interaction(1)
 </v>
      </c>
      <c r="DC167" s="14" t="str">
        <f t="shared" si="326"/>
        <v xml:space="preserve">social project(1,50%),  </v>
      </c>
      <c r="DD167" s="14" t="str">
        <f t="shared" si="327"/>
        <v xml:space="preserve">social project(50)
 </v>
      </c>
      <c r="DE167" s="14" t="str">
        <f t="shared" si="328"/>
        <v xml:space="preserve">efficiency(3), VR&amp;AR(2),  </v>
      </c>
      <c r="DF167" s="14" t="str">
        <f t="shared" si="329"/>
        <v xml:space="preserve">portfolio(1,6.25%),  </v>
      </c>
      <c r="DG167" s="27" t="str">
        <f t="shared" si="555"/>
        <v xml:space="preserve">portfolio(6.25), </v>
      </c>
      <c r="DH167" s="14" t="str">
        <f t="shared" si="331"/>
        <v xml:space="preserve">wood processing(1)
aesthetics(1)
safety(1)
 </v>
      </c>
      <c r="DI167" s="14" t="str">
        <f t="shared" si="332"/>
        <v xml:space="preserve">social project(1,100%),  </v>
      </c>
      <c r="DJ167" s="14" t="str">
        <f t="shared" si="333"/>
        <v xml:space="preserve">social project(100)
 </v>
      </c>
      <c r="DK167" s="14" t="str">
        <f t="shared" si="334"/>
        <v xml:space="preserve">efficiency(2), finance(2), marketing(2), team building(2), project management(2), social media(2), negotiation(2), sensors(1), wood processing(2), metal processing(2), plastic processing(2), electronics(2), fabric(1), aesthetics(1), functions(2), safety(2), interaction(2),  </v>
      </c>
      <c r="DL167" s="14" t="str">
        <f t="shared" si="335"/>
        <v xml:space="preserve">portfolio(1,6.25%), team building(1,6.25%),  </v>
      </c>
      <c r="DM167" s="27" t="str">
        <f t="shared" si="555"/>
        <v xml:space="preserve">portfolio(6.25),team building(6.25), </v>
      </c>
      <c r="DN167" s="14" t="str">
        <f t="shared" si="337"/>
        <v xml:space="preserve">project management(2)
wood processing(1)
plastic processing(1)
electronics(1)
aesthetics(2)
functions(1)
safety(1)
biz project(1)
 </v>
      </c>
      <c r="DO167" s="14" t="str">
        <f t="shared" si="338"/>
        <v xml:space="preserve">portfolio(1,50%),  </v>
      </c>
      <c r="DP167" s="14" t="str">
        <f t="shared" si="339"/>
        <v xml:space="preserve">portfolio(50)
 </v>
      </c>
      <c r="DQ167" s="14" t="str">
        <f t="shared" si="340"/>
        <v xml:space="preserve">social media(2), wood processing(2), plastic processing(2), electronics(2), aesthetics(2),  </v>
      </c>
      <c r="DR167" s="14" t="str">
        <f t="shared" si="341"/>
        <v xml:space="preserve"> </v>
      </c>
      <c r="DS167" s="27" t="str">
        <f t="shared" si="555"/>
        <v xml:space="preserve"> </v>
      </c>
      <c r="DT167" s="14" t="str">
        <f t="shared" si="343"/>
        <v xml:space="preserve">portfolio(2)
 </v>
      </c>
      <c r="DU167" s="14" t="str">
        <f t="shared" si="344"/>
        <v xml:space="preserve"> </v>
      </c>
      <c r="DV167" s="14" t="str">
        <f t="shared" si="345"/>
        <v xml:space="preserve"> </v>
      </c>
      <c r="DW167" s="14" t="str">
        <f t="shared" si="346"/>
        <v xml:space="preserve">social media(2),  </v>
      </c>
      <c r="DX167" s="14" t="str">
        <f t="shared" si="347"/>
        <v xml:space="preserve"> </v>
      </c>
      <c r="DY167" s="27" t="str">
        <f t="shared" si="555"/>
        <v xml:space="preserve"> </v>
      </c>
      <c r="DZ167" s="14" t="str">
        <f t="shared" si="349"/>
        <v xml:space="preserve"> </v>
      </c>
      <c r="EA167" s="14" t="str">
        <f t="shared" si="350"/>
        <v xml:space="preserve"> </v>
      </c>
      <c r="EB167" s="14" t="str">
        <f t="shared" si="351"/>
        <v xml:space="preserve"> </v>
      </c>
      <c r="EC167" s="14" t="str">
        <f t="shared" si="352"/>
        <v xml:space="preserve"> </v>
      </c>
      <c r="ED167" s="14" t="str">
        <f t="shared" si="353"/>
        <v xml:space="preserve"> </v>
      </c>
      <c r="EE167" s="27" t="str">
        <f t="shared" si="555"/>
        <v xml:space="preserve"> </v>
      </c>
      <c r="EF167" s="14" t="str">
        <f t="shared" si="355"/>
        <v xml:space="preserve"> </v>
      </c>
      <c r="EG167" s="14" t="str">
        <f t="shared" si="356"/>
        <v xml:space="preserve"> </v>
      </c>
      <c r="EH167" s="14" t="str">
        <f t="shared" si="357"/>
        <v xml:space="preserve"> </v>
      </c>
      <c r="EI167" s="14" t="str">
        <f t="shared" si="358"/>
        <v xml:space="preserve"> </v>
      </c>
      <c r="EJ167" s="14" t="str">
        <f t="shared" si="359"/>
        <v xml:space="preserve"> </v>
      </c>
      <c r="EK167" s="27" t="str">
        <f t="shared" si="555"/>
        <v xml:space="preserve"> </v>
      </c>
      <c r="EL167" s="14" t="str">
        <f t="shared" si="361"/>
        <v xml:space="preserve"> </v>
      </c>
      <c r="EM167" s="14" t="str">
        <f t="shared" si="362"/>
        <v xml:space="preserve"> </v>
      </c>
      <c r="EN167" s="14" t="str">
        <f t="shared" si="363"/>
        <v xml:space="preserve"> </v>
      </c>
      <c r="EO167" s="14" t="str">
        <f t="shared" si="364"/>
        <v xml:space="preserve"> </v>
      </c>
      <c r="EP167" s="14" t="str">
        <f t="shared" si="365"/>
        <v xml:space="preserve"> </v>
      </c>
      <c r="EQ167" s="27" t="str">
        <f t="shared" si="556"/>
        <v xml:space="preserve"> </v>
      </c>
      <c r="ER167" s="14" t="str">
        <f t="shared" si="367"/>
        <v xml:space="preserve"> </v>
      </c>
      <c r="ES167" s="14" t="str">
        <f t="shared" si="368"/>
        <v xml:space="preserve"> </v>
      </c>
      <c r="ET167" s="14" t="str">
        <f t="shared" si="369"/>
        <v xml:space="preserve"> </v>
      </c>
      <c r="EU167" s="14" t="str">
        <f t="shared" si="370"/>
        <v xml:space="preserve"> </v>
      </c>
      <c r="EV167" s="14" t="str">
        <f t="shared" si="371"/>
        <v xml:space="preserve"> </v>
      </c>
      <c r="EW167" s="27" t="str">
        <f t="shared" si="556"/>
        <v xml:space="preserve"> </v>
      </c>
      <c r="EX167" s="14" t="str">
        <f t="shared" si="373"/>
        <v xml:space="preserve"> </v>
      </c>
      <c r="EY167" s="14" t="str">
        <f t="shared" si="374"/>
        <v xml:space="preserve"> </v>
      </c>
      <c r="EZ167" s="14" t="str">
        <f t="shared" si="375"/>
        <v xml:space="preserve"> </v>
      </c>
      <c r="FA167" s="14" t="str">
        <f t="shared" si="376"/>
        <v xml:space="preserve"> </v>
      </c>
      <c r="FB167" s="14" t="str">
        <f t="shared" si="377"/>
        <v xml:space="preserve"> </v>
      </c>
      <c r="FC167" s="27" t="str">
        <f t="shared" si="556"/>
        <v xml:space="preserve"> </v>
      </c>
      <c r="FD167" s="14" t="str">
        <f t="shared" si="379"/>
        <v xml:space="preserve"> </v>
      </c>
      <c r="FE167" s="14" t="str">
        <f t="shared" si="380"/>
        <v xml:space="preserve"> </v>
      </c>
      <c r="FF167" s="14" t="str">
        <f t="shared" si="381"/>
        <v xml:space="preserve"> </v>
      </c>
      <c r="FG167" s="14" t="str">
        <f t="shared" si="382"/>
        <v xml:space="preserve"> </v>
      </c>
      <c r="FH167" s="14" t="str">
        <f t="shared" si="383"/>
        <v xml:space="preserve"> </v>
      </c>
      <c r="FI167" s="27" t="str">
        <f t="shared" si="556"/>
        <v xml:space="preserve"> </v>
      </c>
      <c r="FJ167" s="14" t="str">
        <f t="shared" si="385"/>
        <v xml:space="preserve"> </v>
      </c>
      <c r="FK167" s="14" t="str">
        <f t="shared" si="386"/>
        <v xml:space="preserve"> </v>
      </c>
      <c r="FL167" s="14" t="str">
        <f t="shared" si="387"/>
        <v xml:space="preserve"> </v>
      </c>
      <c r="FM167" s="14" t="str">
        <f t="shared" si="388"/>
        <v xml:space="preserve"> </v>
      </c>
      <c r="FN167" s="14" t="str">
        <f t="shared" si="389"/>
        <v xml:space="preserve"> </v>
      </c>
      <c r="FO167" s="27" t="str">
        <f t="shared" si="556"/>
        <v xml:space="preserve"> </v>
      </c>
      <c r="FP167" s="14" t="str">
        <f t="shared" si="391"/>
        <v xml:space="preserve"> </v>
      </c>
      <c r="FQ167" s="14" t="str">
        <f t="shared" si="392"/>
        <v xml:space="preserve"> </v>
      </c>
      <c r="FR167" s="14" t="str">
        <f t="shared" si="393"/>
        <v xml:space="preserve"> </v>
      </c>
      <c r="FS167" s="14" t="str">
        <f t="shared" si="394"/>
        <v xml:space="preserve"> </v>
      </c>
      <c r="FT167" s="14" t="str">
        <f t="shared" si="395"/>
        <v xml:space="preserve"> </v>
      </c>
      <c r="FU167" s="27" t="str">
        <f t="shared" si="556"/>
        <v xml:space="preserve"> </v>
      </c>
      <c r="FV167" s="14" t="str">
        <f t="shared" si="397"/>
        <v xml:space="preserve"> </v>
      </c>
      <c r="FW167" s="14" t="str">
        <f t="shared" si="398"/>
        <v xml:space="preserve"> </v>
      </c>
      <c r="FX167" s="14" t="str">
        <f t="shared" si="399"/>
        <v xml:space="preserve"> </v>
      </c>
      <c r="FY167" s="14" t="str">
        <f t="shared" si="400"/>
        <v xml:space="preserve"> </v>
      </c>
      <c r="FZ167" s="14" t="str">
        <f t="shared" si="401"/>
        <v xml:space="preserve"> </v>
      </c>
      <c r="GA167" s="27" t="str">
        <f t="shared" si="556"/>
        <v xml:space="preserve"> </v>
      </c>
      <c r="GB167" s="14" t="str">
        <f t="shared" si="403"/>
        <v xml:space="preserve"> </v>
      </c>
      <c r="GC167" s="14" t="str">
        <f t="shared" si="404"/>
        <v xml:space="preserve"> </v>
      </c>
      <c r="GD167" s="14" t="str">
        <f t="shared" si="405"/>
        <v xml:space="preserve"> </v>
      </c>
      <c r="GE167" s="14" t="str">
        <f t="shared" si="406"/>
        <v xml:space="preserve"> </v>
      </c>
      <c r="GF167" s="14" t="str">
        <f t="shared" si="407"/>
        <v xml:space="preserve"> </v>
      </c>
      <c r="GG167" s="27" t="str">
        <f t="shared" si="556"/>
        <v xml:space="preserve"> </v>
      </c>
      <c r="GH167" s="14" t="str">
        <f t="shared" si="409"/>
        <v xml:space="preserve"> </v>
      </c>
      <c r="GI167" s="14" t="str">
        <f t="shared" si="410"/>
        <v xml:space="preserve"> </v>
      </c>
      <c r="GJ167" s="14" t="str">
        <f t="shared" si="411"/>
        <v xml:space="preserve"> </v>
      </c>
      <c r="GK167" s="14" t="str">
        <f t="shared" si="412"/>
        <v xml:space="preserve"> </v>
      </c>
      <c r="GL167" s="14" t="str">
        <f t="shared" si="413"/>
        <v xml:space="preserve"> </v>
      </c>
      <c r="GM167" s="27" t="str">
        <f t="shared" si="556"/>
        <v xml:space="preserve"> </v>
      </c>
      <c r="GN167" s="14" t="str">
        <f t="shared" si="415"/>
        <v xml:space="preserve"> </v>
      </c>
      <c r="GO167" s="14" t="str">
        <f t="shared" si="416"/>
        <v xml:space="preserve"> </v>
      </c>
      <c r="GP167" s="14" t="str">
        <f t="shared" si="417"/>
        <v xml:space="preserve"> </v>
      </c>
      <c r="GQ167" s="14" t="str">
        <f t="shared" si="418"/>
        <v xml:space="preserve"> </v>
      </c>
      <c r="GR167" s="14" t="str">
        <f t="shared" si="419"/>
        <v xml:space="preserve"> </v>
      </c>
      <c r="GS167" s="27" t="str">
        <f t="shared" si="556"/>
        <v xml:space="preserve"> </v>
      </c>
      <c r="GT167" s="14" t="str">
        <f t="shared" si="421"/>
        <v xml:space="preserve"> </v>
      </c>
      <c r="GU167" s="14" t="str">
        <f t="shared" si="422"/>
        <v xml:space="preserve"> </v>
      </c>
      <c r="GV167" s="14" t="str">
        <f t="shared" si="423"/>
        <v xml:space="preserve"> </v>
      </c>
      <c r="GW167" s="14" t="str">
        <f t="shared" si="424"/>
        <v xml:space="preserve"> </v>
      </c>
      <c r="GX167" s="14" t="str">
        <f t="shared" si="425"/>
        <v xml:space="preserve"> </v>
      </c>
      <c r="GY167" s="27" t="str">
        <f t="shared" si="556"/>
        <v xml:space="preserve"> </v>
      </c>
      <c r="GZ167" s="14" t="str">
        <f t="shared" si="427"/>
        <v xml:space="preserve"> </v>
      </c>
      <c r="HA167" s="14" t="str">
        <f t="shared" si="428"/>
        <v xml:space="preserve"> </v>
      </c>
      <c r="HB167" s="14" t="str">
        <f t="shared" si="429"/>
        <v xml:space="preserve"> </v>
      </c>
      <c r="HC167" s="14" t="str">
        <f t="shared" si="430"/>
        <v xml:space="preserve"> </v>
      </c>
      <c r="HD167" s="14" t="str">
        <f t="shared" si="431"/>
        <v xml:space="preserve"> </v>
      </c>
      <c r="HE167" s="27" t="str">
        <f t="shared" si="557"/>
        <v xml:space="preserve"> </v>
      </c>
      <c r="HF167" s="14" t="str">
        <f t="shared" si="433"/>
        <v xml:space="preserve"> </v>
      </c>
      <c r="HG167" s="14" t="str">
        <f t="shared" si="434"/>
        <v xml:space="preserve"> </v>
      </c>
      <c r="HH167" s="14" t="str">
        <f t="shared" si="435"/>
        <v xml:space="preserve"> </v>
      </c>
      <c r="HI167" s="14" t="str">
        <f t="shared" si="436"/>
        <v xml:space="preserve"> </v>
      </c>
      <c r="HJ167" s="14" t="str">
        <f t="shared" si="437"/>
        <v xml:space="preserve"> </v>
      </c>
      <c r="HK167" s="27" t="str">
        <f t="shared" si="557"/>
        <v xml:space="preserve"> </v>
      </c>
      <c r="HL167" s="14" t="str">
        <f t="shared" si="439"/>
        <v xml:space="preserve"> </v>
      </c>
      <c r="HM167" s="14" t="str">
        <f t="shared" si="440"/>
        <v xml:space="preserve"> </v>
      </c>
      <c r="HN167" s="14" t="str">
        <f t="shared" si="441"/>
        <v xml:space="preserve"> </v>
      </c>
      <c r="HO167" s="14" t="str">
        <f t="shared" si="442"/>
        <v xml:space="preserve"> </v>
      </c>
      <c r="HP167" s="14" t="str">
        <f t="shared" si="443"/>
        <v xml:space="preserve"> </v>
      </c>
      <c r="HQ167" s="27" t="str">
        <f t="shared" si="557"/>
        <v xml:space="preserve"> </v>
      </c>
    </row>
    <row r="168" spans="1:225" ht="15.75" customHeight="1">
      <c r="A168" s="7">
        <f t="shared" ref="A168:C168" si="570">A60</f>
        <v>0</v>
      </c>
      <c r="B168" s="7">
        <f t="shared" si="570"/>
        <v>0</v>
      </c>
      <c r="C168" s="7" t="str">
        <f t="shared" si="570"/>
        <v>portfolio</v>
      </c>
      <c r="D168" s="14" t="str">
        <f t="shared" si="446"/>
        <v xml:space="preserve"> </v>
      </c>
      <c r="E168" s="14" t="str">
        <f t="shared" si="447"/>
        <v xml:space="preserve"> </v>
      </c>
      <c r="F168" s="14" t="str">
        <f t="shared" si="448"/>
        <v xml:space="preserve"> </v>
      </c>
      <c r="G168" s="14" t="str">
        <f t="shared" si="449"/>
        <v xml:space="preserve">user rules and manuals(2.1), organizational rules and manuals(2.1),  </v>
      </c>
      <c r="H168" s="14" t="str">
        <f t="shared" si="450"/>
        <v xml:space="preserve"> </v>
      </c>
      <c r="I168" s="27" t="str">
        <f t="shared" ref="I168" si="571">IF(I60="",I169,$C168&amp;"("&amp;I60&amp;"),"&amp;I169)</f>
        <v xml:space="preserve"> </v>
      </c>
      <c r="J168" s="14" t="str">
        <f t="shared" si="229"/>
        <v xml:space="preserve"> </v>
      </c>
      <c r="K168" s="14" t="str">
        <f t="shared" si="230"/>
        <v xml:space="preserve"> </v>
      </c>
      <c r="L168" s="14" t="str">
        <f t="shared" si="231"/>
        <v xml:space="preserve"> </v>
      </c>
      <c r="M168" s="14" t="str">
        <f t="shared" si="232"/>
        <v xml:space="preserve">organizational rules and manuals(1.1),  </v>
      </c>
      <c r="N168" s="14" t="str">
        <f t="shared" si="233"/>
        <v xml:space="preserve"> </v>
      </c>
      <c r="O168" s="27" t="str">
        <f t="shared" si="554"/>
        <v xml:space="preserve"> </v>
      </c>
      <c r="P168" s="14" t="str">
        <f t="shared" si="235"/>
        <v xml:space="preserve"> </v>
      </c>
      <c r="Q168" s="14" t="str">
        <f t="shared" si="236"/>
        <v xml:space="preserve"> </v>
      </c>
      <c r="R168" s="14" t="str">
        <f t="shared" si="237"/>
        <v xml:space="preserve"> </v>
      </c>
      <c r="S168" s="14" t="str">
        <f t="shared" si="238"/>
        <v xml:space="preserve">team building(0.1),  </v>
      </c>
      <c r="T168" s="14" t="str">
        <f t="shared" si="239"/>
        <v xml:space="preserve">business model(-1,6.25%), web(-1,6.25%), mobile apps(-1,6.25%), aesthetics(-1,6.25%),  </v>
      </c>
      <c r="U168" s="27" t="str">
        <f t="shared" si="554"/>
        <v xml:space="preserve">business model(6.25),web(6.25),mobile apps(6.25),aesthetics(6.25), </v>
      </c>
      <c r="V168" s="14" t="str">
        <f t="shared" si="241"/>
        <v xml:space="preserve"> </v>
      </c>
      <c r="W168" s="14" t="str">
        <f t="shared" si="242"/>
        <v xml:space="preserve"> </v>
      </c>
      <c r="X168" s="14" t="str">
        <f t="shared" si="243"/>
        <v xml:space="preserve"> </v>
      </c>
      <c r="Y168" s="14" t="str">
        <f t="shared" si="244"/>
        <v xml:space="preserve">user rules and manuals(0.1), project management(0.1), negotiation(0.1),  </v>
      </c>
      <c r="Z168" s="14" t="str">
        <f t="shared" si="245"/>
        <v xml:space="preserve"> </v>
      </c>
      <c r="AA168" s="27" t="str">
        <f t="shared" si="554"/>
        <v xml:space="preserve"> </v>
      </c>
      <c r="AB168" s="14" t="str">
        <f t="shared" si="247"/>
        <v xml:space="preserve"> </v>
      </c>
      <c r="AC168" s="14" t="str">
        <f t="shared" si="248"/>
        <v xml:space="preserve"> </v>
      </c>
      <c r="AD168" s="14" t="str">
        <f t="shared" si="249"/>
        <v xml:space="preserve"> </v>
      </c>
      <c r="AE168" s="14" t="str">
        <f t="shared" si="250"/>
        <v xml:space="preserve">user rules and manuals(1.1), organizational rules and manuals(1.1),  </v>
      </c>
      <c r="AF168" s="14" t="str">
        <f t="shared" si="251"/>
        <v xml:space="preserve"> </v>
      </c>
      <c r="AG168" s="27" t="str">
        <f t="shared" si="554"/>
        <v xml:space="preserve"> </v>
      </c>
      <c r="AH168" s="14" t="str">
        <f t="shared" si="253"/>
        <v xml:space="preserve"> </v>
      </c>
      <c r="AI168" s="14" t="str">
        <f t="shared" si="254"/>
        <v xml:space="preserve"> </v>
      </c>
      <c r="AJ168" s="14" t="str">
        <f t="shared" si="255"/>
        <v xml:space="preserve"> </v>
      </c>
      <c r="AK168" s="14" t="str">
        <f t="shared" si="256"/>
        <v xml:space="preserve">user rules and manuals(2.1), organizational rules and manuals(2.1), law(1.1), negotiation(1.1),  </v>
      </c>
      <c r="AL168" s="14" t="str">
        <f t="shared" si="257"/>
        <v xml:space="preserve"> </v>
      </c>
      <c r="AM168" s="27" t="str">
        <f t="shared" si="554"/>
        <v xml:space="preserve"> </v>
      </c>
      <c r="AN168" s="14" t="str">
        <f t="shared" si="259"/>
        <v xml:space="preserve"> </v>
      </c>
      <c r="AO168" s="14" t="str">
        <f t="shared" si="260"/>
        <v xml:space="preserve"> </v>
      </c>
      <c r="AP168" s="14" t="str">
        <f t="shared" si="261"/>
        <v xml:space="preserve"> </v>
      </c>
      <c r="AQ168" s="14" t="str">
        <f t="shared" si="262"/>
        <v xml:space="preserve">organizational rules and manuals(2.1), team building(2.1),  </v>
      </c>
      <c r="AR168" s="14" t="str">
        <f t="shared" si="263"/>
        <v xml:space="preserve"> </v>
      </c>
      <c r="AS168" s="27" t="str">
        <f t="shared" si="554"/>
        <v xml:space="preserve"> </v>
      </c>
      <c r="AT168" s="14" t="str">
        <f t="shared" si="265"/>
        <v xml:space="preserve"> </v>
      </c>
      <c r="AU168" s="14" t="str">
        <f t="shared" si="266"/>
        <v xml:space="preserve"> </v>
      </c>
      <c r="AV168" s="14" t="str">
        <f t="shared" si="267"/>
        <v xml:space="preserve"> </v>
      </c>
      <c r="AW168" s="14" t="str">
        <f t="shared" si="268"/>
        <v xml:space="preserve">user rules and manuals(2.1), team building(2.1),  </v>
      </c>
      <c r="AX168" s="14" t="str">
        <f t="shared" si="269"/>
        <v xml:space="preserve"> </v>
      </c>
      <c r="AY168" s="27" t="str">
        <f t="shared" si="554"/>
        <v xml:space="preserve"> </v>
      </c>
      <c r="AZ168" s="14" t="str">
        <f t="shared" si="271"/>
        <v xml:space="preserve"> </v>
      </c>
      <c r="BA168" s="14" t="str">
        <f t="shared" si="272"/>
        <v xml:space="preserve">user rules and manuals(1,25%),  </v>
      </c>
      <c r="BB168" s="14" t="str">
        <f t="shared" si="273"/>
        <v xml:space="preserve">user rules and manuals(25)
 </v>
      </c>
      <c r="BC168" s="14" t="str">
        <f t="shared" si="274"/>
        <v xml:space="preserve">user rules and manuals(2.1), organizational rules and manuals(2.1),  </v>
      </c>
      <c r="BD168" s="14" t="str">
        <f t="shared" si="275"/>
        <v xml:space="preserve"> </v>
      </c>
      <c r="BE168" s="27" t="str">
        <f t="shared" si="554"/>
        <v xml:space="preserve"> </v>
      </c>
      <c r="BF168" s="14" t="str">
        <f t="shared" si="277"/>
        <v xml:space="preserve"> </v>
      </c>
      <c r="BG168" s="14" t="str">
        <f t="shared" si="278"/>
        <v xml:space="preserve">user rules and manuals(1,25%), organizational rules and manuals(1,25%),  </v>
      </c>
      <c r="BH168" s="14" t="str">
        <f t="shared" si="279"/>
        <v xml:space="preserve">user rules and manuals(25)
organizational rules and manuals(25)
 </v>
      </c>
      <c r="BI168" s="14" t="str">
        <f t="shared" si="280"/>
        <v xml:space="preserve"> </v>
      </c>
      <c r="BJ168" s="14" t="str">
        <f t="shared" si="281"/>
        <v xml:space="preserve"> </v>
      </c>
      <c r="BK168" s="27" t="str">
        <f t="shared" si="554"/>
        <v xml:space="preserve"> </v>
      </c>
      <c r="BL168" s="14" t="str">
        <f t="shared" si="283"/>
        <v xml:space="preserve">aesthetics(1)
 </v>
      </c>
      <c r="BM168" s="14" t="str">
        <f t="shared" si="284"/>
        <v xml:space="preserve">biz enhancement(1,%),  </v>
      </c>
      <c r="BN168" s="14" t="str">
        <f t="shared" si="285"/>
        <v xml:space="preserve"> </v>
      </c>
      <c r="BO168" s="14" t="str">
        <f t="shared" si="286"/>
        <v xml:space="preserve">user rules and manuals(1), marketing(1), negotiation(1), aesthetics(2), functions(1), safety(1),  </v>
      </c>
      <c r="BP168" s="14" t="str">
        <f t="shared" si="287"/>
        <v xml:space="preserve"> </v>
      </c>
      <c r="BQ168" s="27" t="str">
        <f t="shared" si="554"/>
        <v xml:space="preserve"> </v>
      </c>
      <c r="BR168" s="14" t="str">
        <f t="shared" si="289"/>
        <v xml:space="preserve">aesthetics(1)
 </v>
      </c>
      <c r="BS168" s="14" t="str">
        <f t="shared" si="290"/>
        <v xml:space="preserve">biz project(1,%),  </v>
      </c>
      <c r="BT168" s="14" t="str">
        <f t="shared" si="291"/>
        <v xml:space="preserve"> </v>
      </c>
      <c r="BU168" s="14" t="str">
        <f t="shared" si="292"/>
        <v xml:space="preserve">user rules and manuals(1), marketing(1), negotiation(1), wood processing(1), aesthetics(2),  </v>
      </c>
      <c r="BV168" s="14" t="str">
        <f t="shared" si="293"/>
        <v xml:space="preserve"> </v>
      </c>
      <c r="BW168" s="27" t="str">
        <f t="shared" si="554"/>
        <v xml:space="preserve"> </v>
      </c>
      <c r="BX168" s="14" t="str">
        <f t="shared" si="295"/>
        <v xml:space="preserve">aesthetics(1)
interaction(1)
 </v>
      </c>
      <c r="BY168" s="14" t="str">
        <f t="shared" si="296"/>
        <v xml:space="preserve">biz project(1,%),  </v>
      </c>
      <c r="BZ168" s="14" t="str">
        <f t="shared" si="297"/>
        <v xml:space="preserve"> </v>
      </c>
      <c r="CA168" s="14" t="str">
        <f t="shared" si="298"/>
        <v xml:space="preserve">user rules and manuals(1), marketing(1), team building(1), social media(1), negotiation(1), web(2), infrastructrue(2), database(2), security(3), aesthetics(2), functions(1), interaction(2),  </v>
      </c>
      <c r="CB168" s="14" t="str">
        <f t="shared" si="299"/>
        <v xml:space="preserve"> </v>
      </c>
      <c r="CC168" s="27" t="str">
        <f t="shared" si="555"/>
        <v xml:space="preserve"> </v>
      </c>
      <c r="CD168" s="14" t="str">
        <f t="shared" si="301"/>
        <v xml:space="preserve">aesthetics(1)
 </v>
      </c>
      <c r="CE168" s="14" t="str">
        <f t="shared" si="302"/>
        <v xml:space="preserve">biz project(1,%),  </v>
      </c>
      <c r="CF168" s="14" t="str">
        <f t="shared" si="303"/>
        <v xml:space="preserve"> </v>
      </c>
      <c r="CG168" s="14" t="str">
        <f t="shared" si="304"/>
        <v xml:space="preserve">user rules and manuals(1), marketing(1), team building(1), negotiation(1), infrastructrue(1), database(2), mobile apps(2), security(3), aesthetics(2), functions(1), interaction(2),  </v>
      </c>
      <c r="CH168" s="14" t="str">
        <f t="shared" si="305"/>
        <v xml:space="preserve"> </v>
      </c>
      <c r="CI168" s="27" t="str">
        <f t="shared" si="555"/>
        <v xml:space="preserve"> </v>
      </c>
      <c r="CJ168" s="14" t="str">
        <f t="shared" si="307"/>
        <v xml:space="preserve">aesthetics(1)
 </v>
      </c>
      <c r="CK168" s="14" t="str">
        <f t="shared" si="308"/>
        <v xml:space="preserve">biz project(1,%),  </v>
      </c>
      <c r="CL168" s="14" t="str">
        <f t="shared" si="309"/>
        <v xml:space="preserve"> </v>
      </c>
      <c r="CM168" s="14" t="str">
        <f t="shared" si="310"/>
        <v xml:space="preserve">user rules and manuals(1), marketing(2), team building(1), social media(2), negotiation(1), web(2), infrastructrue(2), database(2), mobile apps(2), security(2), aesthetics(2), functions(1), interaction(2),  </v>
      </c>
      <c r="CN168" s="14" t="str">
        <f t="shared" si="311"/>
        <v xml:space="preserve"> </v>
      </c>
      <c r="CO168" s="27" t="str">
        <f t="shared" si="555"/>
        <v xml:space="preserve"> </v>
      </c>
      <c r="CP168" s="14" t="str">
        <f t="shared" si="313"/>
        <v xml:space="preserve">metal processing(1)
functions(1)
 </v>
      </c>
      <c r="CQ168" s="14" t="str">
        <f t="shared" si="314"/>
        <v xml:space="preserve">biz enhancement(1,50%),  </v>
      </c>
      <c r="CR168" s="14" t="str">
        <f t="shared" si="315"/>
        <v xml:space="preserve">biz enhancement(50)
 </v>
      </c>
      <c r="CS168" s="14" t="str">
        <f t="shared" si="316"/>
        <v xml:space="preserve">metal processing(2), electronics(2), aesthetics(2), functions(2), safety(2),  </v>
      </c>
      <c r="CT168" s="14" t="str">
        <f t="shared" si="317"/>
        <v xml:space="preserve"> </v>
      </c>
      <c r="CU168" s="27" t="str">
        <f t="shared" si="555"/>
        <v xml:space="preserve"> </v>
      </c>
      <c r="CV168" s="14" t="str">
        <f t="shared" si="319"/>
        <v xml:space="preserve">wood processing(1)
aesthetics(1)
interaction(1)
 </v>
      </c>
      <c r="CW168" s="14" t="str">
        <f t="shared" si="320"/>
        <v xml:space="preserve">social project(1,50%),  </v>
      </c>
      <c r="CX168" s="14" t="str">
        <f t="shared" si="321"/>
        <v xml:space="preserve">social project(50)
 </v>
      </c>
      <c r="CY168" s="14" t="str">
        <f t="shared" si="322"/>
        <v xml:space="preserve">sensors(2), wood processing(2), plastic processing(2), electronics(2), aesthetics(2), functions(1), safety(1), interaction(2),  </v>
      </c>
      <c r="CZ168" s="14" t="str">
        <f t="shared" si="323"/>
        <v xml:space="preserve">portfolio(1,6.25%),  </v>
      </c>
      <c r="DA168" s="27" t="str">
        <f t="shared" si="555"/>
        <v xml:space="preserve">portfolio(6.25), </v>
      </c>
      <c r="DB168" s="14" t="str">
        <f t="shared" si="325"/>
        <v xml:space="preserve">aesthetics(1)
interaction(1)
 </v>
      </c>
      <c r="DC168" s="14" t="str">
        <f t="shared" si="326"/>
        <v xml:space="preserve">social project(1,50%),  </v>
      </c>
      <c r="DD168" s="14" t="str">
        <f t="shared" si="327"/>
        <v xml:space="preserve">social project(50)
 </v>
      </c>
      <c r="DE168" s="14" t="str">
        <f t="shared" si="328"/>
        <v xml:space="preserve">VR&amp;AR(2),  </v>
      </c>
      <c r="DF168" s="14" t="str">
        <f t="shared" si="329"/>
        <v xml:space="preserve">portfolio(1,6.25%),  </v>
      </c>
      <c r="DG168" s="27" t="str">
        <f t="shared" si="555"/>
        <v xml:space="preserve">portfolio(6.25), </v>
      </c>
      <c r="DH168" s="14" t="str">
        <f t="shared" si="331"/>
        <v xml:space="preserve">wood processing(1)
aesthetics(1)
safety(1)
 </v>
      </c>
      <c r="DI168" s="14" t="str">
        <f t="shared" si="332"/>
        <v xml:space="preserve">social project(1,100%),  </v>
      </c>
      <c r="DJ168" s="14" t="str">
        <f t="shared" si="333"/>
        <v xml:space="preserve">social project(100)
 </v>
      </c>
      <c r="DK168" s="14" t="str">
        <f t="shared" si="334"/>
        <v xml:space="preserve">finance(2), marketing(2), team building(2), project management(2), social media(2), negotiation(2), sensors(1), wood processing(2), metal processing(2), plastic processing(2), electronics(2), fabric(1), aesthetics(1), functions(2), safety(2), interaction(2),  </v>
      </c>
      <c r="DL168" s="14" t="str">
        <f t="shared" si="335"/>
        <v xml:space="preserve">portfolio(1,6.25%), team building(1,6.25%),  </v>
      </c>
      <c r="DM168" s="27" t="str">
        <f t="shared" si="555"/>
        <v xml:space="preserve">portfolio(6.25),team building(6.25), </v>
      </c>
      <c r="DN168" s="14" t="str">
        <f t="shared" si="337"/>
        <v xml:space="preserve">project management(2)
wood processing(1)
plastic processing(1)
electronics(1)
aesthetics(2)
functions(1)
safety(1)
biz project(1)
 </v>
      </c>
      <c r="DO168" s="14" t="str">
        <f t="shared" si="338"/>
        <v xml:space="preserve">portfolio(1,50%),  </v>
      </c>
      <c r="DP168" s="14" t="str">
        <f t="shared" si="339"/>
        <v xml:space="preserve">portfolio(50)
 </v>
      </c>
      <c r="DQ168" s="14" t="str">
        <f t="shared" si="340"/>
        <v xml:space="preserve">social media(2), wood processing(2), plastic processing(2), electronics(2), aesthetics(2),  </v>
      </c>
      <c r="DR168" s="14" t="str">
        <f t="shared" si="341"/>
        <v xml:space="preserve"> </v>
      </c>
      <c r="DS168" s="27" t="str">
        <f t="shared" si="555"/>
        <v xml:space="preserve"> </v>
      </c>
      <c r="DT168" s="14" t="str">
        <f t="shared" si="343"/>
        <v xml:space="preserve">portfolio(2)
 </v>
      </c>
      <c r="DU168" s="14" t="str">
        <f t="shared" si="344"/>
        <v xml:space="preserve"> </v>
      </c>
      <c r="DV168" s="14" t="str">
        <f t="shared" si="345"/>
        <v xml:space="preserve"> </v>
      </c>
      <c r="DW168" s="14" t="str">
        <f t="shared" si="346"/>
        <v xml:space="preserve">social media(2),  </v>
      </c>
      <c r="DX168" s="14" t="str">
        <f t="shared" si="347"/>
        <v xml:space="preserve"> </v>
      </c>
      <c r="DY168" s="27" t="str">
        <f t="shared" si="555"/>
        <v xml:space="preserve"> </v>
      </c>
      <c r="DZ168" s="14" t="str">
        <f t="shared" si="349"/>
        <v xml:space="preserve"> </v>
      </c>
      <c r="EA168" s="14" t="str">
        <f t="shared" si="350"/>
        <v xml:space="preserve"> </v>
      </c>
      <c r="EB168" s="14" t="str">
        <f t="shared" si="351"/>
        <v xml:space="preserve"> </v>
      </c>
      <c r="EC168" s="14" t="str">
        <f t="shared" si="352"/>
        <v xml:space="preserve"> </v>
      </c>
      <c r="ED168" s="14" t="str">
        <f t="shared" si="353"/>
        <v xml:space="preserve"> </v>
      </c>
      <c r="EE168" s="27" t="str">
        <f t="shared" si="555"/>
        <v xml:space="preserve"> </v>
      </c>
      <c r="EF168" s="14" t="str">
        <f t="shared" si="355"/>
        <v xml:space="preserve"> </v>
      </c>
      <c r="EG168" s="14" t="str">
        <f t="shared" si="356"/>
        <v xml:space="preserve"> </v>
      </c>
      <c r="EH168" s="14" t="str">
        <f t="shared" si="357"/>
        <v xml:space="preserve"> </v>
      </c>
      <c r="EI168" s="14" t="str">
        <f t="shared" si="358"/>
        <v xml:space="preserve"> </v>
      </c>
      <c r="EJ168" s="14" t="str">
        <f t="shared" si="359"/>
        <v xml:space="preserve"> </v>
      </c>
      <c r="EK168" s="27" t="str">
        <f t="shared" si="555"/>
        <v xml:space="preserve"> </v>
      </c>
      <c r="EL168" s="14" t="str">
        <f t="shared" si="361"/>
        <v xml:space="preserve"> </v>
      </c>
      <c r="EM168" s="14" t="str">
        <f t="shared" si="362"/>
        <v xml:space="preserve"> </v>
      </c>
      <c r="EN168" s="14" t="str">
        <f t="shared" si="363"/>
        <v xml:space="preserve"> </v>
      </c>
      <c r="EO168" s="14" t="str">
        <f t="shared" si="364"/>
        <v xml:space="preserve"> </v>
      </c>
      <c r="EP168" s="14" t="str">
        <f t="shared" si="365"/>
        <v xml:space="preserve"> </v>
      </c>
      <c r="EQ168" s="27" t="str">
        <f t="shared" si="556"/>
        <v xml:space="preserve"> </v>
      </c>
      <c r="ER168" s="14" t="str">
        <f t="shared" si="367"/>
        <v xml:space="preserve"> </v>
      </c>
      <c r="ES168" s="14" t="str">
        <f t="shared" si="368"/>
        <v xml:space="preserve"> </v>
      </c>
      <c r="ET168" s="14" t="str">
        <f t="shared" si="369"/>
        <v xml:space="preserve"> </v>
      </c>
      <c r="EU168" s="14" t="str">
        <f t="shared" si="370"/>
        <v xml:space="preserve"> </v>
      </c>
      <c r="EV168" s="14" t="str">
        <f t="shared" si="371"/>
        <v xml:space="preserve"> </v>
      </c>
      <c r="EW168" s="27" t="str">
        <f t="shared" si="556"/>
        <v xml:space="preserve"> </v>
      </c>
      <c r="EX168" s="14" t="str">
        <f t="shared" si="373"/>
        <v xml:space="preserve"> </v>
      </c>
      <c r="EY168" s="14" t="str">
        <f t="shared" si="374"/>
        <v xml:space="preserve"> </v>
      </c>
      <c r="EZ168" s="14" t="str">
        <f t="shared" si="375"/>
        <v xml:space="preserve"> </v>
      </c>
      <c r="FA168" s="14" t="str">
        <f t="shared" si="376"/>
        <v xml:space="preserve"> </v>
      </c>
      <c r="FB168" s="14" t="str">
        <f t="shared" si="377"/>
        <v xml:space="preserve"> </v>
      </c>
      <c r="FC168" s="27" t="str">
        <f t="shared" si="556"/>
        <v xml:space="preserve"> </v>
      </c>
      <c r="FD168" s="14" t="str">
        <f t="shared" si="379"/>
        <v xml:space="preserve"> </v>
      </c>
      <c r="FE168" s="14" t="str">
        <f t="shared" si="380"/>
        <v xml:space="preserve"> </v>
      </c>
      <c r="FF168" s="14" t="str">
        <f t="shared" si="381"/>
        <v xml:space="preserve"> </v>
      </c>
      <c r="FG168" s="14" t="str">
        <f t="shared" si="382"/>
        <v xml:space="preserve"> </v>
      </c>
      <c r="FH168" s="14" t="str">
        <f t="shared" si="383"/>
        <v xml:space="preserve"> </v>
      </c>
      <c r="FI168" s="27" t="str">
        <f t="shared" si="556"/>
        <v xml:space="preserve"> </v>
      </c>
      <c r="FJ168" s="14" t="str">
        <f t="shared" si="385"/>
        <v xml:space="preserve"> </v>
      </c>
      <c r="FK168" s="14" t="str">
        <f t="shared" si="386"/>
        <v xml:space="preserve"> </v>
      </c>
      <c r="FL168" s="14" t="str">
        <f t="shared" si="387"/>
        <v xml:space="preserve"> </v>
      </c>
      <c r="FM168" s="14" t="str">
        <f t="shared" si="388"/>
        <v xml:space="preserve"> </v>
      </c>
      <c r="FN168" s="14" t="str">
        <f t="shared" si="389"/>
        <v xml:space="preserve"> </v>
      </c>
      <c r="FO168" s="27" t="str">
        <f t="shared" si="556"/>
        <v xml:space="preserve"> </v>
      </c>
      <c r="FP168" s="14" t="str">
        <f t="shared" si="391"/>
        <v xml:space="preserve"> </v>
      </c>
      <c r="FQ168" s="14" t="str">
        <f t="shared" si="392"/>
        <v xml:space="preserve"> </v>
      </c>
      <c r="FR168" s="14" t="str">
        <f t="shared" si="393"/>
        <v xml:space="preserve"> </v>
      </c>
      <c r="FS168" s="14" t="str">
        <f t="shared" si="394"/>
        <v xml:space="preserve"> </v>
      </c>
      <c r="FT168" s="14" t="str">
        <f t="shared" si="395"/>
        <v xml:space="preserve"> </v>
      </c>
      <c r="FU168" s="27" t="str">
        <f t="shared" si="556"/>
        <v xml:space="preserve"> </v>
      </c>
      <c r="FV168" s="14" t="str">
        <f t="shared" si="397"/>
        <v xml:space="preserve"> </v>
      </c>
      <c r="FW168" s="14" t="str">
        <f t="shared" si="398"/>
        <v xml:space="preserve"> </v>
      </c>
      <c r="FX168" s="14" t="str">
        <f t="shared" si="399"/>
        <v xml:space="preserve"> </v>
      </c>
      <c r="FY168" s="14" t="str">
        <f t="shared" si="400"/>
        <v xml:space="preserve"> </v>
      </c>
      <c r="FZ168" s="14" t="str">
        <f t="shared" si="401"/>
        <v xml:space="preserve"> </v>
      </c>
      <c r="GA168" s="27" t="str">
        <f t="shared" si="556"/>
        <v xml:space="preserve"> </v>
      </c>
      <c r="GB168" s="14" t="str">
        <f t="shared" si="403"/>
        <v xml:space="preserve"> </v>
      </c>
      <c r="GC168" s="14" t="str">
        <f t="shared" si="404"/>
        <v xml:space="preserve"> </v>
      </c>
      <c r="GD168" s="14" t="str">
        <f t="shared" si="405"/>
        <v xml:space="preserve"> </v>
      </c>
      <c r="GE168" s="14" t="str">
        <f t="shared" si="406"/>
        <v xml:space="preserve"> </v>
      </c>
      <c r="GF168" s="14" t="str">
        <f t="shared" si="407"/>
        <v xml:space="preserve"> </v>
      </c>
      <c r="GG168" s="27" t="str">
        <f t="shared" si="556"/>
        <v xml:space="preserve"> </v>
      </c>
      <c r="GH168" s="14" t="str">
        <f t="shared" si="409"/>
        <v xml:space="preserve"> </v>
      </c>
      <c r="GI168" s="14" t="str">
        <f t="shared" si="410"/>
        <v xml:space="preserve"> </v>
      </c>
      <c r="GJ168" s="14" t="str">
        <f t="shared" si="411"/>
        <v xml:space="preserve"> </v>
      </c>
      <c r="GK168" s="14" t="str">
        <f t="shared" si="412"/>
        <v xml:space="preserve"> </v>
      </c>
      <c r="GL168" s="14" t="str">
        <f t="shared" si="413"/>
        <v xml:space="preserve"> </v>
      </c>
      <c r="GM168" s="27" t="str">
        <f t="shared" si="556"/>
        <v xml:space="preserve"> </v>
      </c>
      <c r="GN168" s="14" t="str">
        <f t="shared" si="415"/>
        <v xml:space="preserve"> </v>
      </c>
      <c r="GO168" s="14" t="str">
        <f t="shared" si="416"/>
        <v xml:space="preserve"> </v>
      </c>
      <c r="GP168" s="14" t="str">
        <f t="shared" si="417"/>
        <v xml:space="preserve"> </v>
      </c>
      <c r="GQ168" s="14" t="str">
        <f t="shared" si="418"/>
        <v xml:space="preserve"> </v>
      </c>
      <c r="GR168" s="14" t="str">
        <f t="shared" si="419"/>
        <v xml:space="preserve"> </v>
      </c>
      <c r="GS168" s="27" t="str">
        <f t="shared" si="556"/>
        <v xml:space="preserve"> </v>
      </c>
      <c r="GT168" s="14" t="str">
        <f t="shared" si="421"/>
        <v xml:space="preserve"> </v>
      </c>
      <c r="GU168" s="14" t="str">
        <f t="shared" si="422"/>
        <v xml:space="preserve"> </v>
      </c>
      <c r="GV168" s="14" t="str">
        <f t="shared" si="423"/>
        <v xml:space="preserve"> </v>
      </c>
      <c r="GW168" s="14" t="str">
        <f t="shared" si="424"/>
        <v xml:space="preserve"> </v>
      </c>
      <c r="GX168" s="14" t="str">
        <f t="shared" si="425"/>
        <v xml:space="preserve"> </v>
      </c>
      <c r="GY168" s="27" t="str">
        <f t="shared" si="556"/>
        <v xml:space="preserve"> </v>
      </c>
      <c r="GZ168" s="14" t="str">
        <f t="shared" si="427"/>
        <v xml:space="preserve"> </v>
      </c>
      <c r="HA168" s="14" t="str">
        <f t="shared" si="428"/>
        <v xml:space="preserve"> </v>
      </c>
      <c r="HB168" s="14" t="str">
        <f t="shared" si="429"/>
        <v xml:space="preserve"> </v>
      </c>
      <c r="HC168" s="14" t="str">
        <f t="shared" si="430"/>
        <v xml:space="preserve"> </v>
      </c>
      <c r="HD168" s="14" t="str">
        <f t="shared" si="431"/>
        <v xml:space="preserve"> </v>
      </c>
      <c r="HE168" s="27" t="str">
        <f t="shared" si="557"/>
        <v xml:space="preserve"> </v>
      </c>
      <c r="HF168" s="14" t="str">
        <f t="shared" si="433"/>
        <v xml:space="preserve"> </v>
      </c>
      <c r="HG168" s="14" t="str">
        <f t="shared" si="434"/>
        <v xml:space="preserve"> </v>
      </c>
      <c r="HH168" s="14" t="str">
        <f t="shared" si="435"/>
        <v xml:space="preserve"> </v>
      </c>
      <c r="HI168" s="14" t="str">
        <f t="shared" si="436"/>
        <v xml:space="preserve"> </v>
      </c>
      <c r="HJ168" s="14" t="str">
        <f t="shared" si="437"/>
        <v xml:space="preserve"> </v>
      </c>
      <c r="HK168" s="27" t="str">
        <f t="shared" si="557"/>
        <v xml:space="preserve"> </v>
      </c>
      <c r="HL168" s="14" t="str">
        <f t="shared" si="439"/>
        <v xml:space="preserve"> </v>
      </c>
      <c r="HM168" s="14" t="str">
        <f t="shared" si="440"/>
        <v xml:space="preserve"> </v>
      </c>
      <c r="HN168" s="14" t="str">
        <f t="shared" si="441"/>
        <v xml:space="preserve"> </v>
      </c>
      <c r="HO168" s="14" t="str">
        <f t="shared" si="442"/>
        <v xml:space="preserve"> </v>
      </c>
      <c r="HP168" s="14" t="str">
        <f t="shared" si="443"/>
        <v xml:space="preserve"> </v>
      </c>
      <c r="HQ168" s="27" t="str">
        <f t="shared" si="557"/>
        <v xml:space="preserve"> </v>
      </c>
    </row>
    <row r="169" spans="1:225" ht="15.75" customHeight="1">
      <c r="A169" s="7">
        <f t="shared" ref="A169:C169" si="572">A61</f>
        <v>0</v>
      </c>
      <c r="B169" s="7">
        <f t="shared" si="572"/>
        <v>0</v>
      </c>
      <c r="C169" s="7" t="str">
        <f t="shared" si="572"/>
        <v>user rules and manuals</v>
      </c>
      <c r="D169" s="14" t="str">
        <f t="shared" si="446"/>
        <v xml:space="preserve"> </v>
      </c>
      <c r="E169" s="14" t="str">
        <f t="shared" si="447"/>
        <v xml:space="preserve"> </v>
      </c>
      <c r="F169" s="14" t="str">
        <f t="shared" si="448"/>
        <v xml:space="preserve"> </v>
      </c>
      <c r="G169" s="14" t="str">
        <f t="shared" si="449"/>
        <v xml:space="preserve">user rules and manuals(2.1), organizational rules and manuals(2.1),  </v>
      </c>
      <c r="H169" s="14" t="str">
        <f t="shared" si="450"/>
        <v xml:space="preserve"> </v>
      </c>
      <c r="I169" s="27" t="str">
        <f t="shared" ref="I169" si="573">IF(I61="",I170,$C169&amp;"("&amp;I61&amp;"),"&amp;I170)</f>
        <v xml:space="preserve"> </v>
      </c>
      <c r="J169" s="14" t="str">
        <f t="shared" si="229"/>
        <v xml:space="preserve"> </v>
      </c>
      <c r="K169" s="14" t="str">
        <f t="shared" si="230"/>
        <v xml:space="preserve"> </v>
      </c>
      <c r="L169" s="14" t="str">
        <f t="shared" si="231"/>
        <v xml:space="preserve"> </v>
      </c>
      <c r="M169" s="14" t="str">
        <f t="shared" si="232"/>
        <v xml:space="preserve">organizational rules and manuals(1.1),  </v>
      </c>
      <c r="N169" s="14" t="str">
        <f t="shared" si="233"/>
        <v xml:space="preserve"> </v>
      </c>
      <c r="O169" s="27" t="str">
        <f t="shared" si="554"/>
        <v xml:space="preserve"> </v>
      </c>
      <c r="P169" s="14" t="str">
        <f t="shared" si="235"/>
        <v xml:space="preserve"> </v>
      </c>
      <c r="Q169" s="14" t="str">
        <f t="shared" si="236"/>
        <v xml:space="preserve"> </v>
      </c>
      <c r="R169" s="14" t="str">
        <f t="shared" si="237"/>
        <v xml:space="preserve"> </v>
      </c>
      <c r="S169" s="14" t="str">
        <f t="shared" si="238"/>
        <v xml:space="preserve">team building(0.1),  </v>
      </c>
      <c r="T169" s="14" t="str">
        <f t="shared" si="239"/>
        <v xml:space="preserve">business model(-1,6.25%), web(-1,6.25%), mobile apps(-1,6.25%), aesthetics(-1,6.25%),  </v>
      </c>
      <c r="U169" s="27" t="str">
        <f t="shared" si="554"/>
        <v xml:space="preserve">business model(6.25),web(6.25),mobile apps(6.25),aesthetics(6.25), </v>
      </c>
      <c r="V169" s="14" t="str">
        <f t="shared" si="241"/>
        <v xml:space="preserve"> </v>
      </c>
      <c r="W169" s="14" t="str">
        <f t="shared" si="242"/>
        <v xml:space="preserve"> </v>
      </c>
      <c r="X169" s="14" t="str">
        <f t="shared" si="243"/>
        <v xml:space="preserve"> </v>
      </c>
      <c r="Y169" s="14" t="str">
        <f t="shared" si="244"/>
        <v xml:space="preserve">user rules and manuals(0.1), project management(0.1), negotiation(0.1),  </v>
      </c>
      <c r="Z169" s="14" t="str">
        <f t="shared" si="245"/>
        <v xml:space="preserve"> </v>
      </c>
      <c r="AA169" s="27" t="str">
        <f t="shared" si="554"/>
        <v xml:space="preserve"> </v>
      </c>
      <c r="AB169" s="14" t="str">
        <f t="shared" si="247"/>
        <v xml:space="preserve"> </v>
      </c>
      <c r="AC169" s="14" t="str">
        <f t="shared" si="248"/>
        <v xml:space="preserve"> </v>
      </c>
      <c r="AD169" s="14" t="str">
        <f t="shared" si="249"/>
        <v xml:space="preserve"> </v>
      </c>
      <c r="AE169" s="14" t="str">
        <f t="shared" si="250"/>
        <v xml:space="preserve">user rules and manuals(1.1), organizational rules and manuals(1.1),  </v>
      </c>
      <c r="AF169" s="14" t="str">
        <f t="shared" si="251"/>
        <v xml:space="preserve"> </v>
      </c>
      <c r="AG169" s="27" t="str">
        <f t="shared" si="554"/>
        <v xml:space="preserve"> </v>
      </c>
      <c r="AH169" s="14" t="str">
        <f t="shared" si="253"/>
        <v xml:space="preserve"> </v>
      </c>
      <c r="AI169" s="14" t="str">
        <f t="shared" si="254"/>
        <v xml:space="preserve"> </v>
      </c>
      <c r="AJ169" s="14" t="str">
        <f t="shared" si="255"/>
        <v xml:space="preserve"> </v>
      </c>
      <c r="AK169" s="14" t="str">
        <f t="shared" si="256"/>
        <v xml:space="preserve">user rules and manuals(2.1), organizational rules and manuals(2.1), law(1.1), negotiation(1.1),  </v>
      </c>
      <c r="AL169" s="14" t="str">
        <f t="shared" si="257"/>
        <v xml:space="preserve"> </v>
      </c>
      <c r="AM169" s="27" t="str">
        <f t="shared" si="554"/>
        <v xml:space="preserve"> </v>
      </c>
      <c r="AN169" s="14" t="str">
        <f t="shared" si="259"/>
        <v xml:space="preserve"> </v>
      </c>
      <c r="AO169" s="14" t="str">
        <f t="shared" si="260"/>
        <v xml:space="preserve"> </v>
      </c>
      <c r="AP169" s="14" t="str">
        <f t="shared" si="261"/>
        <v xml:space="preserve"> </v>
      </c>
      <c r="AQ169" s="14" t="str">
        <f t="shared" si="262"/>
        <v xml:space="preserve">organizational rules and manuals(2.1), team building(2.1),  </v>
      </c>
      <c r="AR169" s="14" t="str">
        <f t="shared" si="263"/>
        <v xml:space="preserve"> </v>
      </c>
      <c r="AS169" s="27" t="str">
        <f t="shared" si="554"/>
        <v xml:space="preserve"> </v>
      </c>
      <c r="AT169" s="14" t="str">
        <f t="shared" si="265"/>
        <v xml:space="preserve"> </v>
      </c>
      <c r="AU169" s="14" t="str">
        <f t="shared" si="266"/>
        <v xml:space="preserve"> </v>
      </c>
      <c r="AV169" s="14" t="str">
        <f t="shared" si="267"/>
        <v xml:space="preserve"> </v>
      </c>
      <c r="AW169" s="14" t="str">
        <f t="shared" si="268"/>
        <v xml:space="preserve">user rules and manuals(2.1), team building(2.1),  </v>
      </c>
      <c r="AX169" s="14" t="str">
        <f t="shared" si="269"/>
        <v xml:space="preserve"> </v>
      </c>
      <c r="AY169" s="27" t="str">
        <f t="shared" si="554"/>
        <v xml:space="preserve"> </v>
      </c>
      <c r="AZ169" s="14" t="str">
        <f t="shared" si="271"/>
        <v xml:space="preserve"> </v>
      </c>
      <c r="BA169" s="14" t="str">
        <f t="shared" si="272"/>
        <v xml:space="preserve">user rules and manuals(1,25%),  </v>
      </c>
      <c r="BB169" s="14" t="str">
        <f t="shared" si="273"/>
        <v xml:space="preserve">user rules and manuals(25)
 </v>
      </c>
      <c r="BC169" s="14" t="str">
        <f t="shared" si="274"/>
        <v xml:space="preserve">user rules and manuals(2.1), organizational rules and manuals(2.1),  </v>
      </c>
      <c r="BD169" s="14" t="str">
        <f t="shared" si="275"/>
        <v xml:space="preserve"> </v>
      </c>
      <c r="BE169" s="27" t="str">
        <f t="shared" si="554"/>
        <v xml:space="preserve"> </v>
      </c>
      <c r="BF169" s="14" t="str">
        <f t="shared" si="277"/>
        <v xml:space="preserve"> </v>
      </c>
      <c r="BG169" s="14" t="str">
        <f t="shared" si="278"/>
        <v xml:space="preserve">user rules and manuals(1,25%), organizational rules and manuals(1,25%),  </v>
      </c>
      <c r="BH169" s="14" t="str">
        <f t="shared" si="279"/>
        <v xml:space="preserve">user rules and manuals(25)
organizational rules and manuals(25)
 </v>
      </c>
      <c r="BI169" s="14" t="str">
        <f t="shared" si="280"/>
        <v xml:space="preserve"> </v>
      </c>
      <c r="BJ169" s="14" t="str">
        <f t="shared" si="281"/>
        <v xml:space="preserve"> </v>
      </c>
      <c r="BK169" s="27" t="str">
        <f t="shared" si="554"/>
        <v xml:space="preserve"> </v>
      </c>
      <c r="BL169" s="14" t="str">
        <f t="shared" si="283"/>
        <v xml:space="preserve">aesthetics(1)
 </v>
      </c>
      <c r="BM169" s="14" t="str">
        <f t="shared" si="284"/>
        <v xml:space="preserve">biz enhancement(1,%),  </v>
      </c>
      <c r="BN169" s="14" t="str">
        <f t="shared" si="285"/>
        <v xml:space="preserve"> </v>
      </c>
      <c r="BO169" s="14" t="str">
        <f t="shared" si="286"/>
        <v xml:space="preserve">user rules and manuals(1), marketing(1), negotiation(1), aesthetics(2), functions(1), safety(1),  </v>
      </c>
      <c r="BP169" s="14" t="str">
        <f t="shared" si="287"/>
        <v xml:space="preserve"> </v>
      </c>
      <c r="BQ169" s="27" t="str">
        <f t="shared" si="554"/>
        <v xml:space="preserve"> </v>
      </c>
      <c r="BR169" s="14" t="str">
        <f t="shared" si="289"/>
        <v xml:space="preserve">aesthetics(1)
 </v>
      </c>
      <c r="BS169" s="14" t="str">
        <f t="shared" si="290"/>
        <v xml:space="preserve">biz project(1,%),  </v>
      </c>
      <c r="BT169" s="14" t="str">
        <f t="shared" si="291"/>
        <v xml:space="preserve"> </v>
      </c>
      <c r="BU169" s="14" t="str">
        <f t="shared" si="292"/>
        <v xml:space="preserve">user rules and manuals(1), marketing(1), negotiation(1), wood processing(1), aesthetics(2),  </v>
      </c>
      <c r="BV169" s="14" t="str">
        <f t="shared" si="293"/>
        <v xml:space="preserve"> </v>
      </c>
      <c r="BW169" s="27" t="str">
        <f t="shared" si="554"/>
        <v xml:space="preserve"> </v>
      </c>
      <c r="BX169" s="14" t="str">
        <f t="shared" si="295"/>
        <v xml:space="preserve">aesthetics(1)
interaction(1)
 </v>
      </c>
      <c r="BY169" s="14" t="str">
        <f t="shared" si="296"/>
        <v xml:space="preserve">biz project(1,%),  </v>
      </c>
      <c r="BZ169" s="14" t="str">
        <f t="shared" si="297"/>
        <v xml:space="preserve"> </v>
      </c>
      <c r="CA169" s="14" t="str">
        <f t="shared" si="298"/>
        <v xml:space="preserve">user rules and manuals(1), marketing(1), team building(1), social media(1), negotiation(1), web(2), infrastructrue(2), database(2), security(3), aesthetics(2), functions(1), interaction(2),  </v>
      </c>
      <c r="CB169" s="14" t="str">
        <f t="shared" si="299"/>
        <v xml:space="preserve"> </v>
      </c>
      <c r="CC169" s="27" t="str">
        <f t="shared" si="555"/>
        <v xml:space="preserve"> </v>
      </c>
      <c r="CD169" s="14" t="str">
        <f t="shared" si="301"/>
        <v xml:space="preserve">aesthetics(1)
 </v>
      </c>
      <c r="CE169" s="14" t="str">
        <f t="shared" si="302"/>
        <v xml:space="preserve">biz project(1,%),  </v>
      </c>
      <c r="CF169" s="14" t="str">
        <f t="shared" si="303"/>
        <v xml:space="preserve"> </v>
      </c>
      <c r="CG169" s="14" t="str">
        <f t="shared" si="304"/>
        <v xml:space="preserve">user rules and manuals(1), marketing(1), team building(1), negotiation(1), infrastructrue(1), database(2), mobile apps(2), security(3), aesthetics(2), functions(1), interaction(2),  </v>
      </c>
      <c r="CH169" s="14" t="str">
        <f t="shared" si="305"/>
        <v xml:space="preserve"> </v>
      </c>
      <c r="CI169" s="27" t="str">
        <f t="shared" si="555"/>
        <v xml:space="preserve"> </v>
      </c>
      <c r="CJ169" s="14" t="str">
        <f t="shared" si="307"/>
        <v xml:space="preserve">aesthetics(1)
 </v>
      </c>
      <c r="CK169" s="14" t="str">
        <f t="shared" si="308"/>
        <v xml:space="preserve">biz project(1,%),  </v>
      </c>
      <c r="CL169" s="14" t="str">
        <f t="shared" si="309"/>
        <v xml:space="preserve"> </v>
      </c>
      <c r="CM169" s="14" t="str">
        <f t="shared" si="310"/>
        <v xml:space="preserve">user rules and manuals(1), marketing(2), team building(1), social media(2), negotiation(1), web(2), infrastructrue(2), database(2), mobile apps(2), security(2), aesthetics(2), functions(1), interaction(2),  </v>
      </c>
      <c r="CN169" s="14" t="str">
        <f t="shared" si="311"/>
        <v xml:space="preserve"> </v>
      </c>
      <c r="CO169" s="27" t="str">
        <f t="shared" si="555"/>
        <v xml:space="preserve"> </v>
      </c>
      <c r="CP169" s="14" t="str">
        <f t="shared" si="313"/>
        <v xml:space="preserve">metal processing(1)
functions(1)
 </v>
      </c>
      <c r="CQ169" s="14" t="str">
        <f t="shared" si="314"/>
        <v xml:space="preserve">biz enhancement(1,50%),  </v>
      </c>
      <c r="CR169" s="14" t="str">
        <f t="shared" si="315"/>
        <v xml:space="preserve">biz enhancement(50)
 </v>
      </c>
      <c r="CS169" s="14" t="str">
        <f t="shared" si="316"/>
        <v xml:space="preserve">metal processing(2), electronics(2), aesthetics(2), functions(2), safety(2),  </v>
      </c>
      <c r="CT169" s="14" t="str">
        <f t="shared" si="317"/>
        <v xml:space="preserve"> </v>
      </c>
      <c r="CU169" s="27" t="str">
        <f t="shared" si="555"/>
        <v xml:space="preserve"> </v>
      </c>
      <c r="CV169" s="14" t="str">
        <f t="shared" si="319"/>
        <v xml:space="preserve">wood processing(1)
aesthetics(1)
interaction(1)
 </v>
      </c>
      <c r="CW169" s="14" t="str">
        <f t="shared" si="320"/>
        <v xml:space="preserve">social project(1,50%),  </v>
      </c>
      <c r="CX169" s="14" t="str">
        <f t="shared" si="321"/>
        <v xml:space="preserve">social project(50)
 </v>
      </c>
      <c r="CY169" s="14" t="str">
        <f t="shared" si="322"/>
        <v xml:space="preserve">sensors(2), wood processing(2), plastic processing(2), electronics(2), aesthetics(2), functions(1), safety(1), interaction(2),  </v>
      </c>
      <c r="CZ169" s="14" t="str">
        <f t="shared" si="323"/>
        <v xml:space="preserve"> </v>
      </c>
      <c r="DA169" s="27" t="str">
        <f t="shared" si="555"/>
        <v xml:space="preserve"> </v>
      </c>
      <c r="DB169" s="14" t="str">
        <f t="shared" si="325"/>
        <v xml:space="preserve">aesthetics(1)
interaction(1)
 </v>
      </c>
      <c r="DC169" s="14" t="str">
        <f t="shared" si="326"/>
        <v xml:space="preserve">social project(1,50%),  </v>
      </c>
      <c r="DD169" s="14" t="str">
        <f t="shared" si="327"/>
        <v xml:space="preserve">social project(50)
 </v>
      </c>
      <c r="DE169" s="14" t="str">
        <f t="shared" si="328"/>
        <v xml:space="preserve">VR&amp;AR(2),  </v>
      </c>
      <c r="DF169" s="14" t="str">
        <f t="shared" si="329"/>
        <v xml:space="preserve"> </v>
      </c>
      <c r="DG169" s="27" t="str">
        <f t="shared" si="555"/>
        <v xml:space="preserve"> </v>
      </c>
      <c r="DH169" s="14" t="str">
        <f t="shared" si="331"/>
        <v xml:space="preserve">wood processing(1)
aesthetics(1)
safety(1)
 </v>
      </c>
      <c r="DI169" s="14" t="str">
        <f t="shared" si="332"/>
        <v xml:space="preserve">social project(1,100%),  </v>
      </c>
      <c r="DJ169" s="14" t="str">
        <f t="shared" si="333"/>
        <v xml:space="preserve">social project(100)
 </v>
      </c>
      <c r="DK169" s="14" t="str">
        <f t="shared" si="334"/>
        <v xml:space="preserve">finance(2), marketing(2), team building(2), project management(2), social media(2), negotiation(2), sensors(1), wood processing(2), metal processing(2), plastic processing(2), electronics(2), fabric(1), aesthetics(1), functions(2), safety(2), interaction(2),  </v>
      </c>
      <c r="DL169" s="14" t="str">
        <f t="shared" si="335"/>
        <v xml:space="preserve">team building(1,6.25%),  </v>
      </c>
      <c r="DM169" s="27" t="str">
        <f t="shared" si="555"/>
        <v xml:space="preserve">team building(6.25), </v>
      </c>
      <c r="DN169" s="14" t="str">
        <f t="shared" si="337"/>
        <v xml:space="preserve">project management(2)
wood processing(1)
plastic processing(1)
electronics(1)
aesthetics(2)
functions(1)
safety(1)
biz project(1)
 </v>
      </c>
      <c r="DO169" s="14" t="str">
        <f t="shared" si="338"/>
        <v xml:space="preserve"> </v>
      </c>
      <c r="DP169" s="14" t="str">
        <f t="shared" si="339"/>
        <v xml:space="preserve"> </v>
      </c>
      <c r="DQ169" s="14" t="str">
        <f t="shared" si="340"/>
        <v xml:space="preserve">social media(2), wood processing(2), plastic processing(2), electronics(2), aesthetics(2),  </v>
      </c>
      <c r="DR169" s="14" t="str">
        <f t="shared" si="341"/>
        <v xml:space="preserve"> </v>
      </c>
      <c r="DS169" s="27" t="str">
        <f t="shared" si="555"/>
        <v xml:space="preserve"> </v>
      </c>
      <c r="DT169" s="14" t="str">
        <f t="shared" si="343"/>
        <v xml:space="preserve"> </v>
      </c>
      <c r="DU169" s="14" t="str">
        <f t="shared" si="344"/>
        <v xml:space="preserve"> </v>
      </c>
      <c r="DV169" s="14" t="str">
        <f t="shared" si="345"/>
        <v xml:space="preserve"> </v>
      </c>
      <c r="DW169" s="14" t="str">
        <f t="shared" si="346"/>
        <v xml:space="preserve">social media(2),  </v>
      </c>
      <c r="DX169" s="14" t="str">
        <f t="shared" si="347"/>
        <v xml:space="preserve"> </v>
      </c>
      <c r="DY169" s="27" t="str">
        <f t="shared" si="555"/>
        <v xml:space="preserve"> </v>
      </c>
      <c r="DZ169" s="14" t="str">
        <f t="shared" si="349"/>
        <v xml:space="preserve"> </v>
      </c>
      <c r="EA169" s="14" t="str">
        <f t="shared" si="350"/>
        <v xml:space="preserve"> </v>
      </c>
      <c r="EB169" s="14" t="str">
        <f t="shared" si="351"/>
        <v xml:space="preserve"> </v>
      </c>
      <c r="EC169" s="14" t="str">
        <f t="shared" si="352"/>
        <v xml:space="preserve"> </v>
      </c>
      <c r="ED169" s="14" t="str">
        <f t="shared" si="353"/>
        <v xml:space="preserve"> </v>
      </c>
      <c r="EE169" s="27" t="str">
        <f t="shared" si="555"/>
        <v xml:space="preserve"> </v>
      </c>
      <c r="EF169" s="14" t="str">
        <f t="shared" si="355"/>
        <v xml:space="preserve"> </v>
      </c>
      <c r="EG169" s="14" t="str">
        <f t="shared" si="356"/>
        <v xml:space="preserve"> </v>
      </c>
      <c r="EH169" s="14" t="str">
        <f t="shared" si="357"/>
        <v xml:space="preserve"> </v>
      </c>
      <c r="EI169" s="14" t="str">
        <f t="shared" si="358"/>
        <v xml:space="preserve"> </v>
      </c>
      <c r="EJ169" s="14" t="str">
        <f t="shared" si="359"/>
        <v xml:space="preserve"> </v>
      </c>
      <c r="EK169" s="27" t="str">
        <f t="shared" si="555"/>
        <v xml:space="preserve"> </v>
      </c>
      <c r="EL169" s="14" t="str">
        <f t="shared" si="361"/>
        <v xml:space="preserve"> </v>
      </c>
      <c r="EM169" s="14" t="str">
        <f t="shared" si="362"/>
        <v xml:space="preserve"> </v>
      </c>
      <c r="EN169" s="14" t="str">
        <f t="shared" si="363"/>
        <v xml:space="preserve"> </v>
      </c>
      <c r="EO169" s="14" t="str">
        <f t="shared" si="364"/>
        <v xml:space="preserve"> </v>
      </c>
      <c r="EP169" s="14" t="str">
        <f t="shared" si="365"/>
        <v xml:space="preserve"> </v>
      </c>
      <c r="EQ169" s="27" t="str">
        <f t="shared" si="556"/>
        <v xml:space="preserve"> </v>
      </c>
      <c r="ER169" s="14" t="str">
        <f t="shared" si="367"/>
        <v xml:space="preserve"> </v>
      </c>
      <c r="ES169" s="14" t="str">
        <f t="shared" si="368"/>
        <v xml:space="preserve"> </v>
      </c>
      <c r="ET169" s="14" t="str">
        <f t="shared" si="369"/>
        <v xml:space="preserve"> </v>
      </c>
      <c r="EU169" s="14" t="str">
        <f t="shared" si="370"/>
        <v xml:space="preserve"> </v>
      </c>
      <c r="EV169" s="14" t="str">
        <f t="shared" si="371"/>
        <v xml:space="preserve"> </v>
      </c>
      <c r="EW169" s="27" t="str">
        <f t="shared" si="556"/>
        <v xml:space="preserve"> </v>
      </c>
      <c r="EX169" s="14" t="str">
        <f t="shared" si="373"/>
        <v xml:space="preserve"> </v>
      </c>
      <c r="EY169" s="14" t="str">
        <f t="shared" si="374"/>
        <v xml:space="preserve"> </v>
      </c>
      <c r="EZ169" s="14" t="str">
        <f t="shared" si="375"/>
        <v xml:space="preserve"> </v>
      </c>
      <c r="FA169" s="14" t="str">
        <f t="shared" si="376"/>
        <v xml:space="preserve"> </v>
      </c>
      <c r="FB169" s="14" t="str">
        <f t="shared" si="377"/>
        <v xml:space="preserve"> </v>
      </c>
      <c r="FC169" s="27" t="str">
        <f t="shared" si="556"/>
        <v xml:space="preserve"> </v>
      </c>
      <c r="FD169" s="14" t="str">
        <f t="shared" si="379"/>
        <v xml:space="preserve"> </v>
      </c>
      <c r="FE169" s="14" t="str">
        <f t="shared" si="380"/>
        <v xml:space="preserve"> </v>
      </c>
      <c r="FF169" s="14" t="str">
        <f t="shared" si="381"/>
        <v xml:space="preserve"> </v>
      </c>
      <c r="FG169" s="14" t="str">
        <f t="shared" si="382"/>
        <v xml:space="preserve"> </v>
      </c>
      <c r="FH169" s="14" t="str">
        <f t="shared" si="383"/>
        <v xml:space="preserve"> </v>
      </c>
      <c r="FI169" s="27" t="str">
        <f t="shared" si="556"/>
        <v xml:space="preserve"> </v>
      </c>
      <c r="FJ169" s="14" t="str">
        <f t="shared" si="385"/>
        <v xml:space="preserve"> </v>
      </c>
      <c r="FK169" s="14" t="str">
        <f t="shared" si="386"/>
        <v xml:space="preserve"> </v>
      </c>
      <c r="FL169" s="14" t="str">
        <f t="shared" si="387"/>
        <v xml:space="preserve"> </v>
      </c>
      <c r="FM169" s="14" t="str">
        <f t="shared" si="388"/>
        <v xml:space="preserve"> </v>
      </c>
      <c r="FN169" s="14" t="str">
        <f t="shared" si="389"/>
        <v xml:space="preserve"> </v>
      </c>
      <c r="FO169" s="27" t="str">
        <f t="shared" si="556"/>
        <v xml:space="preserve"> </v>
      </c>
      <c r="FP169" s="14" t="str">
        <f t="shared" si="391"/>
        <v xml:space="preserve"> </v>
      </c>
      <c r="FQ169" s="14" t="str">
        <f t="shared" si="392"/>
        <v xml:space="preserve"> </v>
      </c>
      <c r="FR169" s="14" t="str">
        <f t="shared" si="393"/>
        <v xml:space="preserve"> </v>
      </c>
      <c r="FS169" s="14" t="str">
        <f t="shared" si="394"/>
        <v xml:space="preserve"> </v>
      </c>
      <c r="FT169" s="14" t="str">
        <f t="shared" si="395"/>
        <v xml:space="preserve"> </v>
      </c>
      <c r="FU169" s="27" t="str">
        <f t="shared" si="556"/>
        <v xml:space="preserve"> </v>
      </c>
      <c r="FV169" s="14" t="str">
        <f t="shared" si="397"/>
        <v xml:space="preserve"> </v>
      </c>
      <c r="FW169" s="14" t="str">
        <f t="shared" si="398"/>
        <v xml:space="preserve"> </v>
      </c>
      <c r="FX169" s="14" t="str">
        <f t="shared" si="399"/>
        <v xml:space="preserve"> </v>
      </c>
      <c r="FY169" s="14" t="str">
        <f t="shared" si="400"/>
        <v xml:space="preserve"> </v>
      </c>
      <c r="FZ169" s="14" t="str">
        <f t="shared" si="401"/>
        <v xml:space="preserve"> </v>
      </c>
      <c r="GA169" s="27" t="str">
        <f t="shared" si="556"/>
        <v xml:space="preserve"> </v>
      </c>
      <c r="GB169" s="14" t="str">
        <f t="shared" si="403"/>
        <v xml:space="preserve"> </v>
      </c>
      <c r="GC169" s="14" t="str">
        <f t="shared" si="404"/>
        <v xml:space="preserve"> </v>
      </c>
      <c r="GD169" s="14" t="str">
        <f t="shared" si="405"/>
        <v xml:space="preserve"> </v>
      </c>
      <c r="GE169" s="14" t="str">
        <f t="shared" si="406"/>
        <v xml:space="preserve"> </v>
      </c>
      <c r="GF169" s="14" t="str">
        <f t="shared" si="407"/>
        <v xml:space="preserve"> </v>
      </c>
      <c r="GG169" s="27" t="str">
        <f t="shared" si="556"/>
        <v xml:space="preserve"> </v>
      </c>
      <c r="GH169" s="14" t="str">
        <f t="shared" si="409"/>
        <v xml:space="preserve"> </v>
      </c>
      <c r="GI169" s="14" t="str">
        <f t="shared" si="410"/>
        <v xml:space="preserve"> </v>
      </c>
      <c r="GJ169" s="14" t="str">
        <f t="shared" si="411"/>
        <v xml:space="preserve"> </v>
      </c>
      <c r="GK169" s="14" t="str">
        <f t="shared" si="412"/>
        <v xml:space="preserve"> </v>
      </c>
      <c r="GL169" s="14" t="str">
        <f t="shared" si="413"/>
        <v xml:space="preserve"> </v>
      </c>
      <c r="GM169" s="27" t="str">
        <f t="shared" si="556"/>
        <v xml:space="preserve"> </v>
      </c>
      <c r="GN169" s="14" t="str">
        <f t="shared" si="415"/>
        <v xml:space="preserve"> </v>
      </c>
      <c r="GO169" s="14" t="str">
        <f t="shared" si="416"/>
        <v xml:space="preserve"> </v>
      </c>
      <c r="GP169" s="14" t="str">
        <f t="shared" si="417"/>
        <v xml:space="preserve"> </v>
      </c>
      <c r="GQ169" s="14" t="str">
        <f t="shared" si="418"/>
        <v xml:space="preserve"> </v>
      </c>
      <c r="GR169" s="14" t="str">
        <f t="shared" si="419"/>
        <v xml:space="preserve"> </v>
      </c>
      <c r="GS169" s="27" t="str">
        <f t="shared" si="556"/>
        <v xml:space="preserve"> </v>
      </c>
      <c r="GT169" s="14" t="str">
        <f t="shared" si="421"/>
        <v xml:space="preserve"> </v>
      </c>
      <c r="GU169" s="14" t="str">
        <f t="shared" si="422"/>
        <v xml:space="preserve"> </v>
      </c>
      <c r="GV169" s="14" t="str">
        <f t="shared" si="423"/>
        <v xml:space="preserve"> </v>
      </c>
      <c r="GW169" s="14" t="str">
        <f t="shared" si="424"/>
        <v xml:space="preserve"> </v>
      </c>
      <c r="GX169" s="14" t="str">
        <f t="shared" si="425"/>
        <v xml:space="preserve"> </v>
      </c>
      <c r="GY169" s="27" t="str">
        <f t="shared" si="556"/>
        <v xml:space="preserve"> </v>
      </c>
      <c r="GZ169" s="14" t="str">
        <f t="shared" si="427"/>
        <v xml:space="preserve"> </v>
      </c>
      <c r="HA169" s="14" t="str">
        <f t="shared" si="428"/>
        <v xml:space="preserve"> </v>
      </c>
      <c r="HB169" s="14" t="str">
        <f t="shared" si="429"/>
        <v xml:space="preserve"> </v>
      </c>
      <c r="HC169" s="14" t="str">
        <f t="shared" si="430"/>
        <v xml:space="preserve"> </v>
      </c>
      <c r="HD169" s="14" t="str">
        <f t="shared" si="431"/>
        <v xml:space="preserve"> </v>
      </c>
      <c r="HE169" s="27" t="str">
        <f t="shared" si="557"/>
        <v xml:space="preserve"> </v>
      </c>
      <c r="HF169" s="14" t="str">
        <f t="shared" si="433"/>
        <v xml:space="preserve"> </v>
      </c>
      <c r="HG169" s="14" t="str">
        <f t="shared" si="434"/>
        <v xml:space="preserve"> </v>
      </c>
      <c r="HH169" s="14" t="str">
        <f t="shared" si="435"/>
        <v xml:space="preserve"> </v>
      </c>
      <c r="HI169" s="14" t="str">
        <f t="shared" si="436"/>
        <v xml:space="preserve"> </v>
      </c>
      <c r="HJ169" s="14" t="str">
        <f t="shared" si="437"/>
        <v xml:space="preserve"> </v>
      </c>
      <c r="HK169" s="27" t="str">
        <f t="shared" si="557"/>
        <v xml:space="preserve"> </v>
      </c>
      <c r="HL169" s="14" t="str">
        <f t="shared" si="439"/>
        <v xml:space="preserve"> </v>
      </c>
      <c r="HM169" s="14" t="str">
        <f t="shared" si="440"/>
        <v xml:space="preserve"> </v>
      </c>
      <c r="HN169" s="14" t="str">
        <f t="shared" si="441"/>
        <v xml:space="preserve"> </v>
      </c>
      <c r="HO169" s="14" t="str">
        <f t="shared" si="442"/>
        <v xml:space="preserve"> </v>
      </c>
      <c r="HP169" s="14" t="str">
        <f t="shared" si="443"/>
        <v xml:space="preserve"> </v>
      </c>
      <c r="HQ169" s="27" t="str">
        <f t="shared" si="557"/>
        <v xml:space="preserve"> </v>
      </c>
    </row>
    <row r="170" spans="1:225" ht="15.75" customHeight="1">
      <c r="A170" s="7">
        <f t="shared" ref="A170:C170" si="574">A62</f>
        <v>0</v>
      </c>
      <c r="B170" s="7">
        <f t="shared" si="574"/>
        <v>0</v>
      </c>
      <c r="C170" s="7" t="str">
        <f t="shared" si="574"/>
        <v>organizational rules and manuals</v>
      </c>
      <c r="D170" s="14" t="str">
        <f t="shared" si="446"/>
        <v xml:space="preserve"> </v>
      </c>
      <c r="E170" s="14" t="str">
        <f t="shared" si="447"/>
        <v xml:space="preserve"> </v>
      </c>
      <c r="F170" s="14" t="str">
        <f t="shared" si="448"/>
        <v xml:space="preserve"> </v>
      </c>
      <c r="G170" s="14" t="str">
        <f t="shared" si="449"/>
        <v xml:space="preserve">organizational rules and manuals(2.1),  </v>
      </c>
      <c r="H170" s="14" t="str">
        <f t="shared" si="450"/>
        <v xml:space="preserve"> </v>
      </c>
      <c r="I170" s="27" t="str">
        <f t="shared" ref="I170" si="575">IF(I62="",I171,$C170&amp;"("&amp;I62&amp;"),"&amp;I171)</f>
        <v xml:space="preserve"> </v>
      </c>
      <c r="J170" s="14" t="str">
        <f t="shared" si="229"/>
        <v xml:space="preserve"> </v>
      </c>
      <c r="K170" s="14" t="str">
        <f t="shared" si="230"/>
        <v xml:space="preserve"> </v>
      </c>
      <c r="L170" s="14" t="str">
        <f t="shared" si="231"/>
        <v xml:space="preserve"> </v>
      </c>
      <c r="M170" s="14" t="str">
        <f t="shared" si="232"/>
        <v xml:space="preserve">organizational rules and manuals(1.1),  </v>
      </c>
      <c r="N170" s="14" t="str">
        <f t="shared" si="233"/>
        <v xml:space="preserve"> </v>
      </c>
      <c r="O170" s="27" t="str">
        <f t="shared" si="554"/>
        <v xml:space="preserve"> </v>
      </c>
      <c r="P170" s="14" t="str">
        <f t="shared" si="235"/>
        <v xml:space="preserve"> </v>
      </c>
      <c r="Q170" s="14" t="str">
        <f t="shared" si="236"/>
        <v xml:space="preserve"> </v>
      </c>
      <c r="R170" s="14" t="str">
        <f t="shared" si="237"/>
        <v xml:space="preserve"> </v>
      </c>
      <c r="S170" s="14" t="str">
        <f t="shared" si="238"/>
        <v xml:space="preserve">team building(0.1),  </v>
      </c>
      <c r="T170" s="14" t="str">
        <f t="shared" si="239"/>
        <v xml:space="preserve">business model(-1,6.25%), web(-1,6.25%), mobile apps(-1,6.25%), aesthetics(-1,6.25%),  </v>
      </c>
      <c r="U170" s="27" t="str">
        <f t="shared" si="554"/>
        <v xml:space="preserve">business model(6.25),web(6.25),mobile apps(6.25),aesthetics(6.25), </v>
      </c>
      <c r="V170" s="14" t="str">
        <f t="shared" si="241"/>
        <v xml:space="preserve"> </v>
      </c>
      <c r="W170" s="14" t="str">
        <f t="shared" si="242"/>
        <v xml:space="preserve"> </v>
      </c>
      <c r="X170" s="14" t="str">
        <f t="shared" si="243"/>
        <v xml:space="preserve"> </v>
      </c>
      <c r="Y170" s="14" t="str">
        <f t="shared" si="244"/>
        <v xml:space="preserve">project management(0.1), negotiation(0.1),  </v>
      </c>
      <c r="Z170" s="14" t="str">
        <f t="shared" si="245"/>
        <v xml:space="preserve"> </v>
      </c>
      <c r="AA170" s="27" t="str">
        <f t="shared" si="554"/>
        <v xml:space="preserve"> </v>
      </c>
      <c r="AB170" s="14" t="str">
        <f t="shared" si="247"/>
        <v xml:space="preserve"> </v>
      </c>
      <c r="AC170" s="14" t="str">
        <f t="shared" si="248"/>
        <v xml:space="preserve"> </v>
      </c>
      <c r="AD170" s="14" t="str">
        <f t="shared" si="249"/>
        <v xml:space="preserve"> </v>
      </c>
      <c r="AE170" s="14" t="str">
        <f t="shared" si="250"/>
        <v xml:space="preserve">organizational rules and manuals(1.1),  </v>
      </c>
      <c r="AF170" s="14" t="str">
        <f t="shared" si="251"/>
        <v xml:space="preserve"> </v>
      </c>
      <c r="AG170" s="27" t="str">
        <f t="shared" si="554"/>
        <v xml:space="preserve"> </v>
      </c>
      <c r="AH170" s="14" t="str">
        <f t="shared" si="253"/>
        <v xml:space="preserve"> </v>
      </c>
      <c r="AI170" s="14" t="str">
        <f t="shared" si="254"/>
        <v xml:space="preserve"> </v>
      </c>
      <c r="AJ170" s="14" t="str">
        <f t="shared" si="255"/>
        <v xml:space="preserve"> </v>
      </c>
      <c r="AK170" s="14" t="str">
        <f t="shared" si="256"/>
        <v xml:space="preserve">organizational rules and manuals(2.1), law(1.1), negotiation(1.1),  </v>
      </c>
      <c r="AL170" s="14" t="str">
        <f t="shared" si="257"/>
        <v xml:space="preserve"> </v>
      </c>
      <c r="AM170" s="27" t="str">
        <f t="shared" si="554"/>
        <v xml:space="preserve"> </v>
      </c>
      <c r="AN170" s="14" t="str">
        <f t="shared" si="259"/>
        <v xml:space="preserve"> </v>
      </c>
      <c r="AO170" s="14" t="str">
        <f t="shared" si="260"/>
        <v xml:space="preserve"> </v>
      </c>
      <c r="AP170" s="14" t="str">
        <f t="shared" si="261"/>
        <v xml:space="preserve"> </v>
      </c>
      <c r="AQ170" s="14" t="str">
        <f t="shared" si="262"/>
        <v xml:space="preserve">organizational rules and manuals(2.1), team building(2.1),  </v>
      </c>
      <c r="AR170" s="14" t="str">
        <f t="shared" si="263"/>
        <v xml:space="preserve"> </v>
      </c>
      <c r="AS170" s="27" t="str">
        <f t="shared" si="554"/>
        <v xml:space="preserve"> </v>
      </c>
      <c r="AT170" s="14" t="str">
        <f t="shared" si="265"/>
        <v xml:space="preserve"> </v>
      </c>
      <c r="AU170" s="14" t="str">
        <f t="shared" si="266"/>
        <v xml:space="preserve"> </v>
      </c>
      <c r="AV170" s="14" t="str">
        <f t="shared" si="267"/>
        <v xml:space="preserve"> </v>
      </c>
      <c r="AW170" s="14" t="str">
        <f t="shared" si="268"/>
        <v xml:space="preserve">team building(2.1),  </v>
      </c>
      <c r="AX170" s="14" t="str">
        <f t="shared" si="269"/>
        <v xml:space="preserve"> </v>
      </c>
      <c r="AY170" s="27" t="str">
        <f t="shared" si="554"/>
        <v xml:space="preserve"> </v>
      </c>
      <c r="AZ170" s="14" t="str">
        <f t="shared" si="271"/>
        <v xml:space="preserve"> </v>
      </c>
      <c r="BA170" s="14" t="str">
        <f t="shared" si="272"/>
        <v xml:space="preserve"> </v>
      </c>
      <c r="BB170" s="14" t="str">
        <f t="shared" si="273"/>
        <v xml:space="preserve"> </v>
      </c>
      <c r="BC170" s="14" t="str">
        <f t="shared" si="274"/>
        <v xml:space="preserve">organizational rules and manuals(2.1),  </v>
      </c>
      <c r="BD170" s="14" t="str">
        <f t="shared" si="275"/>
        <v xml:space="preserve"> </v>
      </c>
      <c r="BE170" s="27" t="str">
        <f t="shared" si="554"/>
        <v xml:space="preserve"> </v>
      </c>
      <c r="BF170" s="14" t="str">
        <f t="shared" si="277"/>
        <v xml:space="preserve"> </v>
      </c>
      <c r="BG170" s="14" t="str">
        <f t="shared" si="278"/>
        <v xml:space="preserve">organizational rules and manuals(1,25%),  </v>
      </c>
      <c r="BH170" s="14" t="str">
        <f t="shared" si="279"/>
        <v xml:space="preserve">organizational rules and manuals(25)
 </v>
      </c>
      <c r="BI170" s="14" t="str">
        <f t="shared" si="280"/>
        <v xml:space="preserve"> </v>
      </c>
      <c r="BJ170" s="14" t="str">
        <f t="shared" si="281"/>
        <v xml:space="preserve"> </v>
      </c>
      <c r="BK170" s="27" t="str">
        <f t="shared" si="554"/>
        <v xml:space="preserve"> </v>
      </c>
      <c r="BL170" s="14" t="str">
        <f t="shared" si="283"/>
        <v xml:space="preserve">aesthetics(1)
 </v>
      </c>
      <c r="BM170" s="14" t="str">
        <f t="shared" si="284"/>
        <v xml:space="preserve">biz enhancement(1,%),  </v>
      </c>
      <c r="BN170" s="14" t="str">
        <f t="shared" si="285"/>
        <v xml:space="preserve"> </v>
      </c>
      <c r="BO170" s="14" t="str">
        <f t="shared" si="286"/>
        <v xml:space="preserve">marketing(1), negotiation(1), aesthetics(2), functions(1), safety(1),  </v>
      </c>
      <c r="BP170" s="14" t="str">
        <f t="shared" si="287"/>
        <v xml:space="preserve"> </v>
      </c>
      <c r="BQ170" s="27" t="str">
        <f t="shared" si="554"/>
        <v xml:space="preserve"> </v>
      </c>
      <c r="BR170" s="14" t="str">
        <f t="shared" si="289"/>
        <v xml:space="preserve">aesthetics(1)
 </v>
      </c>
      <c r="BS170" s="14" t="str">
        <f t="shared" si="290"/>
        <v xml:space="preserve">biz project(1,%),  </v>
      </c>
      <c r="BT170" s="14" t="str">
        <f t="shared" si="291"/>
        <v xml:space="preserve"> </v>
      </c>
      <c r="BU170" s="14" t="str">
        <f t="shared" si="292"/>
        <v xml:space="preserve">marketing(1), negotiation(1), wood processing(1), aesthetics(2),  </v>
      </c>
      <c r="BV170" s="14" t="str">
        <f t="shared" si="293"/>
        <v xml:space="preserve"> </v>
      </c>
      <c r="BW170" s="27" t="str">
        <f t="shared" si="554"/>
        <v xml:space="preserve"> </v>
      </c>
      <c r="BX170" s="14" t="str">
        <f t="shared" si="295"/>
        <v xml:space="preserve">aesthetics(1)
interaction(1)
 </v>
      </c>
      <c r="BY170" s="14" t="str">
        <f t="shared" si="296"/>
        <v xml:space="preserve">biz project(1,%),  </v>
      </c>
      <c r="BZ170" s="14" t="str">
        <f t="shared" si="297"/>
        <v xml:space="preserve"> </v>
      </c>
      <c r="CA170" s="14" t="str">
        <f t="shared" si="298"/>
        <v xml:space="preserve">marketing(1), team building(1), social media(1), negotiation(1), web(2), infrastructrue(2), database(2), security(3), aesthetics(2), functions(1), interaction(2),  </v>
      </c>
      <c r="CB170" s="14" t="str">
        <f t="shared" si="299"/>
        <v xml:space="preserve"> </v>
      </c>
      <c r="CC170" s="27" t="str">
        <f t="shared" si="555"/>
        <v xml:space="preserve"> </v>
      </c>
      <c r="CD170" s="14" t="str">
        <f t="shared" si="301"/>
        <v xml:space="preserve">aesthetics(1)
 </v>
      </c>
      <c r="CE170" s="14" t="str">
        <f t="shared" si="302"/>
        <v xml:space="preserve">biz project(1,%),  </v>
      </c>
      <c r="CF170" s="14" t="str">
        <f t="shared" si="303"/>
        <v xml:space="preserve"> </v>
      </c>
      <c r="CG170" s="14" t="str">
        <f t="shared" si="304"/>
        <v xml:space="preserve">marketing(1), team building(1), negotiation(1), infrastructrue(1), database(2), mobile apps(2), security(3), aesthetics(2), functions(1), interaction(2),  </v>
      </c>
      <c r="CH170" s="14" t="str">
        <f t="shared" si="305"/>
        <v xml:space="preserve"> </v>
      </c>
      <c r="CI170" s="27" t="str">
        <f t="shared" si="555"/>
        <v xml:space="preserve"> </v>
      </c>
      <c r="CJ170" s="14" t="str">
        <f t="shared" si="307"/>
        <v xml:space="preserve">aesthetics(1)
 </v>
      </c>
      <c r="CK170" s="14" t="str">
        <f t="shared" si="308"/>
        <v xml:space="preserve">biz project(1,%),  </v>
      </c>
      <c r="CL170" s="14" t="str">
        <f t="shared" si="309"/>
        <v xml:space="preserve"> </v>
      </c>
      <c r="CM170" s="14" t="str">
        <f t="shared" si="310"/>
        <v xml:space="preserve">marketing(2), team building(1), social media(2), negotiation(1), web(2), infrastructrue(2), database(2), mobile apps(2), security(2), aesthetics(2), functions(1), interaction(2),  </v>
      </c>
      <c r="CN170" s="14" t="str">
        <f t="shared" si="311"/>
        <v xml:space="preserve"> </v>
      </c>
      <c r="CO170" s="27" t="str">
        <f t="shared" si="555"/>
        <v xml:space="preserve"> </v>
      </c>
      <c r="CP170" s="14" t="str">
        <f t="shared" si="313"/>
        <v xml:space="preserve">metal processing(1)
functions(1)
 </v>
      </c>
      <c r="CQ170" s="14" t="str">
        <f t="shared" si="314"/>
        <v xml:space="preserve">biz enhancement(1,50%),  </v>
      </c>
      <c r="CR170" s="14" t="str">
        <f t="shared" si="315"/>
        <v xml:space="preserve">biz enhancement(50)
 </v>
      </c>
      <c r="CS170" s="14" t="str">
        <f t="shared" si="316"/>
        <v xml:space="preserve">metal processing(2), electronics(2), aesthetics(2), functions(2), safety(2),  </v>
      </c>
      <c r="CT170" s="14" t="str">
        <f t="shared" si="317"/>
        <v xml:space="preserve"> </v>
      </c>
      <c r="CU170" s="27" t="str">
        <f t="shared" si="555"/>
        <v xml:space="preserve"> </v>
      </c>
      <c r="CV170" s="14" t="str">
        <f t="shared" si="319"/>
        <v xml:space="preserve">wood processing(1)
aesthetics(1)
interaction(1)
 </v>
      </c>
      <c r="CW170" s="14" t="str">
        <f t="shared" si="320"/>
        <v xml:space="preserve">social project(1,50%),  </v>
      </c>
      <c r="CX170" s="14" t="str">
        <f t="shared" si="321"/>
        <v xml:space="preserve">social project(50)
 </v>
      </c>
      <c r="CY170" s="14" t="str">
        <f t="shared" si="322"/>
        <v xml:space="preserve">sensors(2), wood processing(2), plastic processing(2), electronics(2), aesthetics(2), functions(1), safety(1), interaction(2),  </v>
      </c>
      <c r="CZ170" s="14" t="str">
        <f t="shared" si="323"/>
        <v xml:space="preserve"> </v>
      </c>
      <c r="DA170" s="27" t="str">
        <f t="shared" si="555"/>
        <v xml:space="preserve"> </v>
      </c>
      <c r="DB170" s="14" t="str">
        <f t="shared" si="325"/>
        <v xml:space="preserve">aesthetics(1)
interaction(1)
 </v>
      </c>
      <c r="DC170" s="14" t="str">
        <f t="shared" si="326"/>
        <v xml:space="preserve">social project(1,50%),  </v>
      </c>
      <c r="DD170" s="14" t="str">
        <f t="shared" si="327"/>
        <v xml:space="preserve">social project(50)
 </v>
      </c>
      <c r="DE170" s="14" t="str">
        <f t="shared" si="328"/>
        <v xml:space="preserve">VR&amp;AR(2),  </v>
      </c>
      <c r="DF170" s="14" t="str">
        <f t="shared" si="329"/>
        <v xml:space="preserve"> </v>
      </c>
      <c r="DG170" s="27" t="str">
        <f t="shared" si="555"/>
        <v xml:space="preserve"> </v>
      </c>
      <c r="DH170" s="14" t="str">
        <f t="shared" si="331"/>
        <v xml:space="preserve">wood processing(1)
aesthetics(1)
safety(1)
 </v>
      </c>
      <c r="DI170" s="14" t="str">
        <f t="shared" si="332"/>
        <v xml:space="preserve">social project(1,100%),  </v>
      </c>
      <c r="DJ170" s="14" t="str">
        <f t="shared" si="333"/>
        <v xml:space="preserve">social project(100)
 </v>
      </c>
      <c r="DK170" s="14" t="str">
        <f t="shared" si="334"/>
        <v xml:space="preserve">finance(2), marketing(2), team building(2), project management(2), social media(2), negotiation(2), sensors(1), wood processing(2), metal processing(2), plastic processing(2), electronics(2), fabric(1), aesthetics(1), functions(2), safety(2), interaction(2),  </v>
      </c>
      <c r="DL170" s="14" t="str">
        <f t="shared" si="335"/>
        <v xml:space="preserve">team building(1,6.25%),  </v>
      </c>
      <c r="DM170" s="27" t="str">
        <f t="shared" si="555"/>
        <v xml:space="preserve">team building(6.25), </v>
      </c>
      <c r="DN170" s="14" t="str">
        <f t="shared" si="337"/>
        <v xml:space="preserve">project management(2)
wood processing(1)
plastic processing(1)
electronics(1)
aesthetics(2)
functions(1)
safety(1)
biz project(1)
 </v>
      </c>
      <c r="DO170" s="14" t="str">
        <f t="shared" si="338"/>
        <v xml:space="preserve"> </v>
      </c>
      <c r="DP170" s="14" t="str">
        <f t="shared" si="339"/>
        <v xml:space="preserve"> </v>
      </c>
      <c r="DQ170" s="14" t="str">
        <f t="shared" si="340"/>
        <v xml:space="preserve">social media(2), wood processing(2), plastic processing(2), electronics(2), aesthetics(2),  </v>
      </c>
      <c r="DR170" s="14" t="str">
        <f t="shared" si="341"/>
        <v xml:space="preserve"> </v>
      </c>
      <c r="DS170" s="27" t="str">
        <f t="shared" si="555"/>
        <v xml:space="preserve"> </v>
      </c>
      <c r="DT170" s="14" t="str">
        <f t="shared" si="343"/>
        <v xml:space="preserve"> </v>
      </c>
      <c r="DU170" s="14" t="str">
        <f t="shared" si="344"/>
        <v xml:space="preserve"> </v>
      </c>
      <c r="DV170" s="14" t="str">
        <f t="shared" si="345"/>
        <v xml:space="preserve"> </v>
      </c>
      <c r="DW170" s="14" t="str">
        <f t="shared" si="346"/>
        <v xml:space="preserve">social media(2),  </v>
      </c>
      <c r="DX170" s="14" t="str">
        <f t="shared" si="347"/>
        <v xml:space="preserve"> </v>
      </c>
      <c r="DY170" s="27" t="str">
        <f t="shared" si="555"/>
        <v xml:space="preserve"> </v>
      </c>
      <c r="DZ170" s="14" t="str">
        <f t="shared" si="349"/>
        <v xml:space="preserve"> </v>
      </c>
      <c r="EA170" s="14" t="str">
        <f t="shared" si="350"/>
        <v xml:space="preserve"> </v>
      </c>
      <c r="EB170" s="14" t="str">
        <f t="shared" si="351"/>
        <v xml:space="preserve"> </v>
      </c>
      <c r="EC170" s="14" t="str">
        <f t="shared" si="352"/>
        <v xml:space="preserve"> </v>
      </c>
      <c r="ED170" s="14" t="str">
        <f t="shared" si="353"/>
        <v xml:space="preserve"> </v>
      </c>
      <c r="EE170" s="27" t="str">
        <f t="shared" si="555"/>
        <v xml:space="preserve"> </v>
      </c>
      <c r="EF170" s="14" t="str">
        <f t="shared" si="355"/>
        <v xml:space="preserve"> </v>
      </c>
      <c r="EG170" s="14" t="str">
        <f t="shared" si="356"/>
        <v xml:space="preserve"> </v>
      </c>
      <c r="EH170" s="14" t="str">
        <f t="shared" si="357"/>
        <v xml:space="preserve"> </v>
      </c>
      <c r="EI170" s="14" t="str">
        <f t="shared" si="358"/>
        <v xml:space="preserve"> </v>
      </c>
      <c r="EJ170" s="14" t="str">
        <f t="shared" si="359"/>
        <v xml:space="preserve"> </v>
      </c>
      <c r="EK170" s="27" t="str">
        <f t="shared" si="555"/>
        <v xml:space="preserve"> </v>
      </c>
      <c r="EL170" s="14" t="str">
        <f t="shared" si="361"/>
        <v xml:space="preserve"> </v>
      </c>
      <c r="EM170" s="14" t="str">
        <f t="shared" si="362"/>
        <v xml:space="preserve"> </v>
      </c>
      <c r="EN170" s="14" t="str">
        <f t="shared" si="363"/>
        <v xml:space="preserve"> </v>
      </c>
      <c r="EO170" s="14" t="str">
        <f t="shared" si="364"/>
        <v xml:space="preserve"> </v>
      </c>
      <c r="EP170" s="14" t="str">
        <f t="shared" si="365"/>
        <v xml:space="preserve"> </v>
      </c>
      <c r="EQ170" s="27" t="str">
        <f t="shared" si="556"/>
        <v xml:space="preserve"> </v>
      </c>
      <c r="ER170" s="14" t="str">
        <f t="shared" si="367"/>
        <v xml:space="preserve"> </v>
      </c>
      <c r="ES170" s="14" t="str">
        <f t="shared" si="368"/>
        <v xml:space="preserve"> </v>
      </c>
      <c r="ET170" s="14" t="str">
        <f t="shared" si="369"/>
        <v xml:space="preserve"> </v>
      </c>
      <c r="EU170" s="14" t="str">
        <f t="shared" si="370"/>
        <v xml:space="preserve"> </v>
      </c>
      <c r="EV170" s="14" t="str">
        <f t="shared" si="371"/>
        <v xml:space="preserve"> </v>
      </c>
      <c r="EW170" s="27" t="str">
        <f t="shared" si="556"/>
        <v xml:space="preserve"> </v>
      </c>
      <c r="EX170" s="14" t="str">
        <f t="shared" si="373"/>
        <v xml:space="preserve"> </v>
      </c>
      <c r="EY170" s="14" t="str">
        <f t="shared" si="374"/>
        <v xml:space="preserve"> </v>
      </c>
      <c r="EZ170" s="14" t="str">
        <f t="shared" si="375"/>
        <v xml:space="preserve"> </v>
      </c>
      <c r="FA170" s="14" t="str">
        <f t="shared" si="376"/>
        <v xml:space="preserve"> </v>
      </c>
      <c r="FB170" s="14" t="str">
        <f t="shared" si="377"/>
        <v xml:space="preserve"> </v>
      </c>
      <c r="FC170" s="27" t="str">
        <f t="shared" si="556"/>
        <v xml:space="preserve"> </v>
      </c>
      <c r="FD170" s="14" t="str">
        <f t="shared" si="379"/>
        <v xml:space="preserve"> </v>
      </c>
      <c r="FE170" s="14" t="str">
        <f t="shared" si="380"/>
        <v xml:space="preserve"> </v>
      </c>
      <c r="FF170" s="14" t="str">
        <f t="shared" si="381"/>
        <v xml:space="preserve"> </v>
      </c>
      <c r="FG170" s="14" t="str">
        <f t="shared" si="382"/>
        <v xml:space="preserve"> </v>
      </c>
      <c r="FH170" s="14" t="str">
        <f t="shared" si="383"/>
        <v xml:space="preserve"> </v>
      </c>
      <c r="FI170" s="27" t="str">
        <f t="shared" si="556"/>
        <v xml:space="preserve"> </v>
      </c>
      <c r="FJ170" s="14" t="str">
        <f t="shared" si="385"/>
        <v xml:space="preserve"> </v>
      </c>
      <c r="FK170" s="14" t="str">
        <f t="shared" si="386"/>
        <v xml:space="preserve"> </v>
      </c>
      <c r="FL170" s="14" t="str">
        <f t="shared" si="387"/>
        <v xml:space="preserve"> </v>
      </c>
      <c r="FM170" s="14" t="str">
        <f t="shared" si="388"/>
        <v xml:space="preserve"> </v>
      </c>
      <c r="FN170" s="14" t="str">
        <f t="shared" si="389"/>
        <v xml:space="preserve"> </v>
      </c>
      <c r="FO170" s="27" t="str">
        <f t="shared" si="556"/>
        <v xml:space="preserve"> </v>
      </c>
      <c r="FP170" s="14" t="str">
        <f t="shared" si="391"/>
        <v xml:space="preserve"> </v>
      </c>
      <c r="FQ170" s="14" t="str">
        <f t="shared" si="392"/>
        <v xml:space="preserve"> </v>
      </c>
      <c r="FR170" s="14" t="str">
        <f t="shared" si="393"/>
        <v xml:space="preserve"> </v>
      </c>
      <c r="FS170" s="14" t="str">
        <f t="shared" si="394"/>
        <v xml:space="preserve"> </v>
      </c>
      <c r="FT170" s="14" t="str">
        <f t="shared" si="395"/>
        <v xml:space="preserve"> </v>
      </c>
      <c r="FU170" s="27" t="str">
        <f t="shared" si="556"/>
        <v xml:space="preserve"> </v>
      </c>
      <c r="FV170" s="14" t="str">
        <f t="shared" si="397"/>
        <v xml:space="preserve"> </v>
      </c>
      <c r="FW170" s="14" t="str">
        <f t="shared" si="398"/>
        <v xml:space="preserve"> </v>
      </c>
      <c r="FX170" s="14" t="str">
        <f t="shared" si="399"/>
        <v xml:space="preserve"> </v>
      </c>
      <c r="FY170" s="14" t="str">
        <f t="shared" si="400"/>
        <v xml:space="preserve"> </v>
      </c>
      <c r="FZ170" s="14" t="str">
        <f t="shared" si="401"/>
        <v xml:space="preserve"> </v>
      </c>
      <c r="GA170" s="27" t="str">
        <f t="shared" si="556"/>
        <v xml:space="preserve"> </v>
      </c>
      <c r="GB170" s="14" t="str">
        <f t="shared" si="403"/>
        <v xml:space="preserve"> </v>
      </c>
      <c r="GC170" s="14" t="str">
        <f t="shared" si="404"/>
        <v xml:space="preserve"> </v>
      </c>
      <c r="GD170" s="14" t="str">
        <f t="shared" si="405"/>
        <v xml:space="preserve"> </v>
      </c>
      <c r="GE170" s="14" t="str">
        <f t="shared" si="406"/>
        <v xml:space="preserve"> </v>
      </c>
      <c r="GF170" s="14" t="str">
        <f t="shared" si="407"/>
        <v xml:space="preserve"> </v>
      </c>
      <c r="GG170" s="27" t="str">
        <f t="shared" si="556"/>
        <v xml:space="preserve"> </v>
      </c>
      <c r="GH170" s="14" t="str">
        <f t="shared" si="409"/>
        <v xml:space="preserve"> </v>
      </c>
      <c r="GI170" s="14" t="str">
        <f t="shared" si="410"/>
        <v xml:space="preserve"> </v>
      </c>
      <c r="GJ170" s="14" t="str">
        <f t="shared" si="411"/>
        <v xml:space="preserve"> </v>
      </c>
      <c r="GK170" s="14" t="str">
        <f t="shared" si="412"/>
        <v xml:space="preserve"> </v>
      </c>
      <c r="GL170" s="14" t="str">
        <f t="shared" si="413"/>
        <v xml:space="preserve"> </v>
      </c>
      <c r="GM170" s="27" t="str">
        <f t="shared" si="556"/>
        <v xml:space="preserve"> </v>
      </c>
      <c r="GN170" s="14" t="str">
        <f t="shared" si="415"/>
        <v xml:space="preserve"> </v>
      </c>
      <c r="GO170" s="14" t="str">
        <f t="shared" si="416"/>
        <v xml:space="preserve"> </v>
      </c>
      <c r="GP170" s="14" t="str">
        <f t="shared" si="417"/>
        <v xml:space="preserve"> </v>
      </c>
      <c r="GQ170" s="14" t="str">
        <f t="shared" si="418"/>
        <v xml:space="preserve"> </v>
      </c>
      <c r="GR170" s="14" t="str">
        <f t="shared" si="419"/>
        <v xml:space="preserve"> </v>
      </c>
      <c r="GS170" s="27" t="str">
        <f t="shared" si="556"/>
        <v xml:space="preserve"> </v>
      </c>
      <c r="GT170" s="14" t="str">
        <f t="shared" si="421"/>
        <v xml:space="preserve"> </v>
      </c>
      <c r="GU170" s="14" t="str">
        <f t="shared" si="422"/>
        <v xml:space="preserve"> </v>
      </c>
      <c r="GV170" s="14" t="str">
        <f t="shared" si="423"/>
        <v xml:space="preserve"> </v>
      </c>
      <c r="GW170" s="14" t="str">
        <f t="shared" si="424"/>
        <v xml:space="preserve"> </v>
      </c>
      <c r="GX170" s="14" t="str">
        <f t="shared" si="425"/>
        <v xml:space="preserve"> </v>
      </c>
      <c r="GY170" s="27" t="str">
        <f t="shared" si="556"/>
        <v xml:space="preserve"> </v>
      </c>
      <c r="GZ170" s="14" t="str">
        <f t="shared" si="427"/>
        <v xml:space="preserve"> </v>
      </c>
      <c r="HA170" s="14" t="str">
        <f t="shared" si="428"/>
        <v xml:space="preserve"> </v>
      </c>
      <c r="HB170" s="14" t="str">
        <f t="shared" si="429"/>
        <v xml:space="preserve"> </v>
      </c>
      <c r="HC170" s="14" t="str">
        <f t="shared" si="430"/>
        <v xml:space="preserve"> </v>
      </c>
      <c r="HD170" s="14" t="str">
        <f t="shared" si="431"/>
        <v xml:space="preserve"> </v>
      </c>
      <c r="HE170" s="27" t="str">
        <f t="shared" si="557"/>
        <v xml:space="preserve"> </v>
      </c>
      <c r="HF170" s="14" t="str">
        <f t="shared" si="433"/>
        <v xml:space="preserve"> </v>
      </c>
      <c r="HG170" s="14" t="str">
        <f t="shared" si="434"/>
        <v xml:space="preserve"> </v>
      </c>
      <c r="HH170" s="14" t="str">
        <f t="shared" si="435"/>
        <v xml:space="preserve"> </v>
      </c>
      <c r="HI170" s="14" t="str">
        <f t="shared" si="436"/>
        <v xml:space="preserve"> </v>
      </c>
      <c r="HJ170" s="14" t="str">
        <f t="shared" si="437"/>
        <v xml:space="preserve"> </v>
      </c>
      <c r="HK170" s="27" t="str">
        <f t="shared" si="557"/>
        <v xml:space="preserve"> </v>
      </c>
      <c r="HL170" s="14" t="str">
        <f t="shared" si="439"/>
        <v xml:space="preserve"> </v>
      </c>
      <c r="HM170" s="14" t="str">
        <f t="shared" si="440"/>
        <v xml:space="preserve"> </v>
      </c>
      <c r="HN170" s="14" t="str">
        <f t="shared" si="441"/>
        <v xml:space="preserve"> </v>
      </c>
      <c r="HO170" s="14" t="str">
        <f t="shared" si="442"/>
        <v xml:space="preserve"> </v>
      </c>
      <c r="HP170" s="14" t="str">
        <f t="shared" si="443"/>
        <v xml:space="preserve"> </v>
      </c>
      <c r="HQ170" s="27" t="str">
        <f t="shared" si="557"/>
        <v xml:space="preserve"> </v>
      </c>
    </row>
    <row r="171" spans="1:225" ht="15.75" customHeight="1">
      <c r="A171" s="7">
        <f t="shared" ref="A171:C171" si="576">A63</f>
        <v>0</v>
      </c>
      <c r="B171" s="7" t="str">
        <f t="shared" si="576"/>
        <v>advanced skills: org</v>
      </c>
      <c r="C171" s="7" t="str">
        <f t="shared" si="576"/>
        <v>law</v>
      </c>
      <c r="D171" s="14" t="str">
        <f t="shared" si="446"/>
        <v xml:space="preserve"> </v>
      </c>
      <c r="E171" s="14" t="str">
        <f t="shared" si="447"/>
        <v xml:space="preserve"> </v>
      </c>
      <c r="F171" s="14" t="str">
        <f t="shared" si="448"/>
        <v xml:space="preserve"> </v>
      </c>
      <c r="G171" s="14" t="str">
        <f t="shared" si="449"/>
        <v xml:space="preserve"> </v>
      </c>
      <c r="H171" s="14" t="str">
        <f t="shared" si="450"/>
        <v xml:space="preserve"> </v>
      </c>
      <c r="I171" s="27" t="str">
        <f t="shared" ref="I171" si="577">IF(I63="",I172,$C171&amp;"("&amp;I63&amp;"),"&amp;I172)</f>
        <v xml:space="preserve"> </v>
      </c>
      <c r="J171" s="14" t="str">
        <f t="shared" si="229"/>
        <v xml:space="preserve"> </v>
      </c>
      <c r="K171" s="14" t="str">
        <f t="shared" si="230"/>
        <v xml:space="preserve"> </v>
      </c>
      <c r="L171" s="14" t="str">
        <f t="shared" si="231"/>
        <v xml:space="preserve"> </v>
      </c>
      <c r="M171" s="14" t="str">
        <f t="shared" si="232"/>
        <v xml:space="preserve"> </v>
      </c>
      <c r="N171" s="14" t="str">
        <f t="shared" si="233"/>
        <v xml:space="preserve"> </v>
      </c>
      <c r="O171" s="27" t="str">
        <f t="shared" si="554"/>
        <v xml:space="preserve"> </v>
      </c>
      <c r="P171" s="14" t="str">
        <f t="shared" si="235"/>
        <v xml:space="preserve"> </v>
      </c>
      <c r="Q171" s="14" t="str">
        <f t="shared" si="236"/>
        <v xml:space="preserve"> </v>
      </c>
      <c r="R171" s="14" t="str">
        <f t="shared" si="237"/>
        <v xml:space="preserve"> </v>
      </c>
      <c r="S171" s="14" t="str">
        <f t="shared" si="238"/>
        <v xml:space="preserve">team building(0.1),  </v>
      </c>
      <c r="T171" s="14" t="str">
        <f t="shared" si="239"/>
        <v xml:space="preserve">business model(-1,6.25%), web(-1,6.25%), mobile apps(-1,6.25%), aesthetics(-1,6.25%),  </v>
      </c>
      <c r="U171" s="27" t="str">
        <f t="shared" si="554"/>
        <v xml:space="preserve">business model(6.25),web(6.25),mobile apps(6.25),aesthetics(6.25), </v>
      </c>
      <c r="V171" s="14" t="str">
        <f t="shared" si="241"/>
        <v xml:space="preserve"> </v>
      </c>
      <c r="W171" s="14" t="str">
        <f t="shared" si="242"/>
        <v xml:space="preserve"> </v>
      </c>
      <c r="X171" s="14" t="str">
        <f t="shared" si="243"/>
        <v xml:space="preserve"> </v>
      </c>
      <c r="Y171" s="14" t="str">
        <f t="shared" si="244"/>
        <v xml:space="preserve">project management(0.1), negotiation(0.1),  </v>
      </c>
      <c r="Z171" s="14" t="str">
        <f t="shared" si="245"/>
        <v xml:space="preserve"> </v>
      </c>
      <c r="AA171" s="27" t="str">
        <f t="shared" si="554"/>
        <v xml:space="preserve"> </v>
      </c>
      <c r="AB171" s="14" t="str">
        <f t="shared" si="247"/>
        <v xml:space="preserve"> </v>
      </c>
      <c r="AC171" s="14" t="str">
        <f t="shared" si="248"/>
        <v xml:space="preserve"> </v>
      </c>
      <c r="AD171" s="14" t="str">
        <f t="shared" si="249"/>
        <v xml:space="preserve"> </v>
      </c>
      <c r="AE171" s="14" t="str">
        <f t="shared" si="250"/>
        <v xml:space="preserve"> </v>
      </c>
      <c r="AF171" s="14" t="str">
        <f t="shared" si="251"/>
        <v xml:space="preserve"> </v>
      </c>
      <c r="AG171" s="27" t="str">
        <f t="shared" si="554"/>
        <v xml:space="preserve"> </v>
      </c>
      <c r="AH171" s="14" t="str">
        <f t="shared" si="253"/>
        <v xml:space="preserve"> </v>
      </c>
      <c r="AI171" s="14" t="str">
        <f t="shared" si="254"/>
        <v xml:space="preserve"> </v>
      </c>
      <c r="AJ171" s="14" t="str">
        <f t="shared" si="255"/>
        <v xml:space="preserve"> </v>
      </c>
      <c r="AK171" s="14" t="str">
        <f t="shared" si="256"/>
        <v xml:space="preserve">law(1.1), negotiation(1.1),  </v>
      </c>
      <c r="AL171" s="14" t="str">
        <f t="shared" si="257"/>
        <v xml:space="preserve"> </v>
      </c>
      <c r="AM171" s="27" t="str">
        <f t="shared" si="554"/>
        <v xml:space="preserve"> </v>
      </c>
      <c r="AN171" s="14" t="str">
        <f t="shared" si="259"/>
        <v xml:space="preserve"> </v>
      </c>
      <c r="AO171" s="14" t="str">
        <f t="shared" si="260"/>
        <v xml:space="preserve"> </v>
      </c>
      <c r="AP171" s="14" t="str">
        <f t="shared" si="261"/>
        <v xml:space="preserve"> </v>
      </c>
      <c r="AQ171" s="14" t="str">
        <f t="shared" si="262"/>
        <v xml:space="preserve">team building(2.1),  </v>
      </c>
      <c r="AR171" s="14" t="str">
        <f t="shared" si="263"/>
        <v xml:space="preserve"> </v>
      </c>
      <c r="AS171" s="27" t="str">
        <f t="shared" si="554"/>
        <v xml:space="preserve"> </v>
      </c>
      <c r="AT171" s="14" t="str">
        <f t="shared" si="265"/>
        <v xml:space="preserve"> </v>
      </c>
      <c r="AU171" s="14" t="str">
        <f t="shared" si="266"/>
        <v xml:space="preserve"> </v>
      </c>
      <c r="AV171" s="14" t="str">
        <f t="shared" si="267"/>
        <v xml:space="preserve"> </v>
      </c>
      <c r="AW171" s="14" t="str">
        <f t="shared" si="268"/>
        <v xml:space="preserve">team building(2.1),  </v>
      </c>
      <c r="AX171" s="14" t="str">
        <f t="shared" si="269"/>
        <v xml:space="preserve"> </v>
      </c>
      <c r="AY171" s="27" t="str">
        <f t="shared" si="554"/>
        <v xml:space="preserve"> </v>
      </c>
      <c r="AZ171" s="14" t="str">
        <f t="shared" si="271"/>
        <v xml:space="preserve"> </v>
      </c>
      <c r="BA171" s="14" t="str">
        <f t="shared" si="272"/>
        <v xml:space="preserve"> </v>
      </c>
      <c r="BB171" s="14" t="str">
        <f t="shared" si="273"/>
        <v xml:space="preserve"> </v>
      </c>
      <c r="BC171" s="14" t="str">
        <f t="shared" si="274"/>
        <v xml:space="preserve"> </v>
      </c>
      <c r="BD171" s="14" t="str">
        <f t="shared" si="275"/>
        <v xml:space="preserve"> </v>
      </c>
      <c r="BE171" s="27" t="str">
        <f t="shared" si="554"/>
        <v xml:space="preserve"> </v>
      </c>
      <c r="BF171" s="14" t="str">
        <f t="shared" si="277"/>
        <v xml:space="preserve"> </v>
      </c>
      <c r="BG171" s="14" t="str">
        <f t="shared" si="278"/>
        <v xml:space="preserve"> </v>
      </c>
      <c r="BH171" s="14" t="str">
        <f t="shared" si="279"/>
        <v xml:space="preserve"> </v>
      </c>
      <c r="BI171" s="14" t="str">
        <f t="shared" si="280"/>
        <v xml:space="preserve"> </v>
      </c>
      <c r="BJ171" s="14" t="str">
        <f t="shared" si="281"/>
        <v xml:space="preserve"> </v>
      </c>
      <c r="BK171" s="27" t="str">
        <f t="shared" si="554"/>
        <v xml:space="preserve"> </v>
      </c>
      <c r="BL171" s="14" t="str">
        <f t="shared" si="283"/>
        <v xml:space="preserve">aesthetics(1)
 </v>
      </c>
      <c r="BM171" s="14" t="str">
        <f t="shared" si="284"/>
        <v xml:space="preserve">biz enhancement(1,%),  </v>
      </c>
      <c r="BN171" s="14" t="str">
        <f t="shared" si="285"/>
        <v xml:space="preserve"> </v>
      </c>
      <c r="BO171" s="14" t="str">
        <f t="shared" si="286"/>
        <v xml:space="preserve">marketing(1), negotiation(1), aesthetics(2), functions(1), safety(1),  </v>
      </c>
      <c r="BP171" s="14" t="str">
        <f t="shared" si="287"/>
        <v xml:space="preserve"> </v>
      </c>
      <c r="BQ171" s="27" t="str">
        <f t="shared" si="554"/>
        <v xml:space="preserve"> </v>
      </c>
      <c r="BR171" s="14" t="str">
        <f t="shared" si="289"/>
        <v xml:space="preserve">aesthetics(1)
 </v>
      </c>
      <c r="BS171" s="14" t="str">
        <f t="shared" si="290"/>
        <v xml:space="preserve">biz project(1,%),  </v>
      </c>
      <c r="BT171" s="14" t="str">
        <f t="shared" si="291"/>
        <v xml:space="preserve"> </v>
      </c>
      <c r="BU171" s="14" t="str">
        <f t="shared" si="292"/>
        <v xml:space="preserve">marketing(1), negotiation(1), wood processing(1), aesthetics(2),  </v>
      </c>
      <c r="BV171" s="14" t="str">
        <f t="shared" si="293"/>
        <v xml:space="preserve"> </v>
      </c>
      <c r="BW171" s="27" t="str">
        <f t="shared" si="554"/>
        <v xml:space="preserve"> </v>
      </c>
      <c r="BX171" s="14" t="str">
        <f t="shared" si="295"/>
        <v xml:space="preserve">aesthetics(1)
interaction(1)
 </v>
      </c>
      <c r="BY171" s="14" t="str">
        <f t="shared" si="296"/>
        <v xml:space="preserve">biz project(1,%),  </v>
      </c>
      <c r="BZ171" s="14" t="str">
        <f t="shared" si="297"/>
        <v xml:space="preserve"> </v>
      </c>
      <c r="CA171" s="14" t="str">
        <f t="shared" si="298"/>
        <v xml:space="preserve">marketing(1), team building(1), social media(1), negotiation(1), web(2), infrastructrue(2), database(2), security(3), aesthetics(2), functions(1), interaction(2),  </v>
      </c>
      <c r="CB171" s="14" t="str">
        <f t="shared" si="299"/>
        <v xml:space="preserve"> </v>
      </c>
      <c r="CC171" s="27" t="str">
        <f t="shared" si="555"/>
        <v xml:space="preserve"> </v>
      </c>
      <c r="CD171" s="14" t="str">
        <f t="shared" si="301"/>
        <v xml:space="preserve">aesthetics(1)
 </v>
      </c>
      <c r="CE171" s="14" t="str">
        <f t="shared" si="302"/>
        <v xml:space="preserve">biz project(1,%),  </v>
      </c>
      <c r="CF171" s="14" t="str">
        <f t="shared" si="303"/>
        <v xml:space="preserve"> </v>
      </c>
      <c r="CG171" s="14" t="str">
        <f t="shared" si="304"/>
        <v xml:space="preserve">marketing(1), team building(1), negotiation(1), infrastructrue(1), database(2), mobile apps(2), security(3), aesthetics(2), functions(1), interaction(2),  </v>
      </c>
      <c r="CH171" s="14" t="str">
        <f t="shared" si="305"/>
        <v xml:space="preserve"> </v>
      </c>
      <c r="CI171" s="27" t="str">
        <f t="shared" si="555"/>
        <v xml:space="preserve"> </v>
      </c>
      <c r="CJ171" s="14" t="str">
        <f t="shared" si="307"/>
        <v xml:space="preserve">aesthetics(1)
 </v>
      </c>
      <c r="CK171" s="14" t="str">
        <f t="shared" si="308"/>
        <v xml:space="preserve">biz project(1,%),  </v>
      </c>
      <c r="CL171" s="14" t="str">
        <f t="shared" si="309"/>
        <v xml:space="preserve"> </v>
      </c>
      <c r="CM171" s="14" t="str">
        <f t="shared" si="310"/>
        <v xml:space="preserve">marketing(2), team building(1), social media(2), negotiation(1), web(2), infrastructrue(2), database(2), mobile apps(2), security(2), aesthetics(2), functions(1), interaction(2),  </v>
      </c>
      <c r="CN171" s="14" t="str">
        <f t="shared" si="311"/>
        <v xml:space="preserve"> </v>
      </c>
      <c r="CO171" s="27" t="str">
        <f t="shared" si="555"/>
        <v xml:space="preserve"> </v>
      </c>
      <c r="CP171" s="14" t="str">
        <f t="shared" si="313"/>
        <v xml:space="preserve">metal processing(1)
functions(1)
 </v>
      </c>
      <c r="CQ171" s="14" t="str">
        <f t="shared" si="314"/>
        <v xml:space="preserve">biz enhancement(1,50%),  </v>
      </c>
      <c r="CR171" s="14" t="str">
        <f t="shared" si="315"/>
        <v xml:space="preserve">biz enhancement(50)
 </v>
      </c>
      <c r="CS171" s="14" t="str">
        <f t="shared" si="316"/>
        <v xml:space="preserve">metal processing(2), electronics(2), aesthetics(2), functions(2), safety(2),  </v>
      </c>
      <c r="CT171" s="14" t="str">
        <f t="shared" si="317"/>
        <v xml:space="preserve"> </v>
      </c>
      <c r="CU171" s="27" t="str">
        <f t="shared" si="555"/>
        <v xml:space="preserve"> </v>
      </c>
      <c r="CV171" s="14" t="str">
        <f t="shared" si="319"/>
        <v xml:space="preserve">wood processing(1)
aesthetics(1)
interaction(1)
 </v>
      </c>
      <c r="CW171" s="14" t="str">
        <f t="shared" si="320"/>
        <v xml:space="preserve">social project(1,50%),  </v>
      </c>
      <c r="CX171" s="14" t="str">
        <f t="shared" si="321"/>
        <v xml:space="preserve">social project(50)
 </v>
      </c>
      <c r="CY171" s="14" t="str">
        <f t="shared" si="322"/>
        <v xml:space="preserve">sensors(2), wood processing(2), plastic processing(2), electronics(2), aesthetics(2), functions(1), safety(1), interaction(2),  </v>
      </c>
      <c r="CZ171" s="14" t="str">
        <f t="shared" si="323"/>
        <v xml:space="preserve"> </v>
      </c>
      <c r="DA171" s="27" t="str">
        <f t="shared" si="555"/>
        <v xml:space="preserve"> </v>
      </c>
      <c r="DB171" s="14" t="str">
        <f t="shared" si="325"/>
        <v xml:space="preserve">aesthetics(1)
interaction(1)
 </v>
      </c>
      <c r="DC171" s="14" t="str">
        <f t="shared" si="326"/>
        <v xml:space="preserve">social project(1,50%),  </v>
      </c>
      <c r="DD171" s="14" t="str">
        <f t="shared" si="327"/>
        <v xml:space="preserve">social project(50)
 </v>
      </c>
      <c r="DE171" s="14" t="str">
        <f t="shared" si="328"/>
        <v xml:space="preserve">VR&amp;AR(2),  </v>
      </c>
      <c r="DF171" s="14" t="str">
        <f t="shared" si="329"/>
        <v xml:space="preserve"> </v>
      </c>
      <c r="DG171" s="27" t="str">
        <f t="shared" si="555"/>
        <v xml:space="preserve"> </v>
      </c>
      <c r="DH171" s="14" t="str">
        <f t="shared" si="331"/>
        <v xml:space="preserve">wood processing(1)
aesthetics(1)
safety(1)
 </v>
      </c>
      <c r="DI171" s="14" t="str">
        <f t="shared" si="332"/>
        <v xml:space="preserve">social project(1,100%),  </v>
      </c>
      <c r="DJ171" s="14" t="str">
        <f t="shared" si="333"/>
        <v xml:space="preserve">social project(100)
 </v>
      </c>
      <c r="DK171" s="14" t="str">
        <f t="shared" si="334"/>
        <v xml:space="preserve">finance(2), marketing(2), team building(2), project management(2), social media(2), negotiation(2), sensors(1), wood processing(2), metal processing(2), plastic processing(2), electronics(2), fabric(1), aesthetics(1), functions(2), safety(2), interaction(2),  </v>
      </c>
      <c r="DL171" s="14" t="str">
        <f t="shared" si="335"/>
        <v xml:space="preserve">team building(1,6.25%),  </v>
      </c>
      <c r="DM171" s="27" t="str">
        <f t="shared" si="555"/>
        <v xml:space="preserve">team building(6.25), </v>
      </c>
      <c r="DN171" s="14" t="str">
        <f t="shared" si="337"/>
        <v xml:space="preserve">project management(2)
wood processing(1)
plastic processing(1)
electronics(1)
aesthetics(2)
functions(1)
safety(1)
biz project(1)
 </v>
      </c>
      <c r="DO171" s="14" t="str">
        <f t="shared" si="338"/>
        <v xml:space="preserve"> </v>
      </c>
      <c r="DP171" s="14" t="str">
        <f t="shared" si="339"/>
        <v xml:space="preserve"> </v>
      </c>
      <c r="DQ171" s="14" t="str">
        <f t="shared" si="340"/>
        <v xml:space="preserve">social media(2), wood processing(2), plastic processing(2), electronics(2), aesthetics(2),  </v>
      </c>
      <c r="DR171" s="14" t="str">
        <f t="shared" si="341"/>
        <v xml:space="preserve"> </v>
      </c>
      <c r="DS171" s="27" t="str">
        <f t="shared" si="555"/>
        <v xml:space="preserve"> </v>
      </c>
      <c r="DT171" s="14" t="str">
        <f t="shared" si="343"/>
        <v xml:space="preserve"> </v>
      </c>
      <c r="DU171" s="14" t="str">
        <f t="shared" si="344"/>
        <v xml:space="preserve"> </v>
      </c>
      <c r="DV171" s="14" t="str">
        <f t="shared" si="345"/>
        <v xml:space="preserve"> </v>
      </c>
      <c r="DW171" s="14" t="str">
        <f t="shared" si="346"/>
        <v xml:space="preserve">social media(2),  </v>
      </c>
      <c r="DX171" s="14" t="str">
        <f t="shared" si="347"/>
        <v xml:space="preserve"> </v>
      </c>
      <c r="DY171" s="27" t="str">
        <f t="shared" si="555"/>
        <v xml:space="preserve"> </v>
      </c>
      <c r="DZ171" s="14" t="str">
        <f t="shared" si="349"/>
        <v xml:space="preserve"> </v>
      </c>
      <c r="EA171" s="14" t="str">
        <f t="shared" si="350"/>
        <v xml:space="preserve"> </v>
      </c>
      <c r="EB171" s="14" t="str">
        <f t="shared" si="351"/>
        <v xml:space="preserve"> </v>
      </c>
      <c r="EC171" s="14" t="str">
        <f t="shared" si="352"/>
        <v xml:space="preserve"> </v>
      </c>
      <c r="ED171" s="14" t="str">
        <f t="shared" si="353"/>
        <v xml:space="preserve"> </v>
      </c>
      <c r="EE171" s="27" t="str">
        <f t="shared" si="555"/>
        <v xml:space="preserve"> </v>
      </c>
      <c r="EF171" s="14" t="str">
        <f t="shared" si="355"/>
        <v xml:space="preserve"> </v>
      </c>
      <c r="EG171" s="14" t="str">
        <f t="shared" si="356"/>
        <v xml:space="preserve"> </v>
      </c>
      <c r="EH171" s="14" t="str">
        <f t="shared" si="357"/>
        <v xml:space="preserve"> </v>
      </c>
      <c r="EI171" s="14" t="str">
        <f t="shared" si="358"/>
        <v xml:space="preserve"> </v>
      </c>
      <c r="EJ171" s="14" t="str">
        <f t="shared" si="359"/>
        <v xml:space="preserve"> </v>
      </c>
      <c r="EK171" s="27" t="str">
        <f t="shared" si="555"/>
        <v xml:space="preserve"> </v>
      </c>
      <c r="EL171" s="14" t="str">
        <f t="shared" si="361"/>
        <v xml:space="preserve"> </v>
      </c>
      <c r="EM171" s="14" t="str">
        <f t="shared" si="362"/>
        <v xml:space="preserve"> </v>
      </c>
      <c r="EN171" s="14" t="str">
        <f t="shared" si="363"/>
        <v xml:space="preserve"> </v>
      </c>
      <c r="EO171" s="14" t="str">
        <f t="shared" si="364"/>
        <v xml:space="preserve"> </v>
      </c>
      <c r="EP171" s="14" t="str">
        <f t="shared" si="365"/>
        <v xml:space="preserve"> </v>
      </c>
      <c r="EQ171" s="27" t="str">
        <f t="shared" si="556"/>
        <v xml:space="preserve"> </v>
      </c>
      <c r="ER171" s="14" t="str">
        <f t="shared" si="367"/>
        <v xml:space="preserve"> </v>
      </c>
      <c r="ES171" s="14" t="str">
        <f t="shared" si="368"/>
        <v xml:space="preserve"> </v>
      </c>
      <c r="ET171" s="14" t="str">
        <f t="shared" si="369"/>
        <v xml:space="preserve"> </v>
      </c>
      <c r="EU171" s="14" t="str">
        <f t="shared" si="370"/>
        <v xml:space="preserve"> </v>
      </c>
      <c r="EV171" s="14" t="str">
        <f t="shared" si="371"/>
        <v xml:space="preserve"> </v>
      </c>
      <c r="EW171" s="27" t="str">
        <f t="shared" si="556"/>
        <v xml:space="preserve"> </v>
      </c>
      <c r="EX171" s="14" t="str">
        <f t="shared" si="373"/>
        <v xml:space="preserve"> </v>
      </c>
      <c r="EY171" s="14" t="str">
        <f t="shared" si="374"/>
        <v xml:space="preserve"> </v>
      </c>
      <c r="EZ171" s="14" t="str">
        <f t="shared" si="375"/>
        <v xml:space="preserve"> </v>
      </c>
      <c r="FA171" s="14" t="str">
        <f t="shared" si="376"/>
        <v xml:space="preserve"> </v>
      </c>
      <c r="FB171" s="14" t="str">
        <f t="shared" si="377"/>
        <v xml:space="preserve"> </v>
      </c>
      <c r="FC171" s="27" t="str">
        <f t="shared" si="556"/>
        <v xml:space="preserve"> </v>
      </c>
      <c r="FD171" s="14" t="str">
        <f t="shared" si="379"/>
        <v xml:space="preserve"> </v>
      </c>
      <c r="FE171" s="14" t="str">
        <f t="shared" si="380"/>
        <v xml:space="preserve"> </v>
      </c>
      <c r="FF171" s="14" t="str">
        <f t="shared" si="381"/>
        <v xml:space="preserve"> </v>
      </c>
      <c r="FG171" s="14" t="str">
        <f t="shared" si="382"/>
        <v xml:space="preserve"> </v>
      </c>
      <c r="FH171" s="14" t="str">
        <f t="shared" si="383"/>
        <v xml:space="preserve"> </v>
      </c>
      <c r="FI171" s="27" t="str">
        <f t="shared" si="556"/>
        <v xml:space="preserve"> </v>
      </c>
      <c r="FJ171" s="14" t="str">
        <f t="shared" si="385"/>
        <v xml:space="preserve"> </v>
      </c>
      <c r="FK171" s="14" t="str">
        <f t="shared" si="386"/>
        <v xml:space="preserve"> </v>
      </c>
      <c r="FL171" s="14" t="str">
        <f t="shared" si="387"/>
        <v xml:space="preserve"> </v>
      </c>
      <c r="FM171" s="14" t="str">
        <f t="shared" si="388"/>
        <v xml:space="preserve"> </v>
      </c>
      <c r="FN171" s="14" t="str">
        <f t="shared" si="389"/>
        <v xml:space="preserve"> </v>
      </c>
      <c r="FO171" s="27" t="str">
        <f t="shared" si="556"/>
        <v xml:space="preserve"> </v>
      </c>
      <c r="FP171" s="14" t="str">
        <f t="shared" si="391"/>
        <v xml:space="preserve"> </v>
      </c>
      <c r="FQ171" s="14" t="str">
        <f t="shared" si="392"/>
        <v xml:space="preserve"> </v>
      </c>
      <c r="FR171" s="14" t="str">
        <f t="shared" si="393"/>
        <v xml:space="preserve"> </v>
      </c>
      <c r="FS171" s="14" t="str">
        <f t="shared" si="394"/>
        <v xml:space="preserve"> </v>
      </c>
      <c r="FT171" s="14" t="str">
        <f t="shared" si="395"/>
        <v xml:space="preserve"> </v>
      </c>
      <c r="FU171" s="27" t="str">
        <f t="shared" si="556"/>
        <v xml:space="preserve"> </v>
      </c>
      <c r="FV171" s="14" t="str">
        <f t="shared" si="397"/>
        <v xml:space="preserve"> </v>
      </c>
      <c r="FW171" s="14" t="str">
        <f t="shared" si="398"/>
        <v xml:space="preserve"> </v>
      </c>
      <c r="FX171" s="14" t="str">
        <f t="shared" si="399"/>
        <v xml:space="preserve"> </v>
      </c>
      <c r="FY171" s="14" t="str">
        <f t="shared" si="400"/>
        <v xml:space="preserve"> </v>
      </c>
      <c r="FZ171" s="14" t="str">
        <f t="shared" si="401"/>
        <v xml:space="preserve"> </v>
      </c>
      <c r="GA171" s="27" t="str">
        <f t="shared" si="556"/>
        <v xml:space="preserve"> </v>
      </c>
      <c r="GB171" s="14" t="str">
        <f t="shared" si="403"/>
        <v xml:space="preserve"> </v>
      </c>
      <c r="GC171" s="14" t="str">
        <f t="shared" si="404"/>
        <v xml:space="preserve"> </v>
      </c>
      <c r="GD171" s="14" t="str">
        <f t="shared" si="405"/>
        <v xml:space="preserve"> </v>
      </c>
      <c r="GE171" s="14" t="str">
        <f t="shared" si="406"/>
        <v xml:space="preserve"> </v>
      </c>
      <c r="GF171" s="14" t="str">
        <f t="shared" si="407"/>
        <v xml:space="preserve"> </v>
      </c>
      <c r="GG171" s="27" t="str">
        <f t="shared" si="556"/>
        <v xml:space="preserve"> </v>
      </c>
      <c r="GH171" s="14" t="str">
        <f t="shared" si="409"/>
        <v xml:space="preserve"> </v>
      </c>
      <c r="GI171" s="14" t="str">
        <f t="shared" si="410"/>
        <v xml:space="preserve"> </v>
      </c>
      <c r="GJ171" s="14" t="str">
        <f t="shared" si="411"/>
        <v xml:space="preserve"> </v>
      </c>
      <c r="GK171" s="14" t="str">
        <f t="shared" si="412"/>
        <v xml:space="preserve"> </v>
      </c>
      <c r="GL171" s="14" t="str">
        <f t="shared" si="413"/>
        <v xml:space="preserve"> </v>
      </c>
      <c r="GM171" s="27" t="str">
        <f t="shared" si="556"/>
        <v xml:space="preserve"> </v>
      </c>
      <c r="GN171" s="14" t="str">
        <f t="shared" si="415"/>
        <v xml:space="preserve"> </v>
      </c>
      <c r="GO171" s="14" t="str">
        <f t="shared" si="416"/>
        <v xml:space="preserve"> </v>
      </c>
      <c r="GP171" s="14" t="str">
        <f t="shared" si="417"/>
        <v xml:space="preserve"> </v>
      </c>
      <c r="GQ171" s="14" t="str">
        <f t="shared" si="418"/>
        <v xml:space="preserve"> </v>
      </c>
      <c r="GR171" s="14" t="str">
        <f t="shared" si="419"/>
        <v xml:space="preserve"> </v>
      </c>
      <c r="GS171" s="27" t="str">
        <f t="shared" si="556"/>
        <v xml:space="preserve"> </v>
      </c>
      <c r="GT171" s="14" t="str">
        <f t="shared" si="421"/>
        <v xml:space="preserve"> </v>
      </c>
      <c r="GU171" s="14" t="str">
        <f t="shared" si="422"/>
        <v xml:space="preserve"> </v>
      </c>
      <c r="GV171" s="14" t="str">
        <f t="shared" si="423"/>
        <v xml:space="preserve"> </v>
      </c>
      <c r="GW171" s="14" t="str">
        <f t="shared" si="424"/>
        <v xml:space="preserve"> </v>
      </c>
      <c r="GX171" s="14" t="str">
        <f t="shared" si="425"/>
        <v xml:space="preserve"> </v>
      </c>
      <c r="GY171" s="27" t="str">
        <f t="shared" si="556"/>
        <v xml:space="preserve"> </v>
      </c>
      <c r="GZ171" s="14" t="str">
        <f t="shared" si="427"/>
        <v xml:space="preserve"> </v>
      </c>
      <c r="HA171" s="14" t="str">
        <f t="shared" si="428"/>
        <v xml:space="preserve"> </v>
      </c>
      <c r="HB171" s="14" t="str">
        <f t="shared" si="429"/>
        <v xml:space="preserve"> </v>
      </c>
      <c r="HC171" s="14" t="str">
        <f t="shared" si="430"/>
        <v xml:space="preserve"> </v>
      </c>
      <c r="HD171" s="14" t="str">
        <f t="shared" si="431"/>
        <v xml:space="preserve"> </v>
      </c>
      <c r="HE171" s="27" t="str">
        <f t="shared" si="557"/>
        <v xml:space="preserve"> </v>
      </c>
      <c r="HF171" s="14" t="str">
        <f t="shared" si="433"/>
        <v xml:space="preserve"> </v>
      </c>
      <c r="HG171" s="14" t="str">
        <f t="shared" si="434"/>
        <v xml:space="preserve"> </v>
      </c>
      <c r="HH171" s="14" t="str">
        <f t="shared" si="435"/>
        <v xml:space="preserve"> </v>
      </c>
      <c r="HI171" s="14" t="str">
        <f t="shared" si="436"/>
        <v xml:space="preserve"> </v>
      </c>
      <c r="HJ171" s="14" t="str">
        <f t="shared" si="437"/>
        <v xml:space="preserve"> </v>
      </c>
      <c r="HK171" s="27" t="str">
        <f t="shared" si="557"/>
        <v xml:space="preserve"> </v>
      </c>
      <c r="HL171" s="14" t="str">
        <f t="shared" si="439"/>
        <v xml:space="preserve"> </v>
      </c>
      <c r="HM171" s="14" t="str">
        <f t="shared" si="440"/>
        <v xml:space="preserve"> </v>
      </c>
      <c r="HN171" s="14" t="str">
        <f t="shared" si="441"/>
        <v xml:space="preserve"> </v>
      </c>
      <c r="HO171" s="14" t="str">
        <f t="shared" si="442"/>
        <v xml:space="preserve"> </v>
      </c>
      <c r="HP171" s="14" t="str">
        <f t="shared" si="443"/>
        <v xml:space="preserve"> </v>
      </c>
      <c r="HQ171" s="27" t="str">
        <f t="shared" si="557"/>
        <v xml:space="preserve"> </v>
      </c>
    </row>
    <row r="172" spans="1:225" ht="15.75" customHeight="1">
      <c r="A172" s="7">
        <f t="shared" ref="A172:C172" si="578">A64</f>
        <v>0</v>
      </c>
      <c r="B172" s="7">
        <f t="shared" si="578"/>
        <v>0</v>
      </c>
      <c r="C172" s="7" t="str">
        <f t="shared" si="578"/>
        <v>finance</v>
      </c>
      <c r="D172" s="14" t="str">
        <f t="shared" si="446"/>
        <v xml:space="preserve"> </v>
      </c>
      <c r="E172" s="14" t="str">
        <f t="shared" si="447"/>
        <v xml:space="preserve"> </v>
      </c>
      <c r="F172" s="14" t="str">
        <f t="shared" si="448"/>
        <v xml:space="preserve"> </v>
      </c>
      <c r="G172" s="14" t="str">
        <f t="shared" si="449"/>
        <v xml:space="preserve"> </v>
      </c>
      <c r="H172" s="14" t="str">
        <f t="shared" si="450"/>
        <v xml:space="preserve"> </v>
      </c>
      <c r="I172" s="27" t="str">
        <f t="shared" ref="I172" si="579">IF(I64="",I173,$C172&amp;"("&amp;I64&amp;"),"&amp;I173)</f>
        <v xml:space="preserve"> </v>
      </c>
      <c r="J172" s="14" t="str">
        <f t="shared" si="229"/>
        <v xml:space="preserve"> </v>
      </c>
      <c r="K172" s="14" t="str">
        <f t="shared" si="230"/>
        <v xml:space="preserve"> </v>
      </c>
      <c r="L172" s="14" t="str">
        <f t="shared" si="231"/>
        <v xml:space="preserve"> </v>
      </c>
      <c r="M172" s="14" t="str">
        <f t="shared" si="232"/>
        <v xml:space="preserve"> </v>
      </c>
      <c r="N172" s="14" t="str">
        <f t="shared" si="233"/>
        <v xml:space="preserve"> </v>
      </c>
      <c r="O172" s="27" t="str">
        <f t="shared" si="554"/>
        <v xml:space="preserve"> </v>
      </c>
      <c r="P172" s="14" t="str">
        <f t="shared" si="235"/>
        <v xml:space="preserve"> </v>
      </c>
      <c r="Q172" s="14" t="str">
        <f t="shared" si="236"/>
        <v xml:space="preserve"> </v>
      </c>
      <c r="R172" s="14" t="str">
        <f t="shared" si="237"/>
        <v xml:space="preserve"> </v>
      </c>
      <c r="S172" s="14" t="str">
        <f t="shared" si="238"/>
        <v xml:space="preserve">team building(0.1),  </v>
      </c>
      <c r="T172" s="14" t="str">
        <f t="shared" si="239"/>
        <v xml:space="preserve">business model(-1,6.25%), web(-1,6.25%), mobile apps(-1,6.25%), aesthetics(-1,6.25%),  </v>
      </c>
      <c r="U172" s="27" t="str">
        <f t="shared" si="554"/>
        <v xml:space="preserve">business model(6.25),web(6.25),mobile apps(6.25),aesthetics(6.25), </v>
      </c>
      <c r="V172" s="14" t="str">
        <f t="shared" si="241"/>
        <v xml:space="preserve"> </v>
      </c>
      <c r="W172" s="14" t="str">
        <f t="shared" si="242"/>
        <v xml:space="preserve"> </v>
      </c>
      <c r="X172" s="14" t="str">
        <f t="shared" si="243"/>
        <v xml:space="preserve"> </v>
      </c>
      <c r="Y172" s="14" t="str">
        <f t="shared" si="244"/>
        <v xml:space="preserve">project management(0.1), negotiation(0.1),  </v>
      </c>
      <c r="Z172" s="14" t="str">
        <f t="shared" si="245"/>
        <v xml:space="preserve"> </v>
      </c>
      <c r="AA172" s="27" t="str">
        <f t="shared" si="554"/>
        <v xml:space="preserve"> </v>
      </c>
      <c r="AB172" s="14" t="str">
        <f t="shared" si="247"/>
        <v xml:space="preserve"> </v>
      </c>
      <c r="AC172" s="14" t="str">
        <f t="shared" si="248"/>
        <v xml:space="preserve"> </v>
      </c>
      <c r="AD172" s="14" t="str">
        <f t="shared" si="249"/>
        <v xml:space="preserve"> </v>
      </c>
      <c r="AE172" s="14" t="str">
        <f t="shared" si="250"/>
        <v xml:space="preserve"> </v>
      </c>
      <c r="AF172" s="14" t="str">
        <f t="shared" si="251"/>
        <v xml:space="preserve"> </v>
      </c>
      <c r="AG172" s="27" t="str">
        <f t="shared" si="554"/>
        <v xml:space="preserve"> </v>
      </c>
      <c r="AH172" s="14" t="str">
        <f t="shared" si="253"/>
        <v xml:space="preserve"> </v>
      </c>
      <c r="AI172" s="14" t="str">
        <f t="shared" si="254"/>
        <v xml:space="preserve"> </v>
      </c>
      <c r="AJ172" s="14" t="str">
        <f t="shared" si="255"/>
        <v xml:space="preserve"> </v>
      </c>
      <c r="AK172" s="14" t="str">
        <f t="shared" si="256"/>
        <v xml:space="preserve">negotiation(1.1),  </v>
      </c>
      <c r="AL172" s="14" t="str">
        <f t="shared" si="257"/>
        <v xml:space="preserve"> </v>
      </c>
      <c r="AM172" s="27" t="str">
        <f t="shared" si="554"/>
        <v xml:space="preserve"> </v>
      </c>
      <c r="AN172" s="14" t="str">
        <f t="shared" si="259"/>
        <v xml:space="preserve"> </v>
      </c>
      <c r="AO172" s="14" t="str">
        <f t="shared" si="260"/>
        <v xml:space="preserve"> </v>
      </c>
      <c r="AP172" s="14" t="str">
        <f t="shared" si="261"/>
        <v xml:space="preserve"> </v>
      </c>
      <c r="AQ172" s="14" t="str">
        <f t="shared" si="262"/>
        <v xml:space="preserve">team building(2.1),  </v>
      </c>
      <c r="AR172" s="14" t="str">
        <f t="shared" si="263"/>
        <v xml:space="preserve"> </v>
      </c>
      <c r="AS172" s="27" t="str">
        <f t="shared" si="554"/>
        <v xml:space="preserve"> </v>
      </c>
      <c r="AT172" s="14" t="str">
        <f t="shared" si="265"/>
        <v xml:space="preserve"> </v>
      </c>
      <c r="AU172" s="14" t="str">
        <f t="shared" si="266"/>
        <v xml:space="preserve"> </v>
      </c>
      <c r="AV172" s="14" t="str">
        <f t="shared" si="267"/>
        <v xml:space="preserve"> </v>
      </c>
      <c r="AW172" s="14" t="str">
        <f t="shared" si="268"/>
        <v xml:space="preserve">team building(2.1),  </v>
      </c>
      <c r="AX172" s="14" t="str">
        <f t="shared" si="269"/>
        <v xml:space="preserve"> </v>
      </c>
      <c r="AY172" s="27" t="str">
        <f t="shared" si="554"/>
        <v xml:space="preserve"> </v>
      </c>
      <c r="AZ172" s="14" t="str">
        <f t="shared" si="271"/>
        <v xml:space="preserve"> </v>
      </c>
      <c r="BA172" s="14" t="str">
        <f t="shared" si="272"/>
        <v xml:space="preserve"> </v>
      </c>
      <c r="BB172" s="14" t="str">
        <f t="shared" si="273"/>
        <v xml:space="preserve"> </v>
      </c>
      <c r="BC172" s="14" t="str">
        <f t="shared" si="274"/>
        <v xml:space="preserve"> </v>
      </c>
      <c r="BD172" s="14" t="str">
        <f t="shared" si="275"/>
        <v xml:space="preserve"> </v>
      </c>
      <c r="BE172" s="27" t="str">
        <f t="shared" si="554"/>
        <v xml:space="preserve"> </v>
      </c>
      <c r="BF172" s="14" t="str">
        <f t="shared" si="277"/>
        <v xml:space="preserve"> </v>
      </c>
      <c r="BG172" s="14" t="str">
        <f t="shared" si="278"/>
        <v xml:space="preserve"> </v>
      </c>
      <c r="BH172" s="14" t="str">
        <f t="shared" si="279"/>
        <v xml:space="preserve"> </v>
      </c>
      <c r="BI172" s="14" t="str">
        <f t="shared" si="280"/>
        <v xml:space="preserve"> </v>
      </c>
      <c r="BJ172" s="14" t="str">
        <f t="shared" si="281"/>
        <v xml:space="preserve"> </v>
      </c>
      <c r="BK172" s="27" t="str">
        <f t="shared" si="554"/>
        <v xml:space="preserve"> </v>
      </c>
      <c r="BL172" s="14" t="str">
        <f t="shared" si="283"/>
        <v xml:space="preserve">aesthetics(1)
 </v>
      </c>
      <c r="BM172" s="14" t="str">
        <f t="shared" si="284"/>
        <v xml:space="preserve">biz enhancement(1,%),  </v>
      </c>
      <c r="BN172" s="14" t="str">
        <f t="shared" si="285"/>
        <v xml:space="preserve"> </v>
      </c>
      <c r="BO172" s="14" t="str">
        <f t="shared" si="286"/>
        <v xml:space="preserve">marketing(1), negotiation(1), aesthetics(2), functions(1), safety(1),  </v>
      </c>
      <c r="BP172" s="14" t="str">
        <f t="shared" si="287"/>
        <v xml:space="preserve"> </v>
      </c>
      <c r="BQ172" s="27" t="str">
        <f t="shared" si="554"/>
        <v xml:space="preserve"> </v>
      </c>
      <c r="BR172" s="14" t="str">
        <f t="shared" si="289"/>
        <v xml:space="preserve">aesthetics(1)
 </v>
      </c>
      <c r="BS172" s="14" t="str">
        <f t="shared" si="290"/>
        <v xml:space="preserve">biz project(1,%),  </v>
      </c>
      <c r="BT172" s="14" t="str">
        <f t="shared" si="291"/>
        <v xml:space="preserve"> </v>
      </c>
      <c r="BU172" s="14" t="str">
        <f t="shared" si="292"/>
        <v xml:space="preserve">marketing(1), negotiation(1), wood processing(1), aesthetics(2),  </v>
      </c>
      <c r="BV172" s="14" t="str">
        <f t="shared" si="293"/>
        <v xml:space="preserve"> </v>
      </c>
      <c r="BW172" s="27" t="str">
        <f t="shared" si="554"/>
        <v xml:space="preserve"> </v>
      </c>
      <c r="BX172" s="14" t="str">
        <f t="shared" si="295"/>
        <v xml:space="preserve">aesthetics(1)
interaction(1)
 </v>
      </c>
      <c r="BY172" s="14" t="str">
        <f t="shared" si="296"/>
        <v xml:space="preserve">biz project(1,%),  </v>
      </c>
      <c r="BZ172" s="14" t="str">
        <f t="shared" si="297"/>
        <v xml:space="preserve"> </v>
      </c>
      <c r="CA172" s="14" t="str">
        <f t="shared" si="298"/>
        <v xml:space="preserve">marketing(1), team building(1), social media(1), negotiation(1), web(2), infrastructrue(2), database(2), security(3), aesthetics(2), functions(1), interaction(2),  </v>
      </c>
      <c r="CB172" s="14" t="str">
        <f t="shared" si="299"/>
        <v xml:space="preserve"> </v>
      </c>
      <c r="CC172" s="27" t="str">
        <f t="shared" si="555"/>
        <v xml:space="preserve"> </v>
      </c>
      <c r="CD172" s="14" t="str">
        <f t="shared" si="301"/>
        <v xml:space="preserve">aesthetics(1)
 </v>
      </c>
      <c r="CE172" s="14" t="str">
        <f t="shared" si="302"/>
        <v xml:space="preserve">biz project(1,%),  </v>
      </c>
      <c r="CF172" s="14" t="str">
        <f t="shared" si="303"/>
        <v xml:space="preserve"> </v>
      </c>
      <c r="CG172" s="14" t="str">
        <f t="shared" si="304"/>
        <v xml:space="preserve">marketing(1), team building(1), negotiation(1), infrastructrue(1), database(2), mobile apps(2), security(3), aesthetics(2), functions(1), interaction(2),  </v>
      </c>
      <c r="CH172" s="14" t="str">
        <f t="shared" si="305"/>
        <v xml:space="preserve"> </v>
      </c>
      <c r="CI172" s="27" t="str">
        <f t="shared" si="555"/>
        <v xml:space="preserve"> </v>
      </c>
      <c r="CJ172" s="14" t="str">
        <f t="shared" si="307"/>
        <v xml:space="preserve">aesthetics(1)
 </v>
      </c>
      <c r="CK172" s="14" t="str">
        <f t="shared" si="308"/>
        <v xml:space="preserve">biz project(1,%),  </v>
      </c>
      <c r="CL172" s="14" t="str">
        <f t="shared" si="309"/>
        <v xml:space="preserve"> </v>
      </c>
      <c r="CM172" s="14" t="str">
        <f t="shared" si="310"/>
        <v xml:space="preserve">marketing(2), team building(1), social media(2), negotiation(1), web(2), infrastructrue(2), database(2), mobile apps(2), security(2), aesthetics(2), functions(1), interaction(2),  </v>
      </c>
      <c r="CN172" s="14" t="str">
        <f t="shared" si="311"/>
        <v xml:space="preserve"> </v>
      </c>
      <c r="CO172" s="27" t="str">
        <f t="shared" si="555"/>
        <v xml:space="preserve"> </v>
      </c>
      <c r="CP172" s="14" t="str">
        <f t="shared" si="313"/>
        <v xml:space="preserve">metal processing(1)
functions(1)
 </v>
      </c>
      <c r="CQ172" s="14" t="str">
        <f t="shared" si="314"/>
        <v xml:space="preserve">biz enhancement(1,50%),  </v>
      </c>
      <c r="CR172" s="14" t="str">
        <f t="shared" si="315"/>
        <v xml:space="preserve">biz enhancement(50)
 </v>
      </c>
      <c r="CS172" s="14" t="str">
        <f t="shared" si="316"/>
        <v xml:space="preserve">metal processing(2), electronics(2), aesthetics(2), functions(2), safety(2),  </v>
      </c>
      <c r="CT172" s="14" t="str">
        <f t="shared" si="317"/>
        <v xml:space="preserve"> </v>
      </c>
      <c r="CU172" s="27" t="str">
        <f t="shared" si="555"/>
        <v xml:space="preserve"> </v>
      </c>
      <c r="CV172" s="14" t="str">
        <f t="shared" si="319"/>
        <v xml:space="preserve">wood processing(1)
aesthetics(1)
interaction(1)
 </v>
      </c>
      <c r="CW172" s="14" t="str">
        <f t="shared" si="320"/>
        <v xml:space="preserve">social project(1,50%),  </v>
      </c>
      <c r="CX172" s="14" t="str">
        <f t="shared" si="321"/>
        <v xml:space="preserve">social project(50)
 </v>
      </c>
      <c r="CY172" s="14" t="str">
        <f t="shared" si="322"/>
        <v xml:space="preserve">sensors(2), wood processing(2), plastic processing(2), electronics(2), aesthetics(2), functions(1), safety(1), interaction(2),  </v>
      </c>
      <c r="CZ172" s="14" t="str">
        <f t="shared" si="323"/>
        <v xml:space="preserve"> </v>
      </c>
      <c r="DA172" s="27" t="str">
        <f t="shared" si="555"/>
        <v xml:space="preserve"> </v>
      </c>
      <c r="DB172" s="14" t="str">
        <f t="shared" si="325"/>
        <v xml:space="preserve">aesthetics(1)
interaction(1)
 </v>
      </c>
      <c r="DC172" s="14" t="str">
        <f t="shared" si="326"/>
        <v xml:space="preserve">social project(1,50%),  </v>
      </c>
      <c r="DD172" s="14" t="str">
        <f t="shared" si="327"/>
        <v xml:space="preserve">social project(50)
 </v>
      </c>
      <c r="DE172" s="14" t="str">
        <f t="shared" si="328"/>
        <v xml:space="preserve">VR&amp;AR(2),  </v>
      </c>
      <c r="DF172" s="14" t="str">
        <f t="shared" si="329"/>
        <v xml:space="preserve"> </v>
      </c>
      <c r="DG172" s="27" t="str">
        <f t="shared" si="555"/>
        <v xml:space="preserve"> </v>
      </c>
      <c r="DH172" s="14" t="str">
        <f t="shared" si="331"/>
        <v xml:space="preserve">wood processing(1)
aesthetics(1)
safety(1)
 </v>
      </c>
      <c r="DI172" s="14" t="str">
        <f t="shared" si="332"/>
        <v xml:space="preserve">social project(1,100%),  </v>
      </c>
      <c r="DJ172" s="14" t="str">
        <f t="shared" si="333"/>
        <v xml:space="preserve">social project(100)
 </v>
      </c>
      <c r="DK172" s="14" t="str">
        <f t="shared" si="334"/>
        <v xml:space="preserve">finance(2), marketing(2), team building(2), project management(2), social media(2), negotiation(2), sensors(1), wood processing(2), metal processing(2), plastic processing(2), electronics(2), fabric(1), aesthetics(1), functions(2), safety(2), interaction(2),  </v>
      </c>
      <c r="DL172" s="14" t="str">
        <f t="shared" si="335"/>
        <v xml:space="preserve">team building(1,6.25%),  </v>
      </c>
      <c r="DM172" s="27" t="str">
        <f t="shared" si="555"/>
        <v xml:space="preserve">team building(6.25), </v>
      </c>
      <c r="DN172" s="14" t="str">
        <f t="shared" si="337"/>
        <v xml:space="preserve">project management(2)
wood processing(1)
plastic processing(1)
electronics(1)
aesthetics(2)
functions(1)
safety(1)
biz project(1)
 </v>
      </c>
      <c r="DO172" s="14" t="str">
        <f t="shared" si="338"/>
        <v xml:space="preserve"> </v>
      </c>
      <c r="DP172" s="14" t="str">
        <f t="shared" si="339"/>
        <v xml:space="preserve"> </v>
      </c>
      <c r="DQ172" s="14" t="str">
        <f t="shared" si="340"/>
        <v xml:space="preserve">social media(2), wood processing(2), plastic processing(2), electronics(2), aesthetics(2),  </v>
      </c>
      <c r="DR172" s="14" t="str">
        <f t="shared" si="341"/>
        <v xml:space="preserve"> </v>
      </c>
      <c r="DS172" s="27" t="str">
        <f t="shared" si="555"/>
        <v xml:space="preserve"> </v>
      </c>
      <c r="DT172" s="14" t="str">
        <f t="shared" si="343"/>
        <v xml:space="preserve"> </v>
      </c>
      <c r="DU172" s="14" t="str">
        <f t="shared" si="344"/>
        <v xml:space="preserve"> </v>
      </c>
      <c r="DV172" s="14" t="str">
        <f t="shared" si="345"/>
        <v xml:space="preserve"> </v>
      </c>
      <c r="DW172" s="14" t="str">
        <f t="shared" si="346"/>
        <v xml:space="preserve">social media(2),  </v>
      </c>
      <c r="DX172" s="14" t="str">
        <f t="shared" si="347"/>
        <v xml:space="preserve"> </v>
      </c>
      <c r="DY172" s="27" t="str">
        <f t="shared" si="555"/>
        <v xml:space="preserve"> </v>
      </c>
      <c r="DZ172" s="14" t="str">
        <f t="shared" si="349"/>
        <v xml:space="preserve"> </v>
      </c>
      <c r="EA172" s="14" t="str">
        <f t="shared" si="350"/>
        <v xml:space="preserve"> </v>
      </c>
      <c r="EB172" s="14" t="str">
        <f t="shared" si="351"/>
        <v xml:space="preserve"> </v>
      </c>
      <c r="EC172" s="14" t="str">
        <f t="shared" si="352"/>
        <v xml:space="preserve"> </v>
      </c>
      <c r="ED172" s="14" t="str">
        <f t="shared" si="353"/>
        <v xml:space="preserve"> </v>
      </c>
      <c r="EE172" s="27" t="str">
        <f t="shared" si="555"/>
        <v xml:space="preserve"> </v>
      </c>
      <c r="EF172" s="14" t="str">
        <f t="shared" si="355"/>
        <v xml:space="preserve"> </v>
      </c>
      <c r="EG172" s="14" t="str">
        <f t="shared" si="356"/>
        <v xml:space="preserve"> </v>
      </c>
      <c r="EH172" s="14" t="str">
        <f t="shared" si="357"/>
        <v xml:space="preserve"> </v>
      </c>
      <c r="EI172" s="14" t="str">
        <f t="shared" si="358"/>
        <v xml:space="preserve"> </v>
      </c>
      <c r="EJ172" s="14" t="str">
        <f t="shared" si="359"/>
        <v xml:space="preserve"> </v>
      </c>
      <c r="EK172" s="27" t="str">
        <f t="shared" si="555"/>
        <v xml:space="preserve"> </v>
      </c>
      <c r="EL172" s="14" t="str">
        <f t="shared" si="361"/>
        <v xml:space="preserve"> </v>
      </c>
      <c r="EM172" s="14" t="str">
        <f t="shared" si="362"/>
        <v xml:space="preserve"> </v>
      </c>
      <c r="EN172" s="14" t="str">
        <f t="shared" si="363"/>
        <v xml:space="preserve"> </v>
      </c>
      <c r="EO172" s="14" t="str">
        <f t="shared" si="364"/>
        <v xml:space="preserve"> </v>
      </c>
      <c r="EP172" s="14" t="str">
        <f t="shared" si="365"/>
        <v xml:space="preserve"> </v>
      </c>
      <c r="EQ172" s="27" t="str">
        <f t="shared" si="556"/>
        <v xml:space="preserve"> </v>
      </c>
      <c r="ER172" s="14" t="str">
        <f t="shared" si="367"/>
        <v xml:space="preserve"> </v>
      </c>
      <c r="ES172" s="14" t="str">
        <f t="shared" si="368"/>
        <v xml:space="preserve"> </v>
      </c>
      <c r="ET172" s="14" t="str">
        <f t="shared" si="369"/>
        <v xml:space="preserve"> </v>
      </c>
      <c r="EU172" s="14" t="str">
        <f t="shared" si="370"/>
        <v xml:space="preserve"> </v>
      </c>
      <c r="EV172" s="14" t="str">
        <f t="shared" si="371"/>
        <v xml:space="preserve"> </v>
      </c>
      <c r="EW172" s="27" t="str">
        <f t="shared" si="556"/>
        <v xml:space="preserve"> </v>
      </c>
      <c r="EX172" s="14" t="str">
        <f t="shared" si="373"/>
        <v xml:space="preserve"> </v>
      </c>
      <c r="EY172" s="14" t="str">
        <f t="shared" si="374"/>
        <v xml:space="preserve"> </v>
      </c>
      <c r="EZ172" s="14" t="str">
        <f t="shared" si="375"/>
        <v xml:space="preserve"> </v>
      </c>
      <c r="FA172" s="14" t="str">
        <f t="shared" si="376"/>
        <v xml:space="preserve"> </v>
      </c>
      <c r="FB172" s="14" t="str">
        <f t="shared" si="377"/>
        <v xml:space="preserve"> </v>
      </c>
      <c r="FC172" s="27" t="str">
        <f t="shared" si="556"/>
        <v xml:space="preserve"> </v>
      </c>
      <c r="FD172" s="14" t="str">
        <f t="shared" si="379"/>
        <v xml:space="preserve"> </v>
      </c>
      <c r="FE172" s="14" t="str">
        <f t="shared" si="380"/>
        <v xml:space="preserve"> </v>
      </c>
      <c r="FF172" s="14" t="str">
        <f t="shared" si="381"/>
        <v xml:space="preserve"> </v>
      </c>
      <c r="FG172" s="14" t="str">
        <f t="shared" si="382"/>
        <v xml:space="preserve"> </v>
      </c>
      <c r="FH172" s="14" t="str">
        <f t="shared" si="383"/>
        <v xml:space="preserve"> </v>
      </c>
      <c r="FI172" s="27" t="str">
        <f t="shared" si="556"/>
        <v xml:space="preserve"> </v>
      </c>
      <c r="FJ172" s="14" t="str">
        <f t="shared" si="385"/>
        <v xml:space="preserve"> </v>
      </c>
      <c r="FK172" s="14" t="str">
        <f t="shared" si="386"/>
        <v xml:space="preserve"> </v>
      </c>
      <c r="FL172" s="14" t="str">
        <f t="shared" si="387"/>
        <v xml:space="preserve"> </v>
      </c>
      <c r="FM172" s="14" t="str">
        <f t="shared" si="388"/>
        <v xml:space="preserve"> </v>
      </c>
      <c r="FN172" s="14" t="str">
        <f t="shared" si="389"/>
        <v xml:space="preserve"> </v>
      </c>
      <c r="FO172" s="27" t="str">
        <f t="shared" si="556"/>
        <v xml:space="preserve"> </v>
      </c>
      <c r="FP172" s="14" t="str">
        <f t="shared" si="391"/>
        <v xml:space="preserve"> </v>
      </c>
      <c r="FQ172" s="14" t="str">
        <f t="shared" si="392"/>
        <v xml:space="preserve"> </v>
      </c>
      <c r="FR172" s="14" t="str">
        <f t="shared" si="393"/>
        <v xml:space="preserve"> </v>
      </c>
      <c r="FS172" s="14" t="str">
        <f t="shared" si="394"/>
        <v xml:space="preserve"> </v>
      </c>
      <c r="FT172" s="14" t="str">
        <f t="shared" si="395"/>
        <v xml:space="preserve"> </v>
      </c>
      <c r="FU172" s="27" t="str">
        <f t="shared" si="556"/>
        <v xml:space="preserve"> </v>
      </c>
      <c r="FV172" s="14" t="str">
        <f t="shared" si="397"/>
        <v xml:space="preserve"> </v>
      </c>
      <c r="FW172" s="14" t="str">
        <f t="shared" si="398"/>
        <v xml:space="preserve"> </v>
      </c>
      <c r="FX172" s="14" t="str">
        <f t="shared" si="399"/>
        <v xml:space="preserve"> </v>
      </c>
      <c r="FY172" s="14" t="str">
        <f t="shared" si="400"/>
        <v xml:space="preserve"> </v>
      </c>
      <c r="FZ172" s="14" t="str">
        <f t="shared" si="401"/>
        <v xml:space="preserve"> </v>
      </c>
      <c r="GA172" s="27" t="str">
        <f t="shared" si="556"/>
        <v xml:space="preserve"> </v>
      </c>
      <c r="GB172" s="14" t="str">
        <f t="shared" si="403"/>
        <v xml:space="preserve"> </v>
      </c>
      <c r="GC172" s="14" t="str">
        <f t="shared" si="404"/>
        <v xml:space="preserve"> </v>
      </c>
      <c r="GD172" s="14" t="str">
        <f t="shared" si="405"/>
        <v xml:space="preserve"> </v>
      </c>
      <c r="GE172" s="14" t="str">
        <f t="shared" si="406"/>
        <v xml:space="preserve"> </v>
      </c>
      <c r="GF172" s="14" t="str">
        <f t="shared" si="407"/>
        <v xml:space="preserve"> </v>
      </c>
      <c r="GG172" s="27" t="str">
        <f t="shared" si="556"/>
        <v xml:space="preserve"> </v>
      </c>
      <c r="GH172" s="14" t="str">
        <f t="shared" si="409"/>
        <v xml:space="preserve"> </v>
      </c>
      <c r="GI172" s="14" t="str">
        <f t="shared" si="410"/>
        <v xml:space="preserve"> </v>
      </c>
      <c r="GJ172" s="14" t="str">
        <f t="shared" si="411"/>
        <v xml:space="preserve"> </v>
      </c>
      <c r="GK172" s="14" t="str">
        <f t="shared" si="412"/>
        <v xml:space="preserve"> </v>
      </c>
      <c r="GL172" s="14" t="str">
        <f t="shared" si="413"/>
        <v xml:space="preserve"> </v>
      </c>
      <c r="GM172" s="27" t="str">
        <f t="shared" si="556"/>
        <v xml:space="preserve"> </v>
      </c>
      <c r="GN172" s="14" t="str">
        <f t="shared" si="415"/>
        <v xml:space="preserve"> </v>
      </c>
      <c r="GO172" s="14" t="str">
        <f t="shared" si="416"/>
        <v xml:space="preserve"> </v>
      </c>
      <c r="GP172" s="14" t="str">
        <f t="shared" si="417"/>
        <v xml:space="preserve"> </v>
      </c>
      <c r="GQ172" s="14" t="str">
        <f t="shared" si="418"/>
        <v xml:space="preserve"> </v>
      </c>
      <c r="GR172" s="14" t="str">
        <f t="shared" si="419"/>
        <v xml:space="preserve"> </v>
      </c>
      <c r="GS172" s="27" t="str">
        <f t="shared" si="556"/>
        <v xml:space="preserve"> </v>
      </c>
      <c r="GT172" s="14" t="str">
        <f t="shared" si="421"/>
        <v xml:space="preserve"> </v>
      </c>
      <c r="GU172" s="14" t="str">
        <f t="shared" si="422"/>
        <v xml:space="preserve"> </v>
      </c>
      <c r="GV172" s="14" t="str">
        <f t="shared" si="423"/>
        <v xml:space="preserve"> </v>
      </c>
      <c r="GW172" s="14" t="str">
        <f t="shared" si="424"/>
        <v xml:space="preserve"> </v>
      </c>
      <c r="GX172" s="14" t="str">
        <f t="shared" si="425"/>
        <v xml:space="preserve"> </v>
      </c>
      <c r="GY172" s="27" t="str">
        <f t="shared" si="556"/>
        <v xml:space="preserve"> </v>
      </c>
      <c r="GZ172" s="14" t="str">
        <f t="shared" si="427"/>
        <v xml:space="preserve"> </v>
      </c>
      <c r="HA172" s="14" t="str">
        <f t="shared" si="428"/>
        <v xml:space="preserve"> </v>
      </c>
      <c r="HB172" s="14" t="str">
        <f t="shared" si="429"/>
        <v xml:space="preserve"> </v>
      </c>
      <c r="HC172" s="14" t="str">
        <f t="shared" si="430"/>
        <v xml:space="preserve"> </v>
      </c>
      <c r="HD172" s="14" t="str">
        <f t="shared" si="431"/>
        <v xml:space="preserve"> </v>
      </c>
      <c r="HE172" s="27" t="str">
        <f t="shared" si="557"/>
        <v xml:space="preserve"> </v>
      </c>
      <c r="HF172" s="14" t="str">
        <f t="shared" si="433"/>
        <v xml:space="preserve"> </v>
      </c>
      <c r="HG172" s="14" t="str">
        <f t="shared" si="434"/>
        <v xml:space="preserve"> </v>
      </c>
      <c r="HH172" s="14" t="str">
        <f t="shared" si="435"/>
        <v xml:space="preserve"> </v>
      </c>
      <c r="HI172" s="14" t="str">
        <f t="shared" si="436"/>
        <v xml:space="preserve"> </v>
      </c>
      <c r="HJ172" s="14" t="str">
        <f t="shared" si="437"/>
        <v xml:space="preserve"> </v>
      </c>
      <c r="HK172" s="27" t="str">
        <f t="shared" si="557"/>
        <v xml:space="preserve"> </v>
      </c>
      <c r="HL172" s="14" t="str">
        <f t="shared" si="439"/>
        <v xml:space="preserve"> </v>
      </c>
      <c r="HM172" s="14" t="str">
        <f t="shared" si="440"/>
        <v xml:space="preserve"> </v>
      </c>
      <c r="HN172" s="14" t="str">
        <f t="shared" si="441"/>
        <v xml:space="preserve"> </v>
      </c>
      <c r="HO172" s="14" t="str">
        <f t="shared" si="442"/>
        <v xml:space="preserve"> </v>
      </c>
      <c r="HP172" s="14" t="str">
        <f t="shared" si="443"/>
        <v xml:space="preserve"> </v>
      </c>
      <c r="HQ172" s="27" t="str">
        <f t="shared" si="557"/>
        <v xml:space="preserve"> </v>
      </c>
    </row>
    <row r="173" spans="1:225" ht="15.75" customHeight="1">
      <c r="A173" s="7">
        <f t="shared" ref="A173:C173" si="580">A65</f>
        <v>0</v>
      </c>
      <c r="B173" s="7">
        <f t="shared" si="580"/>
        <v>0</v>
      </c>
      <c r="C173" s="7" t="str">
        <f t="shared" si="580"/>
        <v>business model</v>
      </c>
      <c r="D173" s="14" t="str">
        <f t="shared" si="446"/>
        <v xml:space="preserve"> </v>
      </c>
      <c r="E173" s="14" t="str">
        <f t="shared" si="447"/>
        <v xml:space="preserve"> </v>
      </c>
      <c r="F173" s="14" t="str">
        <f t="shared" si="448"/>
        <v xml:space="preserve"> </v>
      </c>
      <c r="G173" s="14" t="str">
        <f t="shared" si="449"/>
        <v xml:space="preserve"> </v>
      </c>
      <c r="H173" s="14" t="str">
        <f t="shared" si="450"/>
        <v xml:space="preserve"> </v>
      </c>
      <c r="I173" s="27" t="str">
        <f t="shared" ref="I173" si="581">IF(I65="",I174,$C173&amp;"("&amp;I65&amp;"),"&amp;I174)</f>
        <v xml:space="preserve"> </v>
      </c>
      <c r="J173" s="14" t="str">
        <f t="shared" si="229"/>
        <v xml:space="preserve"> </v>
      </c>
      <c r="K173" s="14" t="str">
        <f t="shared" si="230"/>
        <v xml:space="preserve"> </v>
      </c>
      <c r="L173" s="14" t="str">
        <f t="shared" si="231"/>
        <v xml:space="preserve"> </v>
      </c>
      <c r="M173" s="14" t="str">
        <f t="shared" si="232"/>
        <v xml:space="preserve"> </v>
      </c>
      <c r="N173" s="14" t="str">
        <f t="shared" si="233"/>
        <v xml:space="preserve"> </v>
      </c>
      <c r="O173" s="27" t="str">
        <f t="shared" si="554"/>
        <v xml:space="preserve"> </v>
      </c>
      <c r="P173" s="14" t="str">
        <f t="shared" si="235"/>
        <v xml:space="preserve"> </v>
      </c>
      <c r="Q173" s="14" t="str">
        <f t="shared" si="236"/>
        <v xml:space="preserve"> </v>
      </c>
      <c r="R173" s="14" t="str">
        <f t="shared" si="237"/>
        <v xml:space="preserve"> </v>
      </c>
      <c r="S173" s="14" t="str">
        <f t="shared" si="238"/>
        <v xml:space="preserve">team building(0.1),  </v>
      </c>
      <c r="T173" s="14" t="str">
        <f t="shared" si="239"/>
        <v xml:space="preserve">business model(-1,6.25%), web(-1,6.25%), mobile apps(-1,6.25%), aesthetics(-1,6.25%),  </v>
      </c>
      <c r="U173" s="27" t="str">
        <f t="shared" si="554"/>
        <v xml:space="preserve">business model(6.25),web(6.25),mobile apps(6.25),aesthetics(6.25), </v>
      </c>
      <c r="V173" s="14" t="str">
        <f t="shared" si="241"/>
        <v xml:space="preserve"> </v>
      </c>
      <c r="W173" s="14" t="str">
        <f t="shared" si="242"/>
        <v xml:space="preserve"> </v>
      </c>
      <c r="X173" s="14" t="str">
        <f t="shared" si="243"/>
        <v xml:space="preserve"> </v>
      </c>
      <c r="Y173" s="14" t="str">
        <f t="shared" si="244"/>
        <v xml:space="preserve">project management(0.1), negotiation(0.1),  </v>
      </c>
      <c r="Z173" s="14" t="str">
        <f t="shared" si="245"/>
        <v xml:space="preserve"> </v>
      </c>
      <c r="AA173" s="27" t="str">
        <f t="shared" si="554"/>
        <v xml:space="preserve"> </v>
      </c>
      <c r="AB173" s="14" t="str">
        <f t="shared" si="247"/>
        <v xml:space="preserve"> </v>
      </c>
      <c r="AC173" s="14" t="str">
        <f t="shared" si="248"/>
        <v xml:space="preserve"> </v>
      </c>
      <c r="AD173" s="14" t="str">
        <f t="shared" si="249"/>
        <v xml:space="preserve"> </v>
      </c>
      <c r="AE173" s="14" t="str">
        <f t="shared" si="250"/>
        <v xml:space="preserve"> </v>
      </c>
      <c r="AF173" s="14" t="str">
        <f t="shared" si="251"/>
        <v xml:space="preserve"> </v>
      </c>
      <c r="AG173" s="27" t="str">
        <f t="shared" si="554"/>
        <v xml:space="preserve"> </v>
      </c>
      <c r="AH173" s="14" t="str">
        <f t="shared" si="253"/>
        <v xml:space="preserve"> </v>
      </c>
      <c r="AI173" s="14" t="str">
        <f t="shared" si="254"/>
        <v xml:space="preserve"> </v>
      </c>
      <c r="AJ173" s="14" t="str">
        <f t="shared" si="255"/>
        <v xml:space="preserve"> </v>
      </c>
      <c r="AK173" s="14" t="str">
        <f t="shared" si="256"/>
        <v xml:space="preserve">negotiation(1.1),  </v>
      </c>
      <c r="AL173" s="14" t="str">
        <f t="shared" si="257"/>
        <v xml:space="preserve"> </v>
      </c>
      <c r="AM173" s="27" t="str">
        <f t="shared" si="554"/>
        <v xml:space="preserve"> </v>
      </c>
      <c r="AN173" s="14" t="str">
        <f t="shared" si="259"/>
        <v xml:space="preserve"> </v>
      </c>
      <c r="AO173" s="14" t="str">
        <f t="shared" si="260"/>
        <v xml:space="preserve"> </v>
      </c>
      <c r="AP173" s="14" t="str">
        <f t="shared" si="261"/>
        <v xml:space="preserve"> </v>
      </c>
      <c r="AQ173" s="14" t="str">
        <f t="shared" si="262"/>
        <v xml:space="preserve">team building(2.1),  </v>
      </c>
      <c r="AR173" s="14" t="str">
        <f t="shared" si="263"/>
        <v xml:space="preserve"> </v>
      </c>
      <c r="AS173" s="27" t="str">
        <f t="shared" si="554"/>
        <v xml:space="preserve"> </v>
      </c>
      <c r="AT173" s="14" t="str">
        <f t="shared" si="265"/>
        <v xml:space="preserve"> </v>
      </c>
      <c r="AU173" s="14" t="str">
        <f t="shared" si="266"/>
        <v xml:space="preserve"> </v>
      </c>
      <c r="AV173" s="14" t="str">
        <f t="shared" si="267"/>
        <v xml:space="preserve"> </v>
      </c>
      <c r="AW173" s="14" t="str">
        <f t="shared" si="268"/>
        <v xml:space="preserve">team building(2.1),  </v>
      </c>
      <c r="AX173" s="14" t="str">
        <f t="shared" si="269"/>
        <v xml:space="preserve"> </v>
      </c>
      <c r="AY173" s="27" t="str">
        <f t="shared" si="554"/>
        <v xml:space="preserve"> </v>
      </c>
      <c r="AZ173" s="14" t="str">
        <f t="shared" si="271"/>
        <v xml:space="preserve"> </v>
      </c>
      <c r="BA173" s="14" t="str">
        <f t="shared" si="272"/>
        <v xml:space="preserve"> </v>
      </c>
      <c r="BB173" s="14" t="str">
        <f t="shared" si="273"/>
        <v xml:space="preserve"> </v>
      </c>
      <c r="BC173" s="14" t="str">
        <f t="shared" si="274"/>
        <v xml:space="preserve"> </v>
      </c>
      <c r="BD173" s="14" t="str">
        <f t="shared" si="275"/>
        <v xml:space="preserve"> </v>
      </c>
      <c r="BE173" s="27" t="str">
        <f t="shared" si="554"/>
        <v xml:space="preserve"> </v>
      </c>
      <c r="BF173" s="14" t="str">
        <f t="shared" si="277"/>
        <v xml:space="preserve"> </v>
      </c>
      <c r="BG173" s="14" t="str">
        <f t="shared" si="278"/>
        <v xml:space="preserve"> </v>
      </c>
      <c r="BH173" s="14" t="str">
        <f t="shared" si="279"/>
        <v xml:space="preserve"> </v>
      </c>
      <c r="BI173" s="14" t="str">
        <f t="shared" si="280"/>
        <v xml:space="preserve"> </v>
      </c>
      <c r="BJ173" s="14" t="str">
        <f t="shared" si="281"/>
        <v xml:space="preserve"> </v>
      </c>
      <c r="BK173" s="27" t="str">
        <f t="shared" si="554"/>
        <v xml:space="preserve"> </v>
      </c>
      <c r="BL173" s="14" t="str">
        <f t="shared" si="283"/>
        <v xml:space="preserve">aesthetics(1)
 </v>
      </c>
      <c r="BM173" s="14" t="str">
        <f t="shared" si="284"/>
        <v xml:space="preserve">biz enhancement(1,%),  </v>
      </c>
      <c r="BN173" s="14" t="str">
        <f t="shared" si="285"/>
        <v xml:space="preserve"> </v>
      </c>
      <c r="BO173" s="14" t="str">
        <f t="shared" si="286"/>
        <v xml:space="preserve">marketing(1), negotiation(1), aesthetics(2), functions(1), safety(1),  </v>
      </c>
      <c r="BP173" s="14" t="str">
        <f t="shared" si="287"/>
        <v xml:space="preserve"> </v>
      </c>
      <c r="BQ173" s="27" t="str">
        <f t="shared" si="554"/>
        <v xml:space="preserve"> </v>
      </c>
      <c r="BR173" s="14" t="str">
        <f t="shared" si="289"/>
        <v xml:space="preserve">aesthetics(1)
 </v>
      </c>
      <c r="BS173" s="14" t="str">
        <f t="shared" si="290"/>
        <v xml:space="preserve">biz project(1,%),  </v>
      </c>
      <c r="BT173" s="14" t="str">
        <f t="shared" si="291"/>
        <v xml:space="preserve"> </v>
      </c>
      <c r="BU173" s="14" t="str">
        <f t="shared" si="292"/>
        <v xml:space="preserve">marketing(1), negotiation(1), wood processing(1), aesthetics(2),  </v>
      </c>
      <c r="BV173" s="14" t="str">
        <f t="shared" si="293"/>
        <v xml:space="preserve"> </v>
      </c>
      <c r="BW173" s="27" t="str">
        <f t="shared" si="554"/>
        <v xml:space="preserve"> </v>
      </c>
      <c r="BX173" s="14" t="str">
        <f t="shared" si="295"/>
        <v xml:space="preserve">aesthetics(1)
interaction(1)
 </v>
      </c>
      <c r="BY173" s="14" t="str">
        <f t="shared" si="296"/>
        <v xml:space="preserve">biz project(1,%),  </v>
      </c>
      <c r="BZ173" s="14" t="str">
        <f t="shared" si="297"/>
        <v xml:space="preserve"> </v>
      </c>
      <c r="CA173" s="14" t="str">
        <f t="shared" si="298"/>
        <v xml:space="preserve">marketing(1), team building(1), social media(1), negotiation(1), web(2), infrastructrue(2), database(2), security(3), aesthetics(2), functions(1), interaction(2),  </v>
      </c>
      <c r="CB173" s="14" t="str">
        <f t="shared" si="299"/>
        <v xml:space="preserve"> </v>
      </c>
      <c r="CC173" s="27" t="str">
        <f t="shared" si="555"/>
        <v xml:space="preserve"> </v>
      </c>
      <c r="CD173" s="14" t="str">
        <f t="shared" si="301"/>
        <v xml:space="preserve">aesthetics(1)
 </v>
      </c>
      <c r="CE173" s="14" t="str">
        <f t="shared" si="302"/>
        <v xml:space="preserve">biz project(1,%),  </v>
      </c>
      <c r="CF173" s="14" t="str">
        <f t="shared" si="303"/>
        <v xml:space="preserve"> </v>
      </c>
      <c r="CG173" s="14" t="str">
        <f t="shared" si="304"/>
        <v xml:space="preserve">marketing(1), team building(1), negotiation(1), infrastructrue(1), database(2), mobile apps(2), security(3), aesthetics(2), functions(1), interaction(2),  </v>
      </c>
      <c r="CH173" s="14" t="str">
        <f t="shared" si="305"/>
        <v xml:space="preserve"> </v>
      </c>
      <c r="CI173" s="27" t="str">
        <f t="shared" si="555"/>
        <v xml:space="preserve"> </v>
      </c>
      <c r="CJ173" s="14" t="str">
        <f t="shared" si="307"/>
        <v xml:space="preserve">aesthetics(1)
 </v>
      </c>
      <c r="CK173" s="14" t="str">
        <f t="shared" si="308"/>
        <v xml:space="preserve">biz project(1,%),  </v>
      </c>
      <c r="CL173" s="14" t="str">
        <f t="shared" si="309"/>
        <v xml:space="preserve"> </v>
      </c>
      <c r="CM173" s="14" t="str">
        <f t="shared" si="310"/>
        <v xml:space="preserve">marketing(2), team building(1), social media(2), negotiation(1), web(2), infrastructrue(2), database(2), mobile apps(2), security(2), aesthetics(2), functions(1), interaction(2),  </v>
      </c>
      <c r="CN173" s="14" t="str">
        <f t="shared" si="311"/>
        <v xml:space="preserve"> </v>
      </c>
      <c r="CO173" s="27" t="str">
        <f t="shared" si="555"/>
        <v xml:space="preserve"> </v>
      </c>
      <c r="CP173" s="14" t="str">
        <f t="shared" si="313"/>
        <v xml:space="preserve">metal processing(1)
functions(1)
 </v>
      </c>
      <c r="CQ173" s="14" t="str">
        <f t="shared" si="314"/>
        <v xml:space="preserve">biz enhancement(1,50%),  </v>
      </c>
      <c r="CR173" s="14" t="str">
        <f t="shared" si="315"/>
        <v xml:space="preserve">biz enhancement(50)
 </v>
      </c>
      <c r="CS173" s="14" t="str">
        <f t="shared" si="316"/>
        <v xml:space="preserve">metal processing(2), electronics(2), aesthetics(2), functions(2), safety(2),  </v>
      </c>
      <c r="CT173" s="14" t="str">
        <f t="shared" si="317"/>
        <v xml:space="preserve"> </v>
      </c>
      <c r="CU173" s="27" t="str">
        <f t="shared" si="555"/>
        <v xml:space="preserve"> </v>
      </c>
      <c r="CV173" s="14" t="str">
        <f t="shared" si="319"/>
        <v xml:space="preserve">wood processing(1)
aesthetics(1)
interaction(1)
 </v>
      </c>
      <c r="CW173" s="14" t="str">
        <f t="shared" si="320"/>
        <v xml:space="preserve">social project(1,50%),  </v>
      </c>
      <c r="CX173" s="14" t="str">
        <f t="shared" si="321"/>
        <v xml:space="preserve">social project(50)
 </v>
      </c>
      <c r="CY173" s="14" t="str">
        <f t="shared" si="322"/>
        <v xml:space="preserve">sensors(2), wood processing(2), plastic processing(2), electronics(2), aesthetics(2), functions(1), safety(1), interaction(2),  </v>
      </c>
      <c r="CZ173" s="14" t="str">
        <f t="shared" si="323"/>
        <v xml:space="preserve"> </v>
      </c>
      <c r="DA173" s="27" t="str">
        <f t="shared" si="555"/>
        <v xml:space="preserve"> </v>
      </c>
      <c r="DB173" s="14" t="str">
        <f t="shared" si="325"/>
        <v xml:space="preserve">aesthetics(1)
interaction(1)
 </v>
      </c>
      <c r="DC173" s="14" t="str">
        <f t="shared" si="326"/>
        <v xml:space="preserve">social project(1,50%),  </v>
      </c>
      <c r="DD173" s="14" t="str">
        <f t="shared" si="327"/>
        <v xml:space="preserve">social project(50)
 </v>
      </c>
      <c r="DE173" s="14" t="str">
        <f t="shared" si="328"/>
        <v xml:space="preserve">VR&amp;AR(2),  </v>
      </c>
      <c r="DF173" s="14" t="str">
        <f t="shared" si="329"/>
        <v xml:space="preserve"> </v>
      </c>
      <c r="DG173" s="27" t="str">
        <f t="shared" si="555"/>
        <v xml:space="preserve"> </v>
      </c>
      <c r="DH173" s="14" t="str">
        <f t="shared" si="331"/>
        <v xml:space="preserve">wood processing(1)
aesthetics(1)
safety(1)
 </v>
      </c>
      <c r="DI173" s="14" t="str">
        <f t="shared" si="332"/>
        <v xml:space="preserve">social project(1,100%),  </v>
      </c>
      <c r="DJ173" s="14" t="str">
        <f t="shared" si="333"/>
        <v xml:space="preserve">social project(100)
 </v>
      </c>
      <c r="DK173" s="14" t="str">
        <f t="shared" si="334"/>
        <v xml:space="preserve">marketing(2), team building(2), project management(2), social media(2), negotiation(2), sensors(1), wood processing(2), metal processing(2), plastic processing(2), electronics(2), fabric(1), aesthetics(1), functions(2), safety(2), interaction(2),  </v>
      </c>
      <c r="DL173" s="14" t="str">
        <f t="shared" si="335"/>
        <v xml:space="preserve">team building(1,6.25%),  </v>
      </c>
      <c r="DM173" s="27" t="str">
        <f t="shared" si="555"/>
        <v xml:space="preserve">team building(6.25), </v>
      </c>
      <c r="DN173" s="14" t="str">
        <f t="shared" si="337"/>
        <v xml:space="preserve">project management(2)
wood processing(1)
plastic processing(1)
electronics(1)
aesthetics(2)
functions(1)
safety(1)
biz project(1)
 </v>
      </c>
      <c r="DO173" s="14" t="str">
        <f t="shared" si="338"/>
        <v xml:space="preserve"> </v>
      </c>
      <c r="DP173" s="14" t="str">
        <f t="shared" si="339"/>
        <v xml:space="preserve"> </v>
      </c>
      <c r="DQ173" s="14" t="str">
        <f t="shared" si="340"/>
        <v xml:space="preserve">social media(2), wood processing(2), plastic processing(2), electronics(2), aesthetics(2),  </v>
      </c>
      <c r="DR173" s="14" t="str">
        <f t="shared" si="341"/>
        <v xml:space="preserve"> </v>
      </c>
      <c r="DS173" s="27" t="str">
        <f t="shared" si="555"/>
        <v xml:space="preserve"> </v>
      </c>
      <c r="DT173" s="14" t="str">
        <f t="shared" si="343"/>
        <v xml:space="preserve"> </v>
      </c>
      <c r="DU173" s="14" t="str">
        <f t="shared" si="344"/>
        <v xml:space="preserve"> </v>
      </c>
      <c r="DV173" s="14" t="str">
        <f t="shared" si="345"/>
        <v xml:space="preserve"> </v>
      </c>
      <c r="DW173" s="14" t="str">
        <f t="shared" si="346"/>
        <v xml:space="preserve">social media(2),  </v>
      </c>
      <c r="DX173" s="14" t="str">
        <f t="shared" si="347"/>
        <v xml:space="preserve"> </v>
      </c>
      <c r="DY173" s="27" t="str">
        <f t="shared" si="555"/>
        <v xml:space="preserve"> </v>
      </c>
      <c r="DZ173" s="14" t="str">
        <f t="shared" si="349"/>
        <v xml:space="preserve"> </v>
      </c>
      <c r="EA173" s="14" t="str">
        <f t="shared" si="350"/>
        <v xml:space="preserve"> </v>
      </c>
      <c r="EB173" s="14" t="str">
        <f t="shared" si="351"/>
        <v xml:space="preserve"> </v>
      </c>
      <c r="EC173" s="14" t="str">
        <f t="shared" si="352"/>
        <v xml:space="preserve"> </v>
      </c>
      <c r="ED173" s="14" t="str">
        <f t="shared" si="353"/>
        <v xml:space="preserve"> </v>
      </c>
      <c r="EE173" s="27" t="str">
        <f t="shared" si="555"/>
        <v xml:space="preserve"> </v>
      </c>
      <c r="EF173" s="14" t="str">
        <f t="shared" si="355"/>
        <v xml:space="preserve"> </v>
      </c>
      <c r="EG173" s="14" t="str">
        <f t="shared" si="356"/>
        <v xml:space="preserve"> </v>
      </c>
      <c r="EH173" s="14" t="str">
        <f t="shared" si="357"/>
        <v xml:space="preserve"> </v>
      </c>
      <c r="EI173" s="14" t="str">
        <f t="shared" si="358"/>
        <v xml:space="preserve"> </v>
      </c>
      <c r="EJ173" s="14" t="str">
        <f t="shared" si="359"/>
        <v xml:space="preserve"> </v>
      </c>
      <c r="EK173" s="27" t="str">
        <f t="shared" si="555"/>
        <v xml:space="preserve"> </v>
      </c>
      <c r="EL173" s="14" t="str">
        <f t="shared" si="361"/>
        <v xml:space="preserve"> </v>
      </c>
      <c r="EM173" s="14" t="str">
        <f t="shared" si="362"/>
        <v xml:space="preserve"> </v>
      </c>
      <c r="EN173" s="14" t="str">
        <f t="shared" si="363"/>
        <v xml:space="preserve"> </v>
      </c>
      <c r="EO173" s="14" t="str">
        <f t="shared" si="364"/>
        <v xml:space="preserve"> </v>
      </c>
      <c r="EP173" s="14" t="str">
        <f t="shared" si="365"/>
        <v xml:space="preserve"> </v>
      </c>
      <c r="EQ173" s="27" t="str">
        <f t="shared" si="556"/>
        <v xml:space="preserve"> </v>
      </c>
      <c r="ER173" s="14" t="str">
        <f t="shared" si="367"/>
        <v xml:space="preserve"> </v>
      </c>
      <c r="ES173" s="14" t="str">
        <f t="shared" si="368"/>
        <v xml:space="preserve"> </v>
      </c>
      <c r="ET173" s="14" t="str">
        <f t="shared" si="369"/>
        <v xml:space="preserve"> </v>
      </c>
      <c r="EU173" s="14" t="str">
        <f t="shared" si="370"/>
        <v xml:space="preserve"> </v>
      </c>
      <c r="EV173" s="14" t="str">
        <f t="shared" si="371"/>
        <v xml:space="preserve"> </v>
      </c>
      <c r="EW173" s="27" t="str">
        <f t="shared" si="556"/>
        <v xml:space="preserve"> </v>
      </c>
      <c r="EX173" s="14" t="str">
        <f t="shared" si="373"/>
        <v xml:space="preserve"> </v>
      </c>
      <c r="EY173" s="14" t="str">
        <f t="shared" si="374"/>
        <v xml:space="preserve"> </v>
      </c>
      <c r="EZ173" s="14" t="str">
        <f t="shared" si="375"/>
        <v xml:space="preserve"> </v>
      </c>
      <c r="FA173" s="14" t="str">
        <f t="shared" si="376"/>
        <v xml:space="preserve"> </v>
      </c>
      <c r="FB173" s="14" t="str">
        <f t="shared" si="377"/>
        <v xml:space="preserve"> </v>
      </c>
      <c r="FC173" s="27" t="str">
        <f t="shared" si="556"/>
        <v xml:space="preserve"> </v>
      </c>
      <c r="FD173" s="14" t="str">
        <f t="shared" si="379"/>
        <v xml:space="preserve"> </v>
      </c>
      <c r="FE173" s="14" t="str">
        <f t="shared" si="380"/>
        <v xml:space="preserve"> </v>
      </c>
      <c r="FF173" s="14" t="str">
        <f t="shared" si="381"/>
        <v xml:space="preserve"> </v>
      </c>
      <c r="FG173" s="14" t="str">
        <f t="shared" si="382"/>
        <v xml:space="preserve"> </v>
      </c>
      <c r="FH173" s="14" t="str">
        <f t="shared" si="383"/>
        <v xml:space="preserve"> </v>
      </c>
      <c r="FI173" s="27" t="str">
        <f t="shared" si="556"/>
        <v xml:space="preserve"> </v>
      </c>
      <c r="FJ173" s="14" t="str">
        <f t="shared" si="385"/>
        <v xml:space="preserve"> </v>
      </c>
      <c r="FK173" s="14" t="str">
        <f t="shared" si="386"/>
        <v xml:space="preserve"> </v>
      </c>
      <c r="FL173" s="14" t="str">
        <f t="shared" si="387"/>
        <v xml:space="preserve"> </v>
      </c>
      <c r="FM173" s="14" t="str">
        <f t="shared" si="388"/>
        <v xml:space="preserve"> </v>
      </c>
      <c r="FN173" s="14" t="str">
        <f t="shared" si="389"/>
        <v xml:space="preserve"> </v>
      </c>
      <c r="FO173" s="27" t="str">
        <f t="shared" si="556"/>
        <v xml:space="preserve"> </v>
      </c>
      <c r="FP173" s="14" t="str">
        <f t="shared" si="391"/>
        <v xml:space="preserve"> </v>
      </c>
      <c r="FQ173" s="14" t="str">
        <f t="shared" si="392"/>
        <v xml:space="preserve"> </v>
      </c>
      <c r="FR173" s="14" t="str">
        <f t="shared" si="393"/>
        <v xml:space="preserve"> </v>
      </c>
      <c r="FS173" s="14" t="str">
        <f t="shared" si="394"/>
        <v xml:space="preserve"> </v>
      </c>
      <c r="FT173" s="14" t="str">
        <f t="shared" si="395"/>
        <v xml:space="preserve"> </v>
      </c>
      <c r="FU173" s="27" t="str">
        <f t="shared" si="556"/>
        <v xml:space="preserve"> </v>
      </c>
      <c r="FV173" s="14" t="str">
        <f t="shared" si="397"/>
        <v xml:space="preserve"> </v>
      </c>
      <c r="FW173" s="14" t="str">
        <f t="shared" si="398"/>
        <v xml:space="preserve"> </v>
      </c>
      <c r="FX173" s="14" t="str">
        <f t="shared" si="399"/>
        <v xml:space="preserve"> </v>
      </c>
      <c r="FY173" s="14" t="str">
        <f t="shared" si="400"/>
        <v xml:space="preserve"> </v>
      </c>
      <c r="FZ173" s="14" t="str">
        <f t="shared" si="401"/>
        <v xml:space="preserve"> </v>
      </c>
      <c r="GA173" s="27" t="str">
        <f t="shared" si="556"/>
        <v xml:space="preserve"> </v>
      </c>
      <c r="GB173" s="14" t="str">
        <f t="shared" si="403"/>
        <v xml:space="preserve"> </v>
      </c>
      <c r="GC173" s="14" t="str">
        <f t="shared" si="404"/>
        <v xml:space="preserve"> </v>
      </c>
      <c r="GD173" s="14" t="str">
        <f t="shared" si="405"/>
        <v xml:space="preserve"> </v>
      </c>
      <c r="GE173" s="14" t="str">
        <f t="shared" si="406"/>
        <v xml:space="preserve"> </v>
      </c>
      <c r="GF173" s="14" t="str">
        <f t="shared" si="407"/>
        <v xml:space="preserve"> </v>
      </c>
      <c r="GG173" s="27" t="str">
        <f t="shared" si="556"/>
        <v xml:space="preserve"> </v>
      </c>
      <c r="GH173" s="14" t="str">
        <f t="shared" si="409"/>
        <v xml:space="preserve"> </v>
      </c>
      <c r="GI173" s="14" t="str">
        <f t="shared" si="410"/>
        <v xml:space="preserve"> </v>
      </c>
      <c r="GJ173" s="14" t="str">
        <f t="shared" si="411"/>
        <v xml:space="preserve"> </v>
      </c>
      <c r="GK173" s="14" t="str">
        <f t="shared" si="412"/>
        <v xml:space="preserve"> </v>
      </c>
      <c r="GL173" s="14" t="str">
        <f t="shared" si="413"/>
        <v xml:space="preserve"> </v>
      </c>
      <c r="GM173" s="27" t="str">
        <f t="shared" si="556"/>
        <v xml:space="preserve"> </v>
      </c>
      <c r="GN173" s="14" t="str">
        <f t="shared" si="415"/>
        <v xml:space="preserve"> </v>
      </c>
      <c r="GO173" s="14" t="str">
        <f t="shared" si="416"/>
        <v xml:space="preserve"> </v>
      </c>
      <c r="GP173" s="14" t="str">
        <f t="shared" si="417"/>
        <v xml:space="preserve"> </v>
      </c>
      <c r="GQ173" s="14" t="str">
        <f t="shared" si="418"/>
        <v xml:space="preserve"> </v>
      </c>
      <c r="GR173" s="14" t="str">
        <f t="shared" si="419"/>
        <v xml:space="preserve"> </v>
      </c>
      <c r="GS173" s="27" t="str">
        <f t="shared" si="556"/>
        <v xml:space="preserve"> </v>
      </c>
      <c r="GT173" s="14" t="str">
        <f t="shared" si="421"/>
        <v xml:space="preserve"> </v>
      </c>
      <c r="GU173" s="14" t="str">
        <f t="shared" si="422"/>
        <v xml:space="preserve"> </v>
      </c>
      <c r="GV173" s="14" t="str">
        <f t="shared" si="423"/>
        <v xml:space="preserve"> </v>
      </c>
      <c r="GW173" s="14" t="str">
        <f t="shared" si="424"/>
        <v xml:space="preserve"> </v>
      </c>
      <c r="GX173" s="14" t="str">
        <f t="shared" si="425"/>
        <v xml:space="preserve"> </v>
      </c>
      <c r="GY173" s="27" t="str">
        <f t="shared" si="556"/>
        <v xml:space="preserve"> </v>
      </c>
      <c r="GZ173" s="14" t="str">
        <f t="shared" si="427"/>
        <v xml:space="preserve"> </v>
      </c>
      <c r="HA173" s="14" t="str">
        <f t="shared" si="428"/>
        <v xml:space="preserve"> </v>
      </c>
      <c r="HB173" s="14" t="str">
        <f t="shared" si="429"/>
        <v xml:space="preserve"> </v>
      </c>
      <c r="HC173" s="14" t="str">
        <f t="shared" si="430"/>
        <v xml:space="preserve"> </v>
      </c>
      <c r="HD173" s="14" t="str">
        <f t="shared" si="431"/>
        <v xml:space="preserve"> </v>
      </c>
      <c r="HE173" s="27" t="str">
        <f t="shared" si="557"/>
        <v xml:space="preserve"> </v>
      </c>
      <c r="HF173" s="14" t="str">
        <f t="shared" si="433"/>
        <v xml:space="preserve"> </v>
      </c>
      <c r="HG173" s="14" t="str">
        <f t="shared" si="434"/>
        <v xml:space="preserve"> </v>
      </c>
      <c r="HH173" s="14" t="str">
        <f t="shared" si="435"/>
        <v xml:space="preserve"> </v>
      </c>
      <c r="HI173" s="14" t="str">
        <f t="shared" si="436"/>
        <v xml:space="preserve"> </v>
      </c>
      <c r="HJ173" s="14" t="str">
        <f t="shared" si="437"/>
        <v xml:space="preserve"> </v>
      </c>
      <c r="HK173" s="27" t="str">
        <f t="shared" si="557"/>
        <v xml:space="preserve"> </v>
      </c>
      <c r="HL173" s="14" t="str">
        <f t="shared" si="439"/>
        <v xml:space="preserve"> </v>
      </c>
      <c r="HM173" s="14" t="str">
        <f t="shared" si="440"/>
        <v xml:space="preserve"> </v>
      </c>
      <c r="HN173" s="14" t="str">
        <f t="shared" si="441"/>
        <v xml:space="preserve"> </v>
      </c>
      <c r="HO173" s="14" t="str">
        <f t="shared" si="442"/>
        <v xml:space="preserve"> </v>
      </c>
      <c r="HP173" s="14" t="str">
        <f t="shared" si="443"/>
        <v xml:space="preserve"> </v>
      </c>
      <c r="HQ173" s="27" t="str">
        <f t="shared" si="557"/>
        <v xml:space="preserve"> </v>
      </c>
    </row>
    <row r="174" spans="1:225" ht="15.75" customHeight="1">
      <c r="A174" s="7">
        <f t="shared" ref="A174:C174" si="582">A66</f>
        <v>0</v>
      </c>
      <c r="B174" s="7">
        <f t="shared" si="582"/>
        <v>0</v>
      </c>
      <c r="C174" s="7" t="str">
        <f t="shared" si="582"/>
        <v>marketing</v>
      </c>
      <c r="D174" s="14" t="str">
        <f t="shared" si="446"/>
        <v xml:space="preserve"> </v>
      </c>
      <c r="E174" s="14" t="str">
        <f t="shared" si="447"/>
        <v xml:space="preserve"> </v>
      </c>
      <c r="F174" s="14" t="str">
        <f t="shared" si="448"/>
        <v xml:space="preserve"> </v>
      </c>
      <c r="G174" s="14" t="str">
        <f t="shared" si="449"/>
        <v xml:space="preserve"> </v>
      </c>
      <c r="H174" s="14" t="str">
        <f t="shared" si="450"/>
        <v xml:space="preserve"> </v>
      </c>
      <c r="I174" s="27" t="str">
        <f t="shared" ref="I174" si="583">IF(I66="",I175,$C174&amp;"("&amp;I66&amp;"),"&amp;I175)</f>
        <v xml:space="preserve"> </v>
      </c>
      <c r="J174" s="14" t="str">
        <f t="shared" si="229"/>
        <v xml:space="preserve"> </v>
      </c>
      <c r="K174" s="14" t="str">
        <f t="shared" si="230"/>
        <v xml:space="preserve"> </v>
      </c>
      <c r="L174" s="14" t="str">
        <f t="shared" si="231"/>
        <v xml:space="preserve"> </v>
      </c>
      <c r="M174" s="14" t="str">
        <f t="shared" si="232"/>
        <v xml:space="preserve"> </v>
      </c>
      <c r="N174" s="14" t="str">
        <f t="shared" si="233"/>
        <v xml:space="preserve"> </v>
      </c>
      <c r="O174" s="27" t="str">
        <f t="shared" si="554"/>
        <v xml:space="preserve"> </v>
      </c>
      <c r="P174" s="14" t="str">
        <f t="shared" si="235"/>
        <v xml:space="preserve"> </v>
      </c>
      <c r="Q174" s="14" t="str">
        <f t="shared" si="236"/>
        <v xml:space="preserve"> </v>
      </c>
      <c r="R174" s="14" t="str">
        <f t="shared" si="237"/>
        <v xml:space="preserve"> </v>
      </c>
      <c r="S174" s="14" t="str">
        <f t="shared" si="238"/>
        <v xml:space="preserve">team building(0.1),  </v>
      </c>
      <c r="T174" s="14" t="str">
        <f t="shared" si="239"/>
        <v xml:space="preserve">web(-1,6.25%), mobile apps(-1,6.25%), aesthetics(-1,6.25%),  </v>
      </c>
      <c r="U174" s="27" t="str">
        <f t="shared" si="554"/>
        <v xml:space="preserve">web(6.25),mobile apps(6.25),aesthetics(6.25), </v>
      </c>
      <c r="V174" s="14" t="str">
        <f t="shared" si="241"/>
        <v xml:space="preserve"> </v>
      </c>
      <c r="W174" s="14" t="str">
        <f t="shared" si="242"/>
        <v xml:space="preserve"> </v>
      </c>
      <c r="X174" s="14" t="str">
        <f t="shared" si="243"/>
        <v xml:space="preserve"> </v>
      </c>
      <c r="Y174" s="14" t="str">
        <f t="shared" si="244"/>
        <v xml:space="preserve">project management(0.1), negotiation(0.1),  </v>
      </c>
      <c r="Z174" s="14" t="str">
        <f t="shared" si="245"/>
        <v xml:space="preserve"> </v>
      </c>
      <c r="AA174" s="27" t="str">
        <f t="shared" si="554"/>
        <v xml:space="preserve"> </v>
      </c>
      <c r="AB174" s="14" t="str">
        <f t="shared" si="247"/>
        <v xml:space="preserve"> </v>
      </c>
      <c r="AC174" s="14" t="str">
        <f t="shared" si="248"/>
        <v xml:space="preserve"> </v>
      </c>
      <c r="AD174" s="14" t="str">
        <f t="shared" si="249"/>
        <v xml:space="preserve"> </v>
      </c>
      <c r="AE174" s="14" t="str">
        <f t="shared" si="250"/>
        <v xml:space="preserve"> </v>
      </c>
      <c r="AF174" s="14" t="str">
        <f t="shared" si="251"/>
        <v xml:space="preserve"> </v>
      </c>
      <c r="AG174" s="27" t="str">
        <f t="shared" si="554"/>
        <v xml:space="preserve"> </v>
      </c>
      <c r="AH174" s="14" t="str">
        <f t="shared" si="253"/>
        <v xml:space="preserve"> </v>
      </c>
      <c r="AI174" s="14" t="str">
        <f t="shared" si="254"/>
        <v xml:space="preserve"> </v>
      </c>
      <c r="AJ174" s="14" t="str">
        <f t="shared" si="255"/>
        <v xml:space="preserve"> </v>
      </c>
      <c r="AK174" s="14" t="str">
        <f t="shared" si="256"/>
        <v xml:space="preserve">negotiation(1.1),  </v>
      </c>
      <c r="AL174" s="14" t="str">
        <f t="shared" si="257"/>
        <v xml:space="preserve"> </v>
      </c>
      <c r="AM174" s="27" t="str">
        <f t="shared" si="554"/>
        <v xml:space="preserve"> </v>
      </c>
      <c r="AN174" s="14" t="str">
        <f t="shared" si="259"/>
        <v xml:space="preserve"> </v>
      </c>
      <c r="AO174" s="14" t="str">
        <f t="shared" si="260"/>
        <v xml:space="preserve"> </v>
      </c>
      <c r="AP174" s="14" t="str">
        <f t="shared" si="261"/>
        <v xml:space="preserve"> </v>
      </c>
      <c r="AQ174" s="14" t="str">
        <f t="shared" si="262"/>
        <v xml:space="preserve">team building(2.1),  </v>
      </c>
      <c r="AR174" s="14" t="str">
        <f t="shared" si="263"/>
        <v xml:space="preserve"> </v>
      </c>
      <c r="AS174" s="27" t="str">
        <f t="shared" si="554"/>
        <v xml:space="preserve"> </v>
      </c>
      <c r="AT174" s="14" t="str">
        <f t="shared" si="265"/>
        <v xml:space="preserve"> </v>
      </c>
      <c r="AU174" s="14" t="str">
        <f t="shared" si="266"/>
        <v xml:space="preserve"> </v>
      </c>
      <c r="AV174" s="14" t="str">
        <f t="shared" si="267"/>
        <v xml:space="preserve"> </v>
      </c>
      <c r="AW174" s="14" t="str">
        <f t="shared" si="268"/>
        <v xml:space="preserve">team building(2.1),  </v>
      </c>
      <c r="AX174" s="14" t="str">
        <f t="shared" si="269"/>
        <v xml:space="preserve"> </v>
      </c>
      <c r="AY174" s="27" t="str">
        <f t="shared" si="554"/>
        <v xml:space="preserve"> </v>
      </c>
      <c r="AZ174" s="14" t="str">
        <f t="shared" si="271"/>
        <v xml:space="preserve"> </v>
      </c>
      <c r="BA174" s="14" t="str">
        <f t="shared" si="272"/>
        <v xml:space="preserve"> </v>
      </c>
      <c r="BB174" s="14" t="str">
        <f t="shared" si="273"/>
        <v xml:space="preserve"> </v>
      </c>
      <c r="BC174" s="14" t="str">
        <f t="shared" si="274"/>
        <v xml:space="preserve"> </v>
      </c>
      <c r="BD174" s="14" t="str">
        <f t="shared" si="275"/>
        <v xml:space="preserve"> </v>
      </c>
      <c r="BE174" s="27" t="str">
        <f t="shared" si="554"/>
        <v xml:space="preserve"> </v>
      </c>
      <c r="BF174" s="14" t="str">
        <f t="shared" si="277"/>
        <v xml:space="preserve"> </v>
      </c>
      <c r="BG174" s="14" t="str">
        <f t="shared" si="278"/>
        <v xml:space="preserve"> </v>
      </c>
      <c r="BH174" s="14" t="str">
        <f t="shared" si="279"/>
        <v xml:space="preserve"> </v>
      </c>
      <c r="BI174" s="14" t="str">
        <f t="shared" si="280"/>
        <v xml:space="preserve"> </v>
      </c>
      <c r="BJ174" s="14" t="str">
        <f t="shared" si="281"/>
        <v xml:space="preserve"> </v>
      </c>
      <c r="BK174" s="27" t="str">
        <f t="shared" si="554"/>
        <v xml:space="preserve"> </v>
      </c>
      <c r="BL174" s="14" t="str">
        <f t="shared" si="283"/>
        <v xml:space="preserve">aesthetics(1)
 </v>
      </c>
      <c r="BM174" s="14" t="str">
        <f t="shared" si="284"/>
        <v xml:space="preserve">biz enhancement(1,%),  </v>
      </c>
      <c r="BN174" s="14" t="str">
        <f t="shared" si="285"/>
        <v xml:space="preserve"> </v>
      </c>
      <c r="BO174" s="14" t="str">
        <f t="shared" si="286"/>
        <v xml:space="preserve">marketing(1), negotiation(1), aesthetics(2), functions(1), safety(1),  </v>
      </c>
      <c r="BP174" s="14" t="str">
        <f t="shared" si="287"/>
        <v xml:space="preserve"> </v>
      </c>
      <c r="BQ174" s="27" t="str">
        <f t="shared" si="554"/>
        <v xml:space="preserve"> </v>
      </c>
      <c r="BR174" s="14" t="str">
        <f t="shared" si="289"/>
        <v xml:space="preserve">aesthetics(1)
 </v>
      </c>
      <c r="BS174" s="14" t="str">
        <f t="shared" si="290"/>
        <v xml:space="preserve">biz project(1,%),  </v>
      </c>
      <c r="BT174" s="14" t="str">
        <f t="shared" si="291"/>
        <v xml:space="preserve"> </v>
      </c>
      <c r="BU174" s="14" t="str">
        <f t="shared" si="292"/>
        <v xml:space="preserve">marketing(1), negotiation(1), wood processing(1), aesthetics(2),  </v>
      </c>
      <c r="BV174" s="14" t="str">
        <f t="shared" si="293"/>
        <v xml:space="preserve"> </v>
      </c>
      <c r="BW174" s="27" t="str">
        <f t="shared" si="554"/>
        <v xml:space="preserve"> </v>
      </c>
      <c r="BX174" s="14" t="str">
        <f t="shared" si="295"/>
        <v xml:space="preserve">aesthetics(1)
interaction(1)
 </v>
      </c>
      <c r="BY174" s="14" t="str">
        <f t="shared" si="296"/>
        <v xml:space="preserve">biz project(1,%),  </v>
      </c>
      <c r="BZ174" s="14" t="str">
        <f t="shared" si="297"/>
        <v xml:space="preserve"> </v>
      </c>
      <c r="CA174" s="14" t="str">
        <f t="shared" si="298"/>
        <v xml:space="preserve">marketing(1), team building(1), social media(1), negotiation(1), web(2), infrastructrue(2), database(2), security(3), aesthetics(2), functions(1), interaction(2),  </v>
      </c>
      <c r="CB174" s="14" t="str">
        <f t="shared" si="299"/>
        <v xml:space="preserve"> </v>
      </c>
      <c r="CC174" s="27" t="str">
        <f t="shared" si="555"/>
        <v xml:space="preserve"> </v>
      </c>
      <c r="CD174" s="14" t="str">
        <f t="shared" si="301"/>
        <v xml:space="preserve">aesthetics(1)
 </v>
      </c>
      <c r="CE174" s="14" t="str">
        <f t="shared" si="302"/>
        <v xml:space="preserve">biz project(1,%),  </v>
      </c>
      <c r="CF174" s="14" t="str">
        <f t="shared" si="303"/>
        <v xml:space="preserve"> </v>
      </c>
      <c r="CG174" s="14" t="str">
        <f t="shared" si="304"/>
        <v xml:space="preserve">marketing(1), team building(1), negotiation(1), infrastructrue(1), database(2), mobile apps(2), security(3), aesthetics(2), functions(1), interaction(2),  </v>
      </c>
      <c r="CH174" s="14" t="str">
        <f t="shared" si="305"/>
        <v xml:space="preserve"> </v>
      </c>
      <c r="CI174" s="27" t="str">
        <f t="shared" si="555"/>
        <v xml:space="preserve"> </v>
      </c>
      <c r="CJ174" s="14" t="str">
        <f t="shared" si="307"/>
        <v xml:space="preserve">aesthetics(1)
 </v>
      </c>
      <c r="CK174" s="14" t="str">
        <f t="shared" si="308"/>
        <v xml:space="preserve">biz project(1,%),  </v>
      </c>
      <c r="CL174" s="14" t="str">
        <f t="shared" si="309"/>
        <v xml:space="preserve"> </v>
      </c>
      <c r="CM174" s="14" t="str">
        <f t="shared" si="310"/>
        <v xml:space="preserve">marketing(2), team building(1), social media(2), negotiation(1), web(2), infrastructrue(2), database(2), mobile apps(2), security(2), aesthetics(2), functions(1), interaction(2),  </v>
      </c>
      <c r="CN174" s="14" t="str">
        <f t="shared" si="311"/>
        <v xml:space="preserve"> </v>
      </c>
      <c r="CO174" s="27" t="str">
        <f t="shared" si="555"/>
        <v xml:space="preserve"> </v>
      </c>
      <c r="CP174" s="14" t="str">
        <f t="shared" si="313"/>
        <v xml:space="preserve">metal processing(1)
functions(1)
 </v>
      </c>
      <c r="CQ174" s="14" t="str">
        <f t="shared" si="314"/>
        <v xml:space="preserve">biz enhancement(1,50%),  </v>
      </c>
      <c r="CR174" s="14" t="str">
        <f t="shared" si="315"/>
        <v xml:space="preserve">biz enhancement(50)
 </v>
      </c>
      <c r="CS174" s="14" t="str">
        <f t="shared" si="316"/>
        <v xml:space="preserve">metal processing(2), electronics(2), aesthetics(2), functions(2), safety(2),  </v>
      </c>
      <c r="CT174" s="14" t="str">
        <f t="shared" si="317"/>
        <v xml:space="preserve"> </v>
      </c>
      <c r="CU174" s="27" t="str">
        <f t="shared" si="555"/>
        <v xml:space="preserve"> </v>
      </c>
      <c r="CV174" s="14" t="str">
        <f t="shared" si="319"/>
        <v xml:space="preserve">wood processing(1)
aesthetics(1)
interaction(1)
 </v>
      </c>
      <c r="CW174" s="14" t="str">
        <f t="shared" si="320"/>
        <v xml:space="preserve">social project(1,50%),  </v>
      </c>
      <c r="CX174" s="14" t="str">
        <f t="shared" si="321"/>
        <v xml:space="preserve">social project(50)
 </v>
      </c>
      <c r="CY174" s="14" t="str">
        <f t="shared" si="322"/>
        <v xml:space="preserve">sensors(2), wood processing(2), plastic processing(2), electronics(2), aesthetics(2), functions(1), safety(1), interaction(2),  </v>
      </c>
      <c r="CZ174" s="14" t="str">
        <f t="shared" si="323"/>
        <v xml:space="preserve"> </v>
      </c>
      <c r="DA174" s="27" t="str">
        <f t="shared" si="555"/>
        <v xml:space="preserve"> </v>
      </c>
      <c r="DB174" s="14" t="str">
        <f t="shared" si="325"/>
        <v xml:space="preserve">aesthetics(1)
interaction(1)
 </v>
      </c>
      <c r="DC174" s="14" t="str">
        <f t="shared" si="326"/>
        <v xml:space="preserve">social project(1,50%),  </v>
      </c>
      <c r="DD174" s="14" t="str">
        <f t="shared" si="327"/>
        <v xml:space="preserve">social project(50)
 </v>
      </c>
      <c r="DE174" s="14" t="str">
        <f t="shared" si="328"/>
        <v xml:space="preserve">VR&amp;AR(2),  </v>
      </c>
      <c r="DF174" s="14" t="str">
        <f t="shared" si="329"/>
        <v xml:space="preserve"> </v>
      </c>
      <c r="DG174" s="27" t="str">
        <f t="shared" si="555"/>
        <v xml:space="preserve"> </v>
      </c>
      <c r="DH174" s="14" t="str">
        <f t="shared" si="331"/>
        <v xml:space="preserve">wood processing(1)
aesthetics(1)
safety(1)
 </v>
      </c>
      <c r="DI174" s="14" t="str">
        <f t="shared" si="332"/>
        <v xml:space="preserve">social project(1,100%),  </v>
      </c>
      <c r="DJ174" s="14" t="str">
        <f t="shared" si="333"/>
        <v xml:space="preserve">social project(100)
 </v>
      </c>
      <c r="DK174" s="14" t="str">
        <f t="shared" si="334"/>
        <v xml:space="preserve">marketing(2), team building(2), project management(2), social media(2), negotiation(2), sensors(1), wood processing(2), metal processing(2), plastic processing(2), electronics(2), fabric(1), aesthetics(1), functions(2), safety(2), interaction(2),  </v>
      </c>
      <c r="DL174" s="14" t="str">
        <f t="shared" si="335"/>
        <v xml:space="preserve">team building(1,6.25%),  </v>
      </c>
      <c r="DM174" s="27" t="str">
        <f t="shared" si="555"/>
        <v xml:space="preserve">team building(6.25), </v>
      </c>
      <c r="DN174" s="14" t="str">
        <f t="shared" si="337"/>
        <v xml:space="preserve">project management(2)
wood processing(1)
plastic processing(1)
electronics(1)
aesthetics(2)
functions(1)
safety(1)
biz project(1)
 </v>
      </c>
      <c r="DO174" s="14" t="str">
        <f t="shared" si="338"/>
        <v xml:space="preserve"> </v>
      </c>
      <c r="DP174" s="14" t="str">
        <f t="shared" si="339"/>
        <v xml:space="preserve"> </v>
      </c>
      <c r="DQ174" s="14" t="str">
        <f t="shared" si="340"/>
        <v xml:space="preserve">social media(2), wood processing(2), plastic processing(2), electronics(2), aesthetics(2),  </v>
      </c>
      <c r="DR174" s="14" t="str">
        <f t="shared" si="341"/>
        <v xml:space="preserve"> </v>
      </c>
      <c r="DS174" s="27" t="str">
        <f t="shared" si="555"/>
        <v xml:space="preserve"> </v>
      </c>
      <c r="DT174" s="14" t="str">
        <f t="shared" si="343"/>
        <v xml:space="preserve"> </v>
      </c>
      <c r="DU174" s="14" t="str">
        <f t="shared" si="344"/>
        <v xml:space="preserve"> </v>
      </c>
      <c r="DV174" s="14" t="str">
        <f t="shared" si="345"/>
        <v xml:space="preserve"> </v>
      </c>
      <c r="DW174" s="14" t="str">
        <f t="shared" si="346"/>
        <v xml:space="preserve">social media(2),  </v>
      </c>
      <c r="DX174" s="14" t="str">
        <f t="shared" si="347"/>
        <v xml:space="preserve"> </v>
      </c>
      <c r="DY174" s="27" t="str">
        <f t="shared" si="555"/>
        <v xml:space="preserve"> </v>
      </c>
      <c r="DZ174" s="14" t="str">
        <f t="shared" si="349"/>
        <v xml:space="preserve"> </v>
      </c>
      <c r="EA174" s="14" t="str">
        <f t="shared" si="350"/>
        <v xml:space="preserve"> </v>
      </c>
      <c r="EB174" s="14" t="str">
        <f t="shared" si="351"/>
        <v xml:space="preserve"> </v>
      </c>
      <c r="EC174" s="14" t="str">
        <f t="shared" si="352"/>
        <v xml:space="preserve"> </v>
      </c>
      <c r="ED174" s="14" t="str">
        <f t="shared" si="353"/>
        <v xml:space="preserve"> </v>
      </c>
      <c r="EE174" s="27" t="str">
        <f t="shared" si="555"/>
        <v xml:space="preserve"> </v>
      </c>
      <c r="EF174" s="14" t="str">
        <f t="shared" si="355"/>
        <v xml:space="preserve"> </v>
      </c>
      <c r="EG174" s="14" t="str">
        <f t="shared" si="356"/>
        <v xml:space="preserve"> </v>
      </c>
      <c r="EH174" s="14" t="str">
        <f t="shared" si="357"/>
        <v xml:space="preserve"> </v>
      </c>
      <c r="EI174" s="14" t="str">
        <f t="shared" si="358"/>
        <v xml:space="preserve"> </v>
      </c>
      <c r="EJ174" s="14" t="str">
        <f t="shared" si="359"/>
        <v xml:space="preserve"> </v>
      </c>
      <c r="EK174" s="27" t="str">
        <f t="shared" si="555"/>
        <v xml:space="preserve"> </v>
      </c>
      <c r="EL174" s="14" t="str">
        <f t="shared" si="361"/>
        <v xml:space="preserve"> </v>
      </c>
      <c r="EM174" s="14" t="str">
        <f t="shared" si="362"/>
        <v xml:space="preserve"> </v>
      </c>
      <c r="EN174" s="14" t="str">
        <f t="shared" si="363"/>
        <v xml:space="preserve"> </v>
      </c>
      <c r="EO174" s="14" t="str">
        <f t="shared" si="364"/>
        <v xml:space="preserve"> </v>
      </c>
      <c r="EP174" s="14" t="str">
        <f t="shared" si="365"/>
        <v xml:space="preserve"> </v>
      </c>
      <c r="EQ174" s="27" t="str">
        <f t="shared" si="556"/>
        <v xml:space="preserve"> </v>
      </c>
      <c r="ER174" s="14" t="str">
        <f t="shared" si="367"/>
        <v xml:space="preserve"> </v>
      </c>
      <c r="ES174" s="14" t="str">
        <f t="shared" si="368"/>
        <v xml:space="preserve"> </v>
      </c>
      <c r="ET174" s="14" t="str">
        <f t="shared" si="369"/>
        <v xml:space="preserve"> </v>
      </c>
      <c r="EU174" s="14" t="str">
        <f t="shared" si="370"/>
        <v xml:space="preserve"> </v>
      </c>
      <c r="EV174" s="14" t="str">
        <f t="shared" si="371"/>
        <v xml:space="preserve"> </v>
      </c>
      <c r="EW174" s="27" t="str">
        <f t="shared" si="556"/>
        <v xml:space="preserve"> </v>
      </c>
      <c r="EX174" s="14" t="str">
        <f t="shared" si="373"/>
        <v xml:space="preserve"> </v>
      </c>
      <c r="EY174" s="14" t="str">
        <f t="shared" si="374"/>
        <v xml:space="preserve"> </v>
      </c>
      <c r="EZ174" s="14" t="str">
        <f t="shared" si="375"/>
        <v xml:space="preserve"> </v>
      </c>
      <c r="FA174" s="14" t="str">
        <f t="shared" si="376"/>
        <v xml:space="preserve"> </v>
      </c>
      <c r="FB174" s="14" t="str">
        <f t="shared" si="377"/>
        <v xml:space="preserve"> </v>
      </c>
      <c r="FC174" s="27" t="str">
        <f t="shared" si="556"/>
        <v xml:space="preserve"> </v>
      </c>
      <c r="FD174" s="14" t="str">
        <f t="shared" si="379"/>
        <v xml:space="preserve"> </v>
      </c>
      <c r="FE174" s="14" t="str">
        <f t="shared" si="380"/>
        <v xml:space="preserve"> </v>
      </c>
      <c r="FF174" s="14" t="str">
        <f t="shared" si="381"/>
        <v xml:space="preserve"> </v>
      </c>
      <c r="FG174" s="14" t="str">
        <f t="shared" si="382"/>
        <v xml:space="preserve"> </v>
      </c>
      <c r="FH174" s="14" t="str">
        <f t="shared" si="383"/>
        <v xml:space="preserve"> </v>
      </c>
      <c r="FI174" s="27" t="str">
        <f t="shared" si="556"/>
        <v xml:space="preserve"> </v>
      </c>
      <c r="FJ174" s="14" t="str">
        <f t="shared" si="385"/>
        <v xml:space="preserve"> </v>
      </c>
      <c r="FK174" s="14" t="str">
        <f t="shared" si="386"/>
        <v xml:space="preserve"> </v>
      </c>
      <c r="FL174" s="14" t="str">
        <f t="shared" si="387"/>
        <v xml:space="preserve"> </v>
      </c>
      <c r="FM174" s="14" t="str">
        <f t="shared" si="388"/>
        <v xml:space="preserve"> </v>
      </c>
      <c r="FN174" s="14" t="str">
        <f t="shared" si="389"/>
        <v xml:space="preserve"> </v>
      </c>
      <c r="FO174" s="27" t="str">
        <f t="shared" si="556"/>
        <v xml:space="preserve"> </v>
      </c>
      <c r="FP174" s="14" t="str">
        <f t="shared" si="391"/>
        <v xml:space="preserve"> </v>
      </c>
      <c r="FQ174" s="14" t="str">
        <f t="shared" si="392"/>
        <v xml:space="preserve"> </v>
      </c>
      <c r="FR174" s="14" t="str">
        <f t="shared" si="393"/>
        <v xml:space="preserve"> </v>
      </c>
      <c r="FS174" s="14" t="str">
        <f t="shared" si="394"/>
        <v xml:space="preserve"> </v>
      </c>
      <c r="FT174" s="14" t="str">
        <f t="shared" si="395"/>
        <v xml:space="preserve"> </v>
      </c>
      <c r="FU174" s="27" t="str">
        <f t="shared" si="556"/>
        <v xml:space="preserve"> </v>
      </c>
      <c r="FV174" s="14" t="str">
        <f t="shared" si="397"/>
        <v xml:space="preserve"> </v>
      </c>
      <c r="FW174" s="14" t="str">
        <f t="shared" si="398"/>
        <v xml:space="preserve"> </v>
      </c>
      <c r="FX174" s="14" t="str">
        <f t="shared" si="399"/>
        <v xml:space="preserve"> </v>
      </c>
      <c r="FY174" s="14" t="str">
        <f t="shared" si="400"/>
        <v xml:space="preserve"> </v>
      </c>
      <c r="FZ174" s="14" t="str">
        <f t="shared" si="401"/>
        <v xml:space="preserve"> </v>
      </c>
      <c r="GA174" s="27" t="str">
        <f t="shared" si="556"/>
        <v xml:space="preserve"> </v>
      </c>
      <c r="GB174" s="14" t="str">
        <f t="shared" si="403"/>
        <v xml:space="preserve"> </v>
      </c>
      <c r="GC174" s="14" t="str">
        <f t="shared" si="404"/>
        <v xml:space="preserve"> </v>
      </c>
      <c r="GD174" s="14" t="str">
        <f t="shared" si="405"/>
        <v xml:space="preserve"> </v>
      </c>
      <c r="GE174" s="14" t="str">
        <f t="shared" si="406"/>
        <v xml:space="preserve"> </v>
      </c>
      <c r="GF174" s="14" t="str">
        <f t="shared" si="407"/>
        <v xml:space="preserve"> </v>
      </c>
      <c r="GG174" s="27" t="str">
        <f t="shared" si="556"/>
        <v xml:space="preserve"> </v>
      </c>
      <c r="GH174" s="14" t="str">
        <f t="shared" si="409"/>
        <v xml:space="preserve"> </v>
      </c>
      <c r="GI174" s="14" t="str">
        <f t="shared" si="410"/>
        <v xml:space="preserve"> </v>
      </c>
      <c r="GJ174" s="14" t="str">
        <f t="shared" si="411"/>
        <v xml:space="preserve"> </v>
      </c>
      <c r="GK174" s="14" t="str">
        <f t="shared" si="412"/>
        <v xml:space="preserve"> </v>
      </c>
      <c r="GL174" s="14" t="str">
        <f t="shared" si="413"/>
        <v xml:space="preserve"> </v>
      </c>
      <c r="GM174" s="27" t="str">
        <f t="shared" si="556"/>
        <v xml:space="preserve"> </v>
      </c>
      <c r="GN174" s="14" t="str">
        <f t="shared" si="415"/>
        <v xml:space="preserve"> </v>
      </c>
      <c r="GO174" s="14" t="str">
        <f t="shared" si="416"/>
        <v xml:space="preserve"> </v>
      </c>
      <c r="GP174" s="14" t="str">
        <f t="shared" si="417"/>
        <v xml:space="preserve"> </v>
      </c>
      <c r="GQ174" s="14" t="str">
        <f t="shared" si="418"/>
        <v xml:space="preserve"> </v>
      </c>
      <c r="GR174" s="14" t="str">
        <f t="shared" si="419"/>
        <v xml:space="preserve"> </v>
      </c>
      <c r="GS174" s="27" t="str">
        <f t="shared" si="556"/>
        <v xml:space="preserve"> </v>
      </c>
      <c r="GT174" s="14" t="str">
        <f t="shared" si="421"/>
        <v xml:space="preserve"> </v>
      </c>
      <c r="GU174" s="14" t="str">
        <f t="shared" si="422"/>
        <v xml:space="preserve"> </v>
      </c>
      <c r="GV174" s="14" t="str">
        <f t="shared" si="423"/>
        <v xml:space="preserve"> </v>
      </c>
      <c r="GW174" s="14" t="str">
        <f t="shared" si="424"/>
        <v xml:space="preserve"> </v>
      </c>
      <c r="GX174" s="14" t="str">
        <f t="shared" si="425"/>
        <v xml:space="preserve"> </v>
      </c>
      <c r="GY174" s="27" t="str">
        <f t="shared" si="556"/>
        <v xml:space="preserve"> </v>
      </c>
      <c r="GZ174" s="14" t="str">
        <f t="shared" si="427"/>
        <v xml:space="preserve"> </v>
      </c>
      <c r="HA174" s="14" t="str">
        <f t="shared" si="428"/>
        <v xml:space="preserve"> </v>
      </c>
      <c r="HB174" s="14" t="str">
        <f t="shared" si="429"/>
        <v xml:space="preserve"> </v>
      </c>
      <c r="HC174" s="14" t="str">
        <f t="shared" si="430"/>
        <v xml:space="preserve"> </v>
      </c>
      <c r="HD174" s="14" t="str">
        <f t="shared" si="431"/>
        <v xml:space="preserve"> </v>
      </c>
      <c r="HE174" s="27" t="str">
        <f t="shared" si="557"/>
        <v xml:space="preserve"> </v>
      </c>
      <c r="HF174" s="14" t="str">
        <f t="shared" si="433"/>
        <v xml:space="preserve"> </v>
      </c>
      <c r="HG174" s="14" t="str">
        <f t="shared" si="434"/>
        <v xml:space="preserve"> </v>
      </c>
      <c r="HH174" s="14" t="str">
        <f t="shared" si="435"/>
        <v xml:space="preserve"> </v>
      </c>
      <c r="HI174" s="14" t="str">
        <f t="shared" si="436"/>
        <v xml:space="preserve"> </v>
      </c>
      <c r="HJ174" s="14" t="str">
        <f t="shared" si="437"/>
        <v xml:space="preserve"> </v>
      </c>
      <c r="HK174" s="27" t="str">
        <f t="shared" si="557"/>
        <v xml:space="preserve"> </v>
      </c>
      <c r="HL174" s="14" t="str">
        <f t="shared" si="439"/>
        <v xml:space="preserve"> </v>
      </c>
      <c r="HM174" s="14" t="str">
        <f t="shared" si="440"/>
        <v xml:space="preserve"> </v>
      </c>
      <c r="HN174" s="14" t="str">
        <f t="shared" si="441"/>
        <v xml:space="preserve"> </v>
      </c>
      <c r="HO174" s="14" t="str">
        <f t="shared" si="442"/>
        <v xml:space="preserve"> </v>
      </c>
      <c r="HP174" s="14" t="str">
        <f t="shared" si="443"/>
        <v xml:space="preserve"> </v>
      </c>
      <c r="HQ174" s="27" t="str">
        <f t="shared" si="557"/>
        <v xml:space="preserve"> </v>
      </c>
    </row>
    <row r="175" spans="1:225" ht="15.75" customHeight="1">
      <c r="A175" s="7">
        <f t="shared" ref="A175:C175" si="584">A67</f>
        <v>0</v>
      </c>
      <c r="B175" s="7">
        <f t="shared" si="584"/>
        <v>0</v>
      </c>
      <c r="C175" s="7" t="str">
        <f t="shared" si="584"/>
        <v>team building</v>
      </c>
      <c r="D175" s="14" t="str">
        <f t="shared" si="446"/>
        <v xml:space="preserve"> </v>
      </c>
      <c r="E175" s="14" t="str">
        <f t="shared" si="447"/>
        <v xml:space="preserve"> </v>
      </c>
      <c r="F175" s="14" t="str">
        <f t="shared" si="448"/>
        <v xml:space="preserve"> </v>
      </c>
      <c r="G175" s="14" t="str">
        <f t="shared" si="449"/>
        <v xml:space="preserve"> </v>
      </c>
      <c r="H175" s="14" t="str">
        <f t="shared" si="450"/>
        <v xml:space="preserve"> </v>
      </c>
      <c r="I175" s="27" t="str">
        <f t="shared" ref="I175" si="585">IF(I67="",I176,$C175&amp;"("&amp;I67&amp;"),"&amp;I176)</f>
        <v xml:space="preserve"> </v>
      </c>
      <c r="J175" s="14" t="str">
        <f t="shared" si="229"/>
        <v xml:space="preserve"> </v>
      </c>
      <c r="K175" s="14" t="str">
        <f t="shared" si="230"/>
        <v xml:space="preserve"> </v>
      </c>
      <c r="L175" s="14" t="str">
        <f t="shared" si="231"/>
        <v xml:space="preserve"> </v>
      </c>
      <c r="M175" s="14" t="str">
        <f t="shared" si="232"/>
        <v xml:space="preserve"> </v>
      </c>
      <c r="N175" s="14" t="str">
        <f t="shared" si="233"/>
        <v xml:space="preserve"> </v>
      </c>
      <c r="O175" s="27" t="str">
        <f t="shared" si="554"/>
        <v xml:space="preserve"> </v>
      </c>
      <c r="P175" s="14" t="str">
        <f t="shared" si="235"/>
        <v xml:space="preserve"> </v>
      </c>
      <c r="Q175" s="14" t="str">
        <f t="shared" si="236"/>
        <v xml:space="preserve"> </v>
      </c>
      <c r="R175" s="14" t="str">
        <f t="shared" si="237"/>
        <v xml:space="preserve"> </v>
      </c>
      <c r="S175" s="14" t="str">
        <f t="shared" si="238"/>
        <v xml:space="preserve">team building(0.1),  </v>
      </c>
      <c r="T175" s="14" t="str">
        <f t="shared" si="239"/>
        <v xml:space="preserve">web(-1,6.25%), mobile apps(-1,6.25%), aesthetics(-1,6.25%),  </v>
      </c>
      <c r="U175" s="27" t="str">
        <f t="shared" si="554"/>
        <v xml:space="preserve">web(6.25),mobile apps(6.25),aesthetics(6.25), </v>
      </c>
      <c r="V175" s="14" t="str">
        <f t="shared" si="241"/>
        <v xml:space="preserve"> </v>
      </c>
      <c r="W175" s="14" t="str">
        <f t="shared" si="242"/>
        <v xml:space="preserve"> </v>
      </c>
      <c r="X175" s="14" t="str">
        <f t="shared" si="243"/>
        <v xml:space="preserve"> </v>
      </c>
      <c r="Y175" s="14" t="str">
        <f t="shared" si="244"/>
        <v xml:space="preserve">project management(0.1), negotiation(0.1),  </v>
      </c>
      <c r="Z175" s="14" t="str">
        <f t="shared" si="245"/>
        <v xml:space="preserve"> </v>
      </c>
      <c r="AA175" s="27" t="str">
        <f t="shared" si="554"/>
        <v xml:space="preserve"> </v>
      </c>
      <c r="AB175" s="14" t="str">
        <f t="shared" si="247"/>
        <v xml:space="preserve"> </v>
      </c>
      <c r="AC175" s="14" t="str">
        <f t="shared" si="248"/>
        <v xml:space="preserve"> </v>
      </c>
      <c r="AD175" s="14" t="str">
        <f t="shared" si="249"/>
        <v xml:space="preserve"> </v>
      </c>
      <c r="AE175" s="14" t="str">
        <f t="shared" si="250"/>
        <v xml:space="preserve"> </v>
      </c>
      <c r="AF175" s="14" t="str">
        <f t="shared" si="251"/>
        <v xml:space="preserve"> </v>
      </c>
      <c r="AG175" s="27" t="str">
        <f t="shared" si="554"/>
        <v xml:space="preserve"> </v>
      </c>
      <c r="AH175" s="14" t="str">
        <f t="shared" si="253"/>
        <v xml:space="preserve"> </v>
      </c>
      <c r="AI175" s="14" t="str">
        <f t="shared" si="254"/>
        <v xml:space="preserve"> </v>
      </c>
      <c r="AJ175" s="14" t="str">
        <f t="shared" si="255"/>
        <v xml:space="preserve"> </v>
      </c>
      <c r="AK175" s="14" t="str">
        <f t="shared" si="256"/>
        <v xml:space="preserve">negotiation(1.1),  </v>
      </c>
      <c r="AL175" s="14" t="str">
        <f t="shared" si="257"/>
        <v xml:space="preserve"> </v>
      </c>
      <c r="AM175" s="27" t="str">
        <f t="shared" si="554"/>
        <v xml:space="preserve"> </v>
      </c>
      <c r="AN175" s="14" t="str">
        <f t="shared" si="259"/>
        <v xml:space="preserve"> </v>
      </c>
      <c r="AO175" s="14" t="str">
        <f t="shared" si="260"/>
        <v xml:space="preserve"> </v>
      </c>
      <c r="AP175" s="14" t="str">
        <f t="shared" si="261"/>
        <v xml:space="preserve"> </v>
      </c>
      <c r="AQ175" s="14" t="str">
        <f t="shared" si="262"/>
        <v xml:space="preserve">team building(2.1),  </v>
      </c>
      <c r="AR175" s="14" t="str">
        <f t="shared" si="263"/>
        <v xml:space="preserve"> </v>
      </c>
      <c r="AS175" s="27" t="str">
        <f t="shared" si="554"/>
        <v xml:space="preserve"> </v>
      </c>
      <c r="AT175" s="14" t="str">
        <f t="shared" si="265"/>
        <v xml:space="preserve"> </v>
      </c>
      <c r="AU175" s="14" t="str">
        <f t="shared" si="266"/>
        <v xml:space="preserve"> </v>
      </c>
      <c r="AV175" s="14" t="str">
        <f t="shared" si="267"/>
        <v xml:space="preserve"> </v>
      </c>
      <c r="AW175" s="14" t="str">
        <f t="shared" si="268"/>
        <v xml:space="preserve">team building(2.1),  </v>
      </c>
      <c r="AX175" s="14" t="str">
        <f t="shared" si="269"/>
        <v xml:space="preserve"> </v>
      </c>
      <c r="AY175" s="27" t="str">
        <f t="shared" si="554"/>
        <v xml:space="preserve"> </v>
      </c>
      <c r="AZ175" s="14" t="str">
        <f t="shared" si="271"/>
        <v xml:space="preserve"> </v>
      </c>
      <c r="BA175" s="14" t="str">
        <f t="shared" si="272"/>
        <v xml:space="preserve"> </v>
      </c>
      <c r="BB175" s="14" t="str">
        <f t="shared" si="273"/>
        <v xml:space="preserve"> </v>
      </c>
      <c r="BC175" s="14" t="str">
        <f t="shared" si="274"/>
        <v xml:space="preserve"> </v>
      </c>
      <c r="BD175" s="14" t="str">
        <f t="shared" si="275"/>
        <v xml:space="preserve"> </v>
      </c>
      <c r="BE175" s="27" t="str">
        <f t="shared" si="554"/>
        <v xml:space="preserve"> </v>
      </c>
      <c r="BF175" s="14" t="str">
        <f t="shared" si="277"/>
        <v xml:space="preserve"> </v>
      </c>
      <c r="BG175" s="14" t="str">
        <f t="shared" si="278"/>
        <v xml:space="preserve"> </v>
      </c>
      <c r="BH175" s="14" t="str">
        <f t="shared" si="279"/>
        <v xml:space="preserve"> </v>
      </c>
      <c r="BI175" s="14" t="str">
        <f t="shared" si="280"/>
        <v xml:space="preserve"> </v>
      </c>
      <c r="BJ175" s="14" t="str">
        <f t="shared" si="281"/>
        <v xml:space="preserve"> </v>
      </c>
      <c r="BK175" s="27" t="str">
        <f t="shared" si="554"/>
        <v xml:space="preserve"> </v>
      </c>
      <c r="BL175" s="14" t="str">
        <f t="shared" si="283"/>
        <v xml:space="preserve">aesthetics(1)
 </v>
      </c>
      <c r="BM175" s="14" t="str">
        <f t="shared" si="284"/>
        <v xml:space="preserve">biz enhancement(1,%),  </v>
      </c>
      <c r="BN175" s="14" t="str">
        <f t="shared" si="285"/>
        <v xml:space="preserve"> </v>
      </c>
      <c r="BO175" s="14" t="str">
        <f t="shared" si="286"/>
        <v xml:space="preserve">negotiation(1), aesthetics(2), functions(1), safety(1),  </v>
      </c>
      <c r="BP175" s="14" t="str">
        <f t="shared" si="287"/>
        <v xml:space="preserve"> </v>
      </c>
      <c r="BQ175" s="27" t="str">
        <f t="shared" si="554"/>
        <v xml:space="preserve"> </v>
      </c>
      <c r="BR175" s="14" t="str">
        <f t="shared" si="289"/>
        <v xml:space="preserve">aesthetics(1)
 </v>
      </c>
      <c r="BS175" s="14" t="str">
        <f t="shared" si="290"/>
        <v xml:space="preserve">biz project(1,%),  </v>
      </c>
      <c r="BT175" s="14" t="str">
        <f t="shared" si="291"/>
        <v xml:space="preserve"> </v>
      </c>
      <c r="BU175" s="14" t="str">
        <f t="shared" si="292"/>
        <v xml:space="preserve">negotiation(1), wood processing(1), aesthetics(2),  </v>
      </c>
      <c r="BV175" s="14" t="str">
        <f t="shared" si="293"/>
        <v xml:space="preserve"> </v>
      </c>
      <c r="BW175" s="27" t="str">
        <f t="shared" si="554"/>
        <v xml:space="preserve"> </v>
      </c>
      <c r="BX175" s="14" t="str">
        <f t="shared" si="295"/>
        <v xml:space="preserve">aesthetics(1)
interaction(1)
 </v>
      </c>
      <c r="BY175" s="14" t="str">
        <f t="shared" si="296"/>
        <v xml:space="preserve">biz project(1,%),  </v>
      </c>
      <c r="BZ175" s="14" t="str">
        <f t="shared" si="297"/>
        <v xml:space="preserve"> </v>
      </c>
      <c r="CA175" s="14" t="str">
        <f t="shared" si="298"/>
        <v xml:space="preserve">team building(1), social media(1), negotiation(1), web(2), infrastructrue(2), database(2), security(3), aesthetics(2), functions(1), interaction(2),  </v>
      </c>
      <c r="CB175" s="14" t="str">
        <f t="shared" si="299"/>
        <v xml:space="preserve"> </v>
      </c>
      <c r="CC175" s="27" t="str">
        <f t="shared" si="555"/>
        <v xml:space="preserve"> </v>
      </c>
      <c r="CD175" s="14" t="str">
        <f t="shared" si="301"/>
        <v xml:space="preserve">aesthetics(1)
 </v>
      </c>
      <c r="CE175" s="14" t="str">
        <f t="shared" si="302"/>
        <v xml:space="preserve">biz project(1,%),  </v>
      </c>
      <c r="CF175" s="14" t="str">
        <f t="shared" si="303"/>
        <v xml:space="preserve"> </v>
      </c>
      <c r="CG175" s="14" t="str">
        <f t="shared" si="304"/>
        <v xml:space="preserve">team building(1), negotiation(1), infrastructrue(1), database(2), mobile apps(2), security(3), aesthetics(2), functions(1), interaction(2),  </v>
      </c>
      <c r="CH175" s="14" t="str">
        <f t="shared" si="305"/>
        <v xml:space="preserve"> </v>
      </c>
      <c r="CI175" s="27" t="str">
        <f t="shared" si="555"/>
        <v xml:space="preserve"> </v>
      </c>
      <c r="CJ175" s="14" t="str">
        <f t="shared" si="307"/>
        <v xml:space="preserve">aesthetics(1)
 </v>
      </c>
      <c r="CK175" s="14" t="str">
        <f t="shared" si="308"/>
        <v xml:space="preserve">biz project(1,%),  </v>
      </c>
      <c r="CL175" s="14" t="str">
        <f t="shared" si="309"/>
        <v xml:space="preserve"> </v>
      </c>
      <c r="CM175" s="14" t="str">
        <f t="shared" si="310"/>
        <v xml:space="preserve">team building(1), social media(2), negotiation(1), web(2), infrastructrue(2), database(2), mobile apps(2), security(2), aesthetics(2), functions(1), interaction(2),  </v>
      </c>
      <c r="CN175" s="14" t="str">
        <f t="shared" si="311"/>
        <v xml:space="preserve"> </v>
      </c>
      <c r="CO175" s="27" t="str">
        <f t="shared" si="555"/>
        <v xml:space="preserve"> </v>
      </c>
      <c r="CP175" s="14" t="str">
        <f t="shared" si="313"/>
        <v xml:space="preserve">metal processing(1)
functions(1)
 </v>
      </c>
      <c r="CQ175" s="14" t="str">
        <f t="shared" si="314"/>
        <v xml:space="preserve">biz enhancement(1,50%),  </v>
      </c>
      <c r="CR175" s="14" t="str">
        <f t="shared" si="315"/>
        <v xml:space="preserve">biz enhancement(50)
 </v>
      </c>
      <c r="CS175" s="14" t="str">
        <f t="shared" si="316"/>
        <v xml:space="preserve">metal processing(2), electronics(2), aesthetics(2), functions(2), safety(2),  </v>
      </c>
      <c r="CT175" s="14" t="str">
        <f t="shared" si="317"/>
        <v xml:space="preserve"> </v>
      </c>
      <c r="CU175" s="27" t="str">
        <f t="shared" si="555"/>
        <v xml:space="preserve"> </v>
      </c>
      <c r="CV175" s="14" t="str">
        <f t="shared" si="319"/>
        <v xml:space="preserve">wood processing(1)
aesthetics(1)
interaction(1)
 </v>
      </c>
      <c r="CW175" s="14" t="str">
        <f t="shared" si="320"/>
        <v xml:space="preserve">social project(1,50%),  </v>
      </c>
      <c r="CX175" s="14" t="str">
        <f t="shared" si="321"/>
        <v xml:space="preserve">social project(50)
 </v>
      </c>
      <c r="CY175" s="14" t="str">
        <f t="shared" si="322"/>
        <v xml:space="preserve">sensors(2), wood processing(2), plastic processing(2), electronics(2), aesthetics(2), functions(1), safety(1), interaction(2),  </v>
      </c>
      <c r="CZ175" s="14" t="str">
        <f t="shared" si="323"/>
        <v xml:space="preserve"> </v>
      </c>
      <c r="DA175" s="27" t="str">
        <f t="shared" si="555"/>
        <v xml:space="preserve"> </v>
      </c>
      <c r="DB175" s="14" t="str">
        <f t="shared" si="325"/>
        <v xml:space="preserve">aesthetics(1)
interaction(1)
 </v>
      </c>
      <c r="DC175" s="14" t="str">
        <f t="shared" si="326"/>
        <v xml:space="preserve">social project(1,50%),  </v>
      </c>
      <c r="DD175" s="14" t="str">
        <f t="shared" si="327"/>
        <v xml:space="preserve">social project(50)
 </v>
      </c>
      <c r="DE175" s="14" t="str">
        <f t="shared" si="328"/>
        <v xml:space="preserve">VR&amp;AR(2),  </v>
      </c>
      <c r="DF175" s="14" t="str">
        <f t="shared" si="329"/>
        <v xml:space="preserve"> </v>
      </c>
      <c r="DG175" s="27" t="str">
        <f t="shared" si="555"/>
        <v xml:space="preserve"> </v>
      </c>
      <c r="DH175" s="14" t="str">
        <f t="shared" si="331"/>
        <v xml:space="preserve">wood processing(1)
aesthetics(1)
safety(1)
 </v>
      </c>
      <c r="DI175" s="14" t="str">
        <f t="shared" si="332"/>
        <v xml:space="preserve">social project(1,100%),  </v>
      </c>
      <c r="DJ175" s="14" t="str">
        <f t="shared" si="333"/>
        <v xml:space="preserve">social project(100)
 </v>
      </c>
      <c r="DK175" s="14" t="str">
        <f t="shared" si="334"/>
        <v xml:space="preserve">team building(2), project management(2), social media(2), negotiation(2), sensors(1), wood processing(2), metal processing(2), plastic processing(2), electronics(2), fabric(1), aesthetics(1), functions(2), safety(2), interaction(2),  </v>
      </c>
      <c r="DL175" s="14" t="str">
        <f t="shared" si="335"/>
        <v xml:space="preserve">team building(1,6.25%),  </v>
      </c>
      <c r="DM175" s="27" t="str">
        <f t="shared" si="555"/>
        <v xml:space="preserve">team building(6.25), </v>
      </c>
      <c r="DN175" s="14" t="str">
        <f t="shared" si="337"/>
        <v xml:space="preserve">project management(2)
wood processing(1)
plastic processing(1)
electronics(1)
aesthetics(2)
functions(1)
safety(1)
biz project(1)
 </v>
      </c>
      <c r="DO175" s="14" t="str">
        <f t="shared" si="338"/>
        <v xml:space="preserve"> </v>
      </c>
      <c r="DP175" s="14" t="str">
        <f t="shared" si="339"/>
        <v xml:space="preserve"> </v>
      </c>
      <c r="DQ175" s="14" t="str">
        <f t="shared" si="340"/>
        <v xml:space="preserve">social media(2), wood processing(2), plastic processing(2), electronics(2), aesthetics(2),  </v>
      </c>
      <c r="DR175" s="14" t="str">
        <f t="shared" si="341"/>
        <v xml:space="preserve"> </v>
      </c>
      <c r="DS175" s="27" t="str">
        <f t="shared" si="555"/>
        <v xml:space="preserve"> </v>
      </c>
      <c r="DT175" s="14" t="str">
        <f t="shared" si="343"/>
        <v xml:space="preserve"> </v>
      </c>
      <c r="DU175" s="14" t="str">
        <f t="shared" si="344"/>
        <v xml:space="preserve"> </v>
      </c>
      <c r="DV175" s="14" t="str">
        <f t="shared" si="345"/>
        <v xml:space="preserve"> </v>
      </c>
      <c r="DW175" s="14" t="str">
        <f t="shared" si="346"/>
        <v xml:space="preserve">social media(2),  </v>
      </c>
      <c r="DX175" s="14" t="str">
        <f t="shared" si="347"/>
        <v xml:space="preserve"> </v>
      </c>
      <c r="DY175" s="27" t="str">
        <f t="shared" si="555"/>
        <v xml:space="preserve"> </v>
      </c>
      <c r="DZ175" s="14" t="str">
        <f t="shared" si="349"/>
        <v xml:space="preserve"> </v>
      </c>
      <c r="EA175" s="14" t="str">
        <f t="shared" si="350"/>
        <v xml:space="preserve"> </v>
      </c>
      <c r="EB175" s="14" t="str">
        <f t="shared" si="351"/>
        <v xml:space="preserve"> </v>
      </c>
      <c r="EC175" s="14" t="str">
        <f t="shared" si="352"/>
        <v xml:space="preserve"> </v>
      </c>
      <c r="ED175" s="14" t="str">
        <f t="shared" si="353"/>
        <v xml:space="preserve"> </v>
      </c>
      <c r="EE175" s="27" t="str">
        <f t="shared" si="555"/>
        <v xml:space="preserve"> </v>
      </c>
      <c r="EF175" s="14" t="str">
        <f t="shared" si="355"/>
        <v xml:space="preserve"> </v>
      </c>
      <c r="EG175" s="14" t="str">
        <f t="shared" si="356"/>
        <v xml:space="preserve"> </v>
      </c>
      <c r="EH175" s="14" t="str">
        <f t="shared" si="357"/>
        <v xml:space="preserve"> </v>
      </c>
      <c r="EI175" s="14" t="str">
        <f t="shared" si="358"/>
        <v xml:space="preserve"> </v>
      </c>
      <c r="EJ175" s="14" t="str">
        <f t="shared" si="359"/>
        <v xml:space="preserve"> </v>
      </c>
      <c r="EK175" s="27" t="str">
        <f t="shared" si="555"/>
        <v xml:space="preserve"> </v>
      </c>
      <c r="EL175" s="14" t="str">
        <f t="shared" si="361"/>
        <v xml:space="preserve"> </v>
      </c>
      <c r="EM175" s="14" t="str">
        <f t="shared" si="362"/>
        <v xml:space="preserve"> </v>
      </c>
      <c r="EN175" s="14" t="str">
        <f t="shared" si="363"/>
        <v xml:space="preserve"> </v>
      </c>
      <c r="EO175" s="14" t="str">
        <f t="shared" si="364"/>
        <v xml:space="preserve"> </v>
      </c>
      <c r="EP175" s="14" t="str">
        <f t="shared" si="365"/>
        <v xml:space="preserve"> </v>
      </c>
      <c r="EQ175" s="27" t="str">
        <f t="shared" si="556"/>
        <v xml:space="preserve"> </v>
      </c>
      <c r="ER175" s="14" t="str">
        <f t="shared" si="367"/>
        <v xml:space="preserve"> </v>
      </c>
      <c r="ES175" s="14" t="str">
        <f t="shared" si="368"/>
        <v xml:space="preserve"> </v>
      </c>
      <c r="ET175" s="14" t="str">
        <f t="shared" si="369"/>
        <v xml:space="preserve"> </v>
      </c>
      <c r="EU175" s="14" t="str">
        <f t="shared" si="370"/>
        <v xml:space="preserve"> </v>
      </c>
      <c r="EV175" s="14" t="str">
        <f t="shared" si="371"/>
        <v xml:space="preserve"> </v>
      </c>
      <c r="EW175" s="27" t="str">
        <f t="shared" si="556"/>
        <v xml:space="preserve"> </v>
      </c>
      <c r="EX175" s="14" t="str">
        <f t="shared" si="373"/>
        <v xml:space="preserve"> </v>
      </c>
      <c r="EY175" s="14" t="str">
        <f t="shared" si="374"/>
        <v xml:space="preserve"> </v>
      </c>
      <c r="EZ175" s="14" t="str">
        <f t="shared" si="375"/>
        <v xml:space="preserve"> </v>
      </c>
      <c r="FA175" s="14" t="str">
        <f t="shared" si="376"/>
        <v xml:space="preserve"> </v>
      </c>
      <c r="FB175" s="14" t="str">
        <f t="shared" si="377"/>
        <v xml:space="preserve"> </v>
      </c>
      <c r="FC175" s="27" t="str">
        <f t="shared" si="556"/>
        <v xml:space="preserve"> </v>
      </c>
      <c r="FD175" s="14" t="str">
        <f t="shared" si="379"/>
        <v xml:space="preserve"> </v>
      </c>
      <c r="FE175" s="14" t="str">
        <f t="shared" si="380"/>
        <v xml:space="preserve"> </v>
      </c>
      <c r="FF175" s="14" t="str">
        <f t="shared" si="381"/>
        <v xml:space="preserve"> </v>
      </c>
      <c r="FG175" s="14" t="str">
        <f t="shared" si="382"/>
        <v xml:space="preserve"> </v>
      </c>
      <c r="FH175" s="14" t="str">
        <f t="shared" si="383"/>
        <v xml:space="preserve"> </v>
      </c>
      <c r="FI175" s="27" t="str">
        <f t="shared" si="556"/>
        <v xml:space="preserve"> </v>
      </c>
      <c r="FJ175" s="14" t="str">
        <f t="shared" si="385"/>
        <v xml:space="preserve"> </v>
      </c>
      <c r="FK175" s="14" t="str">
        <f t="shared" si="386"/>
        <v xml:space="preserve"> </v>
      </c>
      <c r="FL175" s="14" t="str">
        <f t="shared" si="387"/>
        <v xml:space="preserve"> </v>
      </c>
      <c r="FM175" s="14" t="str">
        <f t="shared" si="388"/>
        <v xml:space="preserve"> </v>
      </c>
      <c r="FN175" s="14" t="str">
        <f t="shared" si="389"/>
        <v xml:space="preserve"> </v>
      </c>
      <c r="FO175" s="27" t="str">
        <f t="shared" si="556"/>
        <v xml:space="preserve"> </v>
      </c>
      <c r="FP175" s="14" t="str">
        <f t="shared" si="391"/>
        <v xml:space="preserve"> </v>
      </c>
      <c r="FQ175" s="14" t="str">
        <f t="shared" si="392"/>
        <v xml:space="preserve"> </v>
      </c>
      <c r="FR175" s="14" t="str">
        <f t="shared" si="393"/>
        <v xml:space="preserve"> </v>
      </c>
      <c r="FS175" s="14" t="str">
        <f t="shared" si="394"/>
        <v xml:space="preserve"> </v>
      </c>
      <c r="FT175" s="14" t="str">
        <f t="shared" si="395"/>
        <v xml:space="preserve"> </v>
      </c>
      <c r="FU175" s="27" t="str">
        <f t="shared" si="556"/>
        <v xml:space="preserve"> </v>
      </c>
      <c r="FV175" s="14" t="str">
        <f t="shared" si="397"/>
        <v xml:space="preserve"> </v>
      </c>
      <c r="FW175" s="14" t="str">
        <f t="shared" si="398"/>
        <v xml:space="preserve"> </v>
      </c>
      <c r="FX175" s="14" t="str">
        <f t="shared" si="399"/>
        <v xml:space="preserve"> </v>
      </c>
      <c r="FY175" s="14" t="str">
        <f t="shared" si="400"/>
        <v xml:space="preserve"> </v>
      </c>
      <c r="FZ175" s="14" t="str">
        <f t="shared" si="401"/>
        <v xml:space="preserve"> </v>
      </c>
      <c r="GA175" s="27" t="str">
        <f t="shared" si="556"/>
        <v xml:space="preserve"> </v>
      </c>
      <c r="GB175" s="14" t="str">
        <f t="shared" si="403"/>
        <v xml:space="preserve"> </v>
      </c>
      <c r="GC175" s="14" t="str">
        <f t="shared" si="404"/>
        <v xml:space="preserve"> </v>
      </c>
      <c r="GD175" s="14" t="str">
        <f t="shared" si="405"/>
        <v xml:space="preserve"> </v>
      </c>
      <c r="GE175" s="14" t="str">
        <f t="shared" si="406"/>
        <v xml:space="preserve"> </v>
      </c>
      <c r="GF175" s="14" t="str">
        <f t="shared" si="407"/>
        <v xml:space="preserve"> </v>
      </c>
      <c r="GG175" s="27" t="str">
        <f t="shared" si="556"/>
        <v xml:space="preserve"> </v>
      </c>
      <c r="GH175" s="14" t="str">
        <f t="shared" si="409"/>
        <v xml:space="preserve"> </v>
      </c>
      <c r="GI175" s="14" t="str">
        <f t="shared" si="410"/>
        <v xml:space="preserve"> </v>
      </c>
      <c r="GJ175" s="14" t="str">
        <f t="shared" si="411"/>
        <v xml:space="preserve"> </v>
      </c>
      <c r="GK175" s="14" t="str">
        <f t="shared" si="412"/>
        <v xml:space="preserve"> </v>
      </c>
      <c r="GL175" s="14" t="str">
        <f t="shared" si="413"/>
        <v xml:space="preserve"> </v>
      </c>
      <c r="GM175" s="27" t="str">
        <f t="shared" si="556"/>
        <v xml:space="preserve"> </v>
      </c>
      <c r="GN175" s="14" t="str">
        <f t="shared" si="415"/>
        <v xml:space="preserve"> </v>
      </c>
      <c r="GO175" s="14" t="str">
        <f t="shared" si="416"/>
        <v xml:space="preserve"> </v>
      </c>
      <c r="GP175" s="14" t="str">
        <f t="shared" si="417"/>
        <v xml:space="preserve"> </v>
      </c>
      <c r="GQ175" s="14" t="str">
        <f t="shared" si="418"/>
        <v xml:space="preserve"> </v>
      </c>
      <c r="GR175" s="14" t="str">
        <f t="shared" si="419"/>
        <v xml:space="preserve"> </v>
      </c>
      <c r="GS175" s="27" t="str">
        <f t="shared" si="556"/>
        <v xml:space="preserve"> </v>
      </c>
      <c r="GT175" s="14" t="str">
        <f t="shared" si="421"/>
        <v xml:space="preserve"> </v>
      </c>
      <c r="GU175" s="14" t="str">
        <f t="shared" si="422"/>
        <v xml:space="preserve"> </v>
      </c>
      <c r="GV175" s="14" t="str">
        <f t="shared" si="423"/>
        <v xml:space="preserve"> </v>
      </c>
      <c r="GW175" s="14" t="str">
        <f t="shared" si="424"/>
        <v xml:space="preserve"> </v>
      </c>
      <c r="GX175" s="14" t="str">
        <f t="shared" si="425"/>
        <v xml:space="preserve"> </v>
      </c>
      <c r="GY175" s="27" t="str">
        <f t="shared" si="556"/>
        <v xml:space="preserve"> </v>
      </c>
      <c r="GZ175" s="14" t="str">
        <f t="shared" si="427"/>
        <v xml:space="preserve"> </v>
      </c>
      <c r="HA175" s="14" t="str">
        <f t="shared" si="428"/>
        <v xml:space="preserve"> </v>
      </c>
      <c r="HB175" s="14" t="str">
        <f t="shared" si="429"/>
        <v xml:space="preserve"> </v>
      </c>
      <c r="HC175" s="14" t="str">
        <f t="shared" si="430"/>
        <v xml:space="preserve"> </v>
      </c>
      <c r="HD175" s="14" t="str">
        <f t="shared" si="431"/>
        <v xml:space="preserve"> </v>
      </c>
      <c r="HE175" s="27" t="str">
        <f t="shared" si="557"/>
        <v xml:space="preserve"> </v>
      </c>
      <c r="HF175" s="14" t="str">
        <f t="shared" si="433"/>
        <v xml:space="preserve"> </v>
      </c>
      <c r="HG175" s="14" t="str">
        <f t="shared" si="434"/>
        <v xml:space="preserve"> </v>
      </c>
      <c r="HH175" s="14" t="str">
        <f t="shared" si="435"/>
        <v xml:space="preserve"> </v>
      </c>
      <c r="HI175" s="14" t="str">
        <f t="shared" si="436"/>
        <v xml:space="preserve"> </v>
      </c>
      <c r="HJ175" s="14" t="str">
        <f t="shared" si="437"/>
        <v xml:space="preserve"> </v>
      </c>
      <c r="HK175" s="27" t="str">
        <f t="shared" si="557"/>
        <v xml:space="preserve"> </v>
      </c>
      <c r="HL175" s="14" t="str">
        <f t="shared" si="439"/>
        <v xml:space="preserve"> </v>
      </c>
      <c r="HM175" s="14" t="str">
        <f t="shared" si="440"/>
        <v xml:space="preserve"> </v>
      </c>
      <c r="HN175" s="14" t="str">
        <f t="shared" si="441"/>
        <v xml:space="preserve"> </v>
      </c>
      <c r="HO175" s="14" t="str">
        <f t="shared" si="442"/>
        <v xml:space="preserve"> </v>
      </c>
      <c r="HP175" s="14" t="str">
        <f t="shared" si="443"/>
        <v xml:space="preserve"> </v>
      </c>
      <c r="HQ175" s="27" t="str">
        <f t="shared" si="557"/>
        <v xml:space="preserve"> </v>
      </c>
    </row>
    <row r="176" spans="1:225" ht="15.75" customHeight="1">
      <c r="A176" s="7">
        <f t="shared" ref="A176:C176" si="586">A68</f>
        <v>0</v>
      </c>
      <c r="B176" s="7">
        <f t="shared" si="586"/>
        <v>0</v>
      </c>
      <c r="C176" s="7" t="str">
        <f t="shared" si="586"/>
        <v>project management</v>
      </c>
      <c r="D176" s="14" t="str">
        <f t="shared" si="446"/>
        <v xml:space="preserve"> </v>
      </c>
      <c r="E176" s="14" t="str">
        <f t="shared" si="447"/>
        <v xml:space="preserve"> </v>
      </c>
      <c r="F176" s="14" t="str">
        <f t="shared" si="448"/>
        <v xml:space="preserve"> </v>
      </c>
      <c r="G176" s="14" t="str">
        <f t="shared" si="449"/>
        <v xml:space="preserve"> </v>
      </c>
      <c r="H176" s="14" t="str">
        <f t="shared" si="450"/>
        <v xml:space="preserve"> </v>
      </c>
      <c r="I176" s="27" t="str">
        <f t="shared" ref="I176" si="587">IF(I68="",I177,$C176&amp;"("&amp;I68&amp;"),"&amp;I177)</f>
        <v xml:space="preserve"> </v>
      </c>
      <c r="J176" s="14" t="str">
        <f t="shared" si="229"/>
        <v xml:space="preserve"> </v>
      </c>
      <c r="K176" s="14" t="str">
        <f t="shared" si="230"/>
        <v xml:space="preserve"> </v>
      </c>
      <c r="L176" s="14" t="str">
        <f t="shared" si="231"/>
        <v xml:space="preserve"> </v>
      </c>
      <c r="M176" s="14" t="str">
        <f t="shared" si="232"/>
        <v xml:space="preserve"> </v>
      </c>
      <c r="N176" s="14" t="str">
        <f t="shared" si="233"/>
        <v xml:space="preserve"> </v>
      </c>
      <c r="O176" s="27" t="str">
        <f t="shared" si="554"/>
        <v xml:space="preserve"> </v>
      </c>
      <c r="P176" s="14" t="str">
        <f t="shared" si="235"/>
        <v xml:space="preserve"> </v>
      </c>
      <c r="Q176" s="14" t="str">
        <f t="shared" si="236"/>
        <v xml:space="preserve"> </v>
      </c>
      <c r="R176" s="14" t="str">
        <f t="shared" si="237"/>
        <v xml:space="preserve"> </v>
      </c>
      <c r="S176" s="14" t="str">
        <f t="shared" si="238"/>
        <v xml:space="preserve"> </v>
      </c>
      <c r="T176" s="14" t="str">
        <f t="shared" si="239"/>
        <v xml:space="preserve">web(-1,6.25%), mobile apps(-1,6.25%), aesthetics(-1,6.25%),  </v>
      </c>
      <c r="U176" s="27" t="str">
        <f t="shared" si="554"/>
        <v xml:space="preserve">web(6.25),mobile apps(6.25),aesthetics(6.25), </v>
      </c>
      <c r="V176" s="14" t="str">
        <f t="shared" si="241"/>
        <v xml:space="preserve"> </v>
      </c>
      <c r="W176" s="14" t="str">
        <f t="shared" si="242"/>
        <v xml:space="preserve"> </v>
      </c>
      <c r="X176" s="14" t="str">
        <f t="shared" si="243"/>
        <v xml:space="preserve"> </v>
      </c>
      <c r="Y176" s="14" t="str">
        <f t="shared" si="244"/>
        <v xml:space="preserve">project management(0.1), negotiation(0.1),  </v>
      </c>
      <c r="Z176" s="14" t="str">
        <f t="shared" si="245"/>
        <v xml:space="preserve"> </v>
      </c>
      <c r="AA176" s="27" t="str">
        <f t="shared" si="554"/>
        <v xml:space="preserve"> </v>
      </c>
      <c r="AB176" s="14" t="str">
        <f t="shared" si="247"/>
        <v xml:space="preserve"> </v>
      </c>
      <c r="AC176" s="14" t="str">
        <f t="shared" si="248"/>
        <v xml:space="preserve"> </v>
      </c>
      <c r="AD176" s="14" t="str">
        <f t="shared" si="249"/>
        <v xml:space="preserve"> </v>
      </c>
      <c r="AE176" s="14" t="str">
        <f t="shared" si="250"/>
        <v xml:space="preserve"> </v>
      </c>
      <c r="AF176" s="14" t="str">
        <f t="shared" si="251"/>
        <v xml:space="preserve"> </v>
      </c>
      <c r="AG176" s="27" t="str">
        <f t="shared" si="554"/>
        <v xml:space="preserve"> </v>
      </c>
      <c r="AH176" s="14" t="str">
        <f t="shared" si="253"/>
        <v xml:space="preserve"> </v>
      </c>
      <c r="AI176" s="14" t="str">
        <f t="shared" si="254"/>
        <v xml:space="preserve"> </v>
      </c>
      <c r="AJ176" s="14" t="str">
        <f t="shared" si="255"/>
        <v xml:space="preserve"> </v>
      </c>
      <c r="AK176" s="14" t="str">
        <f t="shared" si="256"/>
        <v xml:space="preserve">negotiation(1.1),  </v>
      </c>
      <c r="AL176" s="14" t="str">
        <f t="shared" si="257"/>
        <v xml:space="preserve"> </v>
      </c>
      <c r="AM176" s="27" t="str">
        <f t="shared" si="554"/>
        <v xml:space="preserve"> </v>
      </c>
      <c r="AN176" s="14" t="str">
        <f t="shared" si="259"/>
        <v xml:space="preserve"> </v>
      </c>
      <c r="AO176" s="14" t="str">
        <f t="shared" si="260"/>
        <v xml:space="preserve"> </v>
      </c>
      <c r="AP176" s="14" t="str">
        <f t="shared" si="261"/>
        <v xml:space="preserve"> </v>
      </c>
      <c r="AQ176" s="14" t="str">
        <f t="shared" si="262"/>
        <v xml:space="preserve"> </v>
      </c>
      <c r="AR176" s="14" t="str">
        <f t="shared" si="263"/>
        <v xml:space="preserve"> </v>
      </c>
      <c r="AS176" s="27" t="str">
        <f t="shared" si="554"/>
        <v xml:space="preserve"> </v>
      </c>
      <c r="AT176" s="14" t="str">
        <f t="shared" si="265"/>
        <v xml:space="preserve"> </v>
      </c>
      <c r="AU176" s="14" t="str">
        <f t="shared" si="266"/>
        <v xml:space="preserve"> </v>
      </c>
      <c r="AV176" s="14" t="str">
        <f t="shared" si="267"/>
        <v xml:space="preserve"> </v>
      </c>
      <c r="AW176" s="14" t="str">
        <f t="shared" si="268"/>
        <v xml:space="preserve"> </v>
      </c>
      <c r="AX176" s="14" t="str">
        <f t="shared" si="269"/>
        <v xml:space="preserve"> </v>
      </c>
      <c r="AY176" s="27" t="str">
        <f t="shared" si="554"/>
        <v xml:space="preserve"> </v>
      </c>
      <c r="AZ176" s="14" t="str">
        <f t="shared" si="271"/>
        <v xml:space="preserve"> </v>
      </c>
      <c r="BA176" s="14" t="str">
        <f t="shared" si="272"/>
        <v xml:space="preserve"> </v>
      </c>
      <c r="BB176" s="14" t="str">
        <f t="shared" si="273"/>
        <v xml:space="preserve"> </v>
      </c>
      <c r="BC176" s="14" t="str">
        <f t="shared" si="274"/>
        <v xml:space="preserve"> </v>
      </c>
      <c r="BD176" s="14" t="str">
        <f t="shared" si="275"/>
        <v xml:space="preserve"> </v>
      </c>
      <c r="BE176" s="27" t="str">
        <f t="shared" si="554"/>
        <v xml:space="preserve"> </v>
      </c>
      <c r="BF176" s="14" t="str">
        <f t="shared" si="277"/>
        <v xml:space="preserve"> </v>
      </c>
      <c r="BG176" s="14" t="str">
        <f t="shared" si="278"/>
        <v xml:space="preserve"> </v>
      </c>
      <c r="BH176" s="14" t="str">
        <f t="shared" si="279"/>
        <v xml:space="preserve"> </v>
      </c>
      <c r="BI176" s="14" t="str">
        <f t="shared" si="280"/>
        <v xml:space="preserve"> </v>
      </c>
      <c r="BJ176" s="14" t="str">
        <f t="shared" si="281"/>
        <v xml:space="preserve"> </v>
      </c>
      <c r="BK176" s="27" t="str">
        <f t="shared" si="554"/>
        <v xml:space="preserve"> </v>
      </c>
      <c r="BL176" s="14" t="str">
        <f t="shared" si="283"/>
        <v xml:space="preserve">aesthetics(1)
 </v>
      </c>
      <c r="BM176" s="14" t="str">
        <f t="shared" si="284"/>
        <v xml:space="preserve">biz enhancement(1,%),  </v>
      </c>
      <c r="BN176" s="14" t="str">
        <f t="shared" si="285"/>
        <v xml:space="preserve"> </v>
      </c>
      <c r="BO176" s="14" t="str">
        <f t="shared" si="286"/>
        <v xml:space="preserve">negotiation(1), aesthetics(2), functions(1), safety(1),  </v>
      </c>
      <c r="BP176" s="14" t="str">
        <f t="shared" si="287"/>
        <v xml:space="preserve"> </v>
      </c>
      <c r="BQ176" s="27" t="str">
        <f t="shared" si="554"/>
        <v xml:space="preserve"> </v>
      </c>
      <c r="BR176" s="14" t="str">
        <f t="shared" si="289"/>
        <v xml:space="preserve">aesthetics(1)
 </v>
      </c>
      <c r="BS176" s="14" t="str">
        <f t="shared" si="290"/>
        <v xml:space="preserve">biz project(1,%),  </v>
      </c>
      <c r="BT176" s="14" t="str">
        <f t="shared" si="291"/>
        <v xml:space="preserve"> </v>
      </c>
      <c r="BU176" s="14" t="str">
        <f t="shared" si="292"/>
        <v xml:space="preserve">negotiation(1), wood processing(1), aesthetics(2),  </v>
      </c>
      <c r="BV176" s="14" t="str">
        <f t="shared" si="293"/>
        <v xml:space="preserve"> </v>
      </c>
      <c r="BW176" s="27" t="str">
        <f t="shared" si="554"/>
        <v xml:space="preserve"> </v>
      </c>
      <c r="BX176" s="14" t="str">
        <f t="shared" si="295"/>
        <v xml:space="preserve">aesthetics(1)
interaction(1)
 </v>
      </c>
      <c r="BY176" s="14" t="str">
        <f t="shared" si="296"/>
        <v xml:space="preserve">biz project(1,%),  </v>
      </c>
      <c r="BZ176" s="14" t="str">
        <f t="shared" si="297"/>
        <v xml:space="preserve"> </v>
      </c>
      <c r="CA176" s="14" t="str">
        <f t="shared" si="298"/>
        <v xml:space="preserve">social media(1), negotiation(1), web(2), infrastructrue(2), database(2), security(3), aesthetics(2), functions(1), interaction(2),  </v>
      </c>
      <c r="CB176" s="14" t="str">
        <f t="shared" si="299"/>
        <v xml:space="preserve"> </v>
      </c>
      <c r="CC176" s="27" t="str">
        <f t="shared" si="555"/>
        <v xml:space="preserve"> </v>
      </c>
      <c r="CD176" s="14" t="str">
        <f t="shared" si="301"/>
        <v xml:space="preserve">aesthetics(1)
 </v>
      </c>
      <c r="CE176" s="14" t="str">
        <f t="shared" si="302"/>
        <v xml:space="preserve">biz project(1,%),  </v>
      </c>
      <c r="CF176" s="14" t="str">
        <f t="shared" si="303"/>
        <v xml:space="preserve"> </v>
      </c>
      <c r="CG176" s="14" t="str">
        <f t="shared" si="304"/>
        <v xml:space="preserve">negotiation(1), infrastructrue(1), database(2), mobile apps(2), security(3), aesthetics(2), functions(1), interaction(2),  </v>
      </c>
      <c r="CH176" s="14" t="str">
        <f t="shared" si="305"/>
        <v xml:space="preserve"> </v>
      </c>
      <c r="CI176" s="27" t="str">
        <f t="shared" si="555"/>
        <v xml:space="preserve"> </v>
      </c>
      <c r="CJ176" s="14" t="str">
        <f t="shared" si="307"/>
        <v xml:space="preserve">aesthetics(1)
 </v>
      </c>
      <c r="CK176" s="14" t="str">
        <f t="shared" si="308"/>
        <v xml:space="preserve">biz project(1,%),  </v>
      </c>
      <c r="CL176" s="14" t="str">
        <f t="shared" si="309"/>
        <v xml:space="preserve"> </v>
      </c>
      <c r="CM176" s="14" t="str">
        <f t="shared" si="310"/>
        <v xml:space="preserve">social media(2), negotiation(1), web(2), infrastructrue(2), database(2), mobile apps(2), security(2), aesthetics(2), functions(1), interaction(2),  </v>
      </c>
      <c r="CN176" s="14" t="str">
        <f t="shared" si="311"/>
        <v xml:space="preserve"> </v>
      </c>
      <c r="CO176" s="27" t="str">
        <f t="shared" si="555"/>
        <v xml:space="preserve"> </v>
      </c>
      <c r="CP176" s="14" t="str">
        <f t="shared" si="313"/>
        <v xml:space="preserve">metal processing(1)
functions(1)
 </v>
      </c>
      <c r="CQ176" s="14" t="str">
        <f t="shared" si="314"/>
        <v xml:space="preserve">biz enhancement(1,50%),  </v>
      </c>
      <c r="CR176" s="14" t="str">
        <f t="shared" si="315"/>
        <v xml:space="preserve">biz enhancement(50)
 </v>
      </c>
      <c r="CS176" s="14" t="str">
        <f t="shared" si="316"/>
        <v xml:space="preserve">metal processing(2), electronics(2), aesthetics(2), functions(2), safety(2),  </v>
      </c>
      <c r="CT176" s="14" t="str">
        <f t="shared" si="317"/>
        <v xml:space="preserve"> </v>
      </c>
      <c r="CU176" s="27" t="str">
        <f t="shared" si="555"/>
        <v xml:space="preserve"> </v>
      </c>
      <c r="CV176" s="14" t="str">
        <f t="shared" si="319"/>
        <v xml:space="preserve">wood processing(1)
aesthetics(1)
interaction(1)
 </v>
      </c>
      <c r="CW176" s="14" t="str">
        <f t="shared" si="320"/>
        <v xml:space="preserve">social project(1,50%),  </v>
      </c>
      <c r="CX176" s="14" t="str">
        <f t="shared" si="321"/>
        <v xml:space="preserve">social project(50)
 </v>
      </c>
      <c r="CY176" s="14" t="str">
        <f t="shared" si="322"/>
        <v xml:space="preserve">sensors(2), wood processing(2), plastic processing(2), electronics(2), aesthetics(2), functions(1), safety(1), interaction(2),  </v>
      </c>
      <c r="CZ176" s="14" t="str">
        <f t="shared" si="323"/>
        <v xml:space="preserve"> </v>
      </c>
      <c r="DA176" s="27" t="str">
        <f t="shared" si="555"/>
        <v xml:space="preserve"> </v>
      </c>
      <c r="DB176" s="14" t="str">
        <f t="shared" si="325"/>
        <v xml:space="preserve">aesthetics(1)
interaction(1)
 </v>
      </c>
      <c r="DC176" s="14" t="str">
        <f t="shared" si="326"/>
        <v xml:space="preserve">social project(1,50%),  </v>
      </c>
      <c r="DD176" s="14" t="str">
        <f t="shared" si="327"/>
        <v xml:space="preserve">social project(50)
 </v>
      </c>
      <c r="DE176" s="14" t="str">
        <f t="shared" si="328"/>
        <v xml:space="preserve">VR&amp;AR(2),  </v>
      </c>
      <c r="DF176" s="14" t="str">
        <f t="shared" si="329"/>
        <v xml:space="preserve"> </v>
      </c>
      <c r="DG176" s="27" t="str">
        <f t="shared" si="555"/>
        <v xml:space="preserve"> </v>
      </c>
      <c r="DH176" s="14" t="str">
        <f t="shared" si="331"/>
        <v xml:space="preserve">wood processing(1)
aesthetics(1)
safety(1)
 </v>
      </c>
      <c r="DI176" s="14" t="str">
        <f t="shared" si="332"/>
        <v xml:space="preserve">social project(1,100%),  </v>
      </c>
      <c r="DJ176" s="14" t="str">
        <f t="shared" si="333"/>
        <v xml:space="preserve">social project(100)
 </v>
      </c>
      <c r="DK176" s="14" t="str">
        <f t="shared" si="334"/>
        <v xml:space="preserve">project management(2), social media(2), negotiation(2), sensors(1), wood processing(2), metal processing(2), plastic processing(2), electronics(2), fabric(1), aesthetics(1), functions(2), safety(2), interaction(2),  </v>
      </c>
      <c r="DL176" s="14" t="str">
        <f t="shared" si="335"/>
        <v xml:space="preserve"> </v>
      </c>
      <c r="DM176" s="27" t="str">
        <f t="shared" si="555"/>
        <v xml:space="preserve"> </v>
      </c>
      <c r="DN176" s="14" t="str">
        <f t="shared" si="337"/>
        <v xml:space="preserve">project management(2)
wood processing(1)
plastic processing(1)
electronics(1)
aesthetics(2)
functions(1)
safety(1)
biz project(1)
 </v>
      </c>
      <c r="DO176" s="14" t="str">
        <f t="shared" si="338"/>
        <v xml:space="preserve"> </v>
      </c>
      <c r="DP176" s="14" t="str">
        <f t="shared" si="339"/>
        <v xml:space="preserve"> </v>
      </c>
      <c r="DQ176" s="14" t="str">
        <f t="shared" si="340"/>
        <v xml:space="preserve">social media(2), wood processing(2), plastic processing(2), electronics(2), aesthetics(2),  </v>
      </c>
      <c r="DR176" s="14" t="str">
        <f t="shared" si="341"/>
        <v xml:space="preserve"> </v>
      </c>
      <c r="DS176" s="27" t="str">
        <f t="shared" si="555"/>
        <v xml:space="preserve"> </v>
      </c>
      <c r="DT176" s="14" t="str">
        <f t="shared" si="343"/>
        <v xml:space="preserve"> </v>
      </c>
      <c r="DU176" s="14" t="str">
        <f t="shared" si="344"/>
        <v xml:space="preserve"> </v>
      </c>
      <c r="DV176" s="14" t="str">
        <f t="shared" si="345"/>
        <v xml:space="preserve"> </v>
      </c>
      <c r="DW176" s="14" t="str">
        <f t="shared" si="346"/>
        <v xml:space="preserve">social media(2),  </v>
      </c>
      <c r="DX176" s="14" t="str">
        <f t="shared" si="347"/>
        <v xml:space="preserve"> </v>
      </c>
      <c r="DY176" s="27" t="str">
        <f t="shared" si="555"/>
        <v xml:space="preserve"> </v>
      </c>
      <c r="DZ176" s="14" t="str">
        <f t="shared" si="349"/>
        <v xml:space="preserve"> </v>
      </c>
      <c r="EA176" s="14" t="str">
        <f t="shared" si="350"/>
        <v xml:space="preserve"> </v>
      </c>
      <c r="EB176" s="14" t="str">
        <f t="shared" si="351"/>
        <v xml:space="preserve"> </v>
      </c>
      <c r="EC176" s="14" t="str">
        <f t="shared" si="352"/>
        <v xml:space="preserve"> </v>
      </c>
      <c r="ED176" s="14" t="str">
        <f t="shared" si="353"/>
        <v xml:space="preserve"> </v>
      </c>
      <c r="EE176" s="27" t="str">
        <f t="shared" si="555"/>
        <v xml:space="preserve"> </v>
      </c>
      <c r="EF176" s="14" t="str">
        <f t="shared" si="355"/>
        <v xml:space="preserve"> </v>
      </c>
      <c r="EG176" s="14" t="str">
        <f t="shared" si="356"/>
        <v xml:space="preserve"> </v>
      </c>
      <c r="EH176" s="14" t="str">
        <f t="shared" si="357"/>
        <v xml:space="preserve"> </v>
      </c>
      <c r="EI176" s="14" t="str">
        <f t="shared" si="358"/>
        <v xml:space="preserve"> </v>
      </c>
      <c r="EJ176" s="14" t="str">
        <f t="shared" si="359"/>
        <v xml:space="preserve"> </v>
      </c>
      <c r="EK176" s="27" t="str">
        <f t="shared" si="555"/>
        <v xml:space="preserve"> </v>
      </c>
      <c r="EL176" s="14" t="str">
        <f t="shared" si="361"/>
        <v xml:space="preserve"> </v>
      </c>
      <c r="EM176" s="14" t="str">
        <f t="shared" si="362"/>
        <v xml:space="preserve"> </v>
      </c>
      <c r="EN176" s="14" t="str">
        <f t="shared" si="363"/>
        <v xml:space="preserve"> </v>
      </c>
      <c r="EO176" s="14" t="str">
        <f t="shared" si="364"/>
        <v xml:space="preserve"> </v>
      </c>
      <c r="EP176" s="14" t="str">
        <f t="shared" si="365"/>
        <v xml:space="preserve"> </v>
      </c>
      <c r="EQ176" s="27" t="str">
        <f t="shared" si="556"/>
        <v xml:space="preserve"> </v>
      </c>
      <c r="ER176" s="14" t="str">
        <f t="shared" si="367"/>
        <v xml:space="preserve"> </v>
      </c>
      <c r="ES176" s="14" t="str">
        <f t="shared" si="368"/>
        <v xml:space="preserve"> </v>
      </c>
      <c r="ET176" s="14" t="str">
        <f t="shared" si="369"/>
        <v xml:space="preserve"> </v>
      </c>
      <c r="EU176" s="14" t="str">
        <f t="shared" si="370"/>
        <v xml:space="preserve"> </v>
      </c>
      <c r="EV176" s="14" t="str">
        <f t="shared" si="371"/>
        <v xml:space="preserve"> </v>
      </c>
      <c r="EW176" s="27" t="str">
        <f t="shared" si="556"/>
        <v xml:space="preserve"> </v>
      </c>
      <c r="EX176" s="14" t="str">
        <f t="shared" si="373"/>
        <v xml:space="preserve"> </v>
      </c>
      <c r="EY176" s="14" t="str">
        <f t="shared" si="374"/>
        <v xml:space="preserve"> </v>
      </c>
      <c r="EZ176" s="14" t="str">
        <f t="shared" si="375"/>
        <v xml:space="preserve"> </v>
      </c>
      <c r="FA176" s="14" t="str">
        <f t="shared" si="376"/>
        <v xml:space="preserve"> </v>
      </c>
      <c r="FB176" s="14" t="str">
        <f t="shared" si="377"/>
        <v xml:space="preserve"> </v>
      </c>
      <c r="FC176" s="27" t="str">
        <f t="shared" si="556"/>
        <v xml:space="preserve"> </v>
      </c>
      <c r="FD176" s="14" t="str">
        <f t="shared" si="379"/>
        <v xml:space="preserve"> </v>
      </c>
      <c r="FE176" s="14" t="str">
        <f t="shared" si="380"/>
        <v xml:space="preserve"> </v>
      </c>
      <c r="FF176" s="14" t="str">
        <f t="shared" si="381"/>
        <v xml:space="preserve"> </v>
      </c>
      <c r="FG176" s="14" t="str">
        <f t="shared" si="382"/>
        <v xml:space="preserve"> </v>
      </c>
      <c r="FH176" s="14" t="str">
        <f t="shared" si="383"/>
        <v xml:space="preserve"> </v>
      </c>
      <c r="FI176" s="27" t="str">
        <f t="shared" si="556"/>
        <v xml:space="preserve"> </v>
      </c>
      <c r="FJ176" s="14" t="str">
        <f t="shared" si="385"/>
        <v xml:space="preserve"> </v>
      </c>
      <c r="FK176" s="14" t="str">
        <f t="shared" si="386"/>
        <v xml:space="preserve"> </v>
      </c>
      <c r="FL176" s="14" t="str">
        <f t="shared" si="387"/>
        <v xml:space="preserve"> </v>
      </c>
      <c r="FM176" s="14" t="str">
        <f t="shared" si="388"/>
        <v xml:space="preserve"> </v>
      </c>
      <c r="FN176" s="14" t="str">
        <f t="shared" si="389"/>
        <v xml:space="preserve"> </v>
      </c>
      <c r="FO176" s="27" t="str">
        <f t="shared" si="556"/>
        <v xml:space="preserve"> </v>
      </c>
      <c r="FP176" s="14" t="str">
        <f t="shared" si="391"/>
        <v xml:space="preserve"> </v>
      </c>
      <c r="FQ176" s="14" t="str">
        <f t="shared" si="392"/>
        <v xml:space="preserve"> </v>
      </c>
      <c r="FR176" s="14" t="str">
        <f t="shared" si="393"/>
        <v xml:space="preserve"> </v>
      </c>
      <c r="FS176" s="14" t="str">
        <f t="shared" si="394"/>
        <v xml:space="preserve"> </v>
      </c>
      <c r="FT176" s="14" t="str">
        <f t="shared" si="395"/>
        <v xml:space="preserve"> </v>
      </c>
      <c r="FU176" s="27" t="str">
        <f t="shared" si="556"/>
        <v xml:space="preserve"> </v>
      </c>
      <c r="FV176" s="14" t="str">
        <f t="shared" si="397"/>
        <v xml:space="preserve"> </v>
      </c>
      <c r="FW176" s="14" t="str">
        <f t="shared" si="398"/>
        <v xml:space="preserve"> </v>
      </c>
      <c r="FX176" s="14" t="str">
        <f t="shared" si="399"/>
        <v xml:space="preserve"> </v>
      </c>
      <c r="FY176" s="14" t="str">
        <f t="shared" si="400"/>
        <v xml:space="preserve"> </v>
      </c>
      <c r="FZ176" s="14" t="str">
        <f t="shared" si="401"/>
        <v xml:space="preserve"> </v>
      </c>
      <c r="GA176" s="27" t="str">
        <f t="shared" si="556"/>
        <v xml:space="preserve"> </v>
      </c>
      <c r="GB176" s="14" t="str">
        <f t="shared" si="403"/>
        <v xml:space="preserve"> </v>
      </c>
      <c r="GC176" s="14" t="str">
        <f t="shared" si="404"/>
        <v xml:space="preserve"> </v>
      </c>
      <c r="GD176" s="14" t="str">
        <f t="shared" si="405"/>
        <v xml:space="preserve"> </v>
      </c>
      <c r="GE176" s="14" t="str">
        <f t="shared" si="406"/>
        <v xml:space="preserve"> </v>
      </c>
      <c r="GF176" s="14" t="str">
        <f t="shared" si="407"/>
        <v xml:space="preserve"> </v>
      </c>
      <c r="GG176" s="27" t="str">
        <f t="shared" si="556"/>
        <v xml:space="preserve"> </v>
      </c>
      <c r="GH176" s="14" t="str">
        <f t="shared" si="409"/>
        <v xml:space="preserve"> </v>
      </c>
      <c r="GI176" s="14" t="str">
        <f t="shared" si="410"/>
        <v xml:space="preserve"> </v>
      </c>
      <c r="GJ176" s="14" t="str">
        <f t="shared" si="411"/>
        <v xml:space="preserve"> </v>
      </c>
      <c r="GK176" s="14" t="str">
        <f t="shared" si="412"/>
        <v xml:space="preserve"> </v>
      </c>
      <c r="GL176" s="14" t="str">
        <f t="shared" si="413"/>
        <v xml:space="preserve"> </v>
      </c>
      <c r="GM176" s="27" t="str">
        <f t="shared" si="556"/>
        <v xml:space="preserve"> </v>
      </c>
      <c r="GN176" s="14" t="str">
        <f t="shared" si="415"/>
        <v xml:space="preserve"> </v>
      </c>
      <c r="GO176" s="14" t="str">
        <f t="shared" si="416"/>
        <v xml:space="preserve"> </v>
      </c>
      <c r="GP176" s="14" t="str">
        <f t="shared" si="417"/>
        <v xml:space="preserve"> </v>
      </c>
      <c r="GQ176" s="14" t="str">
        <f t="shared" si="418"/>
        <v xml:space="preserve"> </v>
      </c>
      <c r="GR176" s="14" t="str">
        <f t="shared" si="419"/>
        <v xml:space="preserve"> </v>
      </c>
      <c r="GS176" s="27" t="str">
        <f t="shared" si="556"/>
        <v xml:space="preserve"> </v>
      </c>
      <c r="GT176" s="14" t="str">
        <f t="shared" si="421"/>
        <v xml:space="preserve"> </v>
      </c>
      <c r="GU176" s="14" t="str">
        <f t="shared" si="422"/>
        <v xml:space="preserve"> </v>
      </c>
      <c r="GV176" s="14" t="str">
        <f t="shared" si="423"/>
        <v xml:space="preserve"> </v>
      </c>
      <c r="GW176" s="14" t="str">
        <f t="shared" si="424"/>
        <v xml:space="preserve"> </v>
      </c>
      <c r="GX176" s="14" t="str">
        <f t="shared" si="425"/>
        <v xml:space="preserve"> </v>
      </c>
      <c r="GY176" s="27" t="str">
        <f t="shared" si="556"/>
        <v xml:space="preserve"> </v>
      </c>
      <c r="GZ176" s="14" t="str">
        <f t="shared" si="427"/>
        <v xml:space="preserve"> </v>
      </c>
      <c r="HA176" s="14" t="str">
        <f t="shared" si="428"/>
        <v xml:space="preserve"> </v>
      </c>
      <c r="HB176" s="14" t="str">
        <f t="shared" si="429"/>
        <v xml:space="preserve"> </v>
      </c>
      <c r="HC176" s="14" t="str">
        <f t="shared" si="430"/>
        <v xml:space="preserve"> </v>
      </c>
      <c r="HD176" s="14" t="str">
        <f t="shared" si="431"/>
        <v xml:space="preserve"> </v>
      </c>
      <c r="HE176" s="27" t="str">
        <f t="shared" si="557"/>
        <v xml:space="preserve"> </v>
      </c>
      <c r="HF176" s="14" t="str">
        <f t="shared" si="433"/>
        <v xml:space="preserve"> </v>
      </c>
      <c r="HG176" s="14" t="str">
        <f t="shared" si="434"/>
        <v xml:space="preserve"> </v>
      </c>
      <c r="HH176" s="14" t="str">
        <f t="shared" si="435"/>
        <v xml:space="preserve"> </v>
      </c>
      <c r="HI176" s="14" t="str">
        <f t="shared" si="436"/>
        <v xml:space="preserve"> </v>
      </c>
      <c r="HJ176" s="14" t="str">
        <f t="shared" si="437"/>
        <v xml:space="preserve"> </v>
      </c>
      <c r="HK176" s="27" t="str">
        <f t="shared" si="557"/>
        <v xml:space="preserve"> </v>
      </c>
      <c r="HL176" s="14" t="str">
        <f t="shared" si="439"/>
        <v xml:space="preserve"> </v>
      </c>
      <c r="HM176" s="14" t="str">
        <f t="shared" si="440"/>
        <v xml:space="preserve"> </v>
      </c>
      <c r="HN176" s="14" t="str">
        <f t="shared" si="441"/>
        <v xml:space="preserve"> </v>
      </c>
      <c r="HO176" s="14" t="str">
        <f t="shared" si="442"/>
        <v xml:space="preserve"> </v>
      </c>
      <c r="HP176" s="14" t="str">
        <f t="shared" si="443"/>
        <v xml:space="preserve"> </v>
      </c>
      <c r="HQ176" s="27" t="str">
        <f t="shared" si="557"/>
        <v xml:space="preserve"> </v>
      </c>
    </row>
    <row r="177" spans="1:225" ht="15.75" customHeight="1">
      <c r="A177" s="7">
        <f t="shared" ref="A177:C177" si="588">A69</f>
        <v>0</v>
      </c>
      <c r="B177" s="7">
        <f t="shared" si="588"/>
        <v>0</v>
      </c>
      <c r="C177" s="7" t="str">
        <f t="shared" si="588"/>
        <v>social media</v>
      </c>
      <c r="D177" s="14" t="str">
        <f t="shared" si="446"/>
        <v xml:space="preserve"> </v>
      </c>
      <c r="E177" s="14" t="str">
        <f t="shared" si="447"/>
        <v xml:space="preserve"> </v>
      </c>
      <c r="F177" s="14" t="str">
        <f t="shared" si="448"/>
        <v xml:space="preserve"> </v>
      </c>
      <c r="G177" s="14" t="str">
        <f t="shared" si="449"/>
        <v xml:space="preserve"> </v>
      </c>
      <c r="H177" s="14" t="str">
        <f t="shared" si="450"/>
        <v xml:space="preserve"> </v>
      </c>
      <c r="I177" s="27" t="str">
        <f t="shared" ref="I177" si="589">IF(I69="",I178,$C177&amp;"("&amp;I69&amp;"),"&amp;I178)</f>
        <v xml:space="preserve"> </v>
      </c>
      <c r="J177" s="14" t="str">
        <f t="shared" ref="J177:J213" si="590">IF(J69="",J178,$C177&amp;"("&amp;J69&amp;")"&amp;CHAR(10)&amp;J178)</f>
        <v xml:space="preserve"> </v>
      </c>
      <c r="K177" s="14" t="str">
        <f t="shared" ref="K177:K213" si="591">IF(K69="",K178,$C177&amp;"("&amp;K69&amp;","&amp;L69&amp;"%), "&amp;K178)</f>
        <v xml:space="preserve"> </v>
      </c>
      <c r="L177" s="14" t="str">
        <f t="shared" ref="L177:L213" si="592">IF(L69="",L178,$C177&amp;"("&amp;L69&amp;")"&amp;CHAR(10)&amp;L178)</f>
        <v xml:space="preserve"> </v>
      </c>
      <c r="M177" s="14" t="str">
        <f t="shared" ref="M177:M213" si="593">IF(M69="",M178,$C177&amp;"("&amp;M69&amp;"), "&amp;M178)</f>
        <v xml:space="preserve"> </v>
      </c>
      <c r="N177" s="14" t="str">
        <f t="shared" ref="N177:N213" si="594">IF(N69="",N178,$C177&amp;"("&amp;N69&amp;","&amp;O69&amp;"%), "&amp;N178)</f>
        <v xml:space="preserve"> </v>
      </c>
      <c r="O177" s="27" t="str">
        <f t="shared" ref="O177:BW192" si="595">IF(O69="",O178,$C177&amp;"("&amp;O69&amp;"),"&amp;O178)</f>
        <v xml:space="preserve"> </v>
      </c>
      <c r="P177" s="14" t="str">
        <f t="shared" ref="P177:P213" si="596">IF(P69="",P178,$C177&amp;"("&amp;P69&amp;")"&amp;CHAR(10)&amp;P178)</f>
        <v xml:space="preserve"> </v>
      </c>
      <c r="Q177" s="14" t="str">
        <f t="shared" ref="Q177:Q213" si="597">IF(Q69="",Q178,$C177&amp;"("&amp;Q69&amp;","&amp;R69&amp;"%), "&amp;Q178)</f>
        <v xml:space="preserve"> </v>
      </c>
      <c r="R177" s="14" t="str">
        <f t="shared" ref="R177:R213" si="598">IF(R69="",R178,$C177&amp;"("&amp;R69&amp;")"&amp;CHAR(10)&amp;R178)</f>
        <v xml:space="preserve"> </v>
      </c>
      <c r="S177" s="14" t="str">
        <f t="shared" ref="S177:S213" si="599">IF(S69="",S178,$C177&amp;"("&amp;S69&amp;"), "&amp;S178)</f>
        <v xml:space="preserve"> </v>
      </c>
      <c r="T177" s="14" t="str">
        <f t="shared" ref="T177:T213" si="600">IF(T69="",T178,$C177&amp;"("&amp;T69&amp;","&amp;U69&amp;"%), "&amp;T178)</f>
        <v xml:space="preserve">web(-1,6.25%), mobile apps(-1,6.25%), aesthetics(-1,6.25%),  </v>
      </c>
      <c r="U177" s="27" t="str">
        <f t="shared" si="595"/>
        <v xml:space="preserve">web(6.25),mobile apps(6.25),aesthetics(6.25), </v>
      </c>
      <c r="V177" s="14" t="str">
        <f t="shared" ref="V177:V213" si="601">IF(V69="",V178,$C177&amp;"("&amp;V69&amp;")"&amp;CHAR(10)&amp;V178)</f>
        <v xml:space="preserve"> </v>
      </c>
      <c r="W177" s="14" t="str">
        <f t="shared" ref="W177:W213" si="602">IF(W69="",W178,$C177&amp;"("&amp;W69&amp;","&amp;X69&amp;"%), "&amp;W178)</f>
        <v xml:space="preserve"> </v>
      </c>
      <c r="X177" s="14" t="str">
        <f t="shared" ref="X177:X213" si="603">IF(X69="",X178,$C177&amp;"("&amp;X69&amp;")"&amp;CHAR(10)&amp;X178)</f>
        <v xml:space="preserve"> </v>
      </c>
      <c r="Y177" s="14" t="str">
        <f t="shared" ref="Y177:Y213" si="604">IF(Y69="",Y178,$C177&amp;"("&amp;Y69&amp;"), "&amp;Y178)</f>
        <v xml:space="preserve">negotiation(0.1),  </v>
      </c>
      <c r="Z177" s="14" t="str">
        <f t="shared" ref="Z177:Z213" si="605">IF(Z69="",Z178,$C177&amp;"("&amp;Z69&amp;","&amp;AA69&amp;"%), "&amp;Z178)</f>
        <v xml:space="preserve"> </v>
      </c>
      <c r="AA177" s="27" t="str">
        <f t="shared" si="595"/>
        <v xml:space="preserve"> </v>
      </c>
      <c r="AB177" s="14" t="str">
        <f t="shared" ref="AB177:AB213" si="606">IF(AB69="",AB178,$C177&amp;"("&amp;AB69&amp;")"&amp;CHAR(10)&amp;AB178)</f>
        <v xml:space="preserve"> </v>
      </c>
      <c r="AC177" s="14" t="str">
        <f t="shared" ref="AC177:AC213" si="607">IF(AC69="",AC178,$C177&amp;"("&amp;AC69&amp;","&amp;AD69&amp;"%), "&amp;AC178)</f>
        <v xml:space="preserve"> </v>
      </c>
      <c r="AD177" s="14" t="str">
        <f t="shared" ref="AD177:AD213" si="608">IF(AD69="",AD178,$C177&amp;"("&amp;AD69&amp;")"&amp;CHAR(10)&amp;AD178)</f>
        <v xml:space="preserve"> </v>
      </c>
      <c r="AE177" s="14" t="str">
        <f t="shared" ref="AE177:AE213" si="609">IF(AE69="",AE178,$C177&amp;"("&amp;AE69&amp;"), "&amp;AE178)</f>
        <v xml:space="preserve"> </v>
      </c>
      <c r="AF177" s="14" t="str">
        <f t="shared" ref="AF177:AF213" si="610">IF(AF69="",AF178,$C177&amp;"("&amp;AF69&amp;","&amp;AG69&amp;"%), "&amp;AF178)</f>
        <v xml:space="preserve"> </v>
      </c>
      <c r="AG177" s="27" t="str">
        <f t="shared" si="595"/>
        <v xml:space="preserve"> </v>
      </c>
      <c r="AH177" s="14" t="str">
        <f t="shared" ref="AH177:AH213" si="611">IF(AH69="",AH178,$C177&amp;"("&amp;AH69&amp;")"&amp;CHAR(10)&amp;AH178)</f>
        <v xml:space="preserve"> </v>
      </c>
      <c r="AI177" s="14" t="str">
        <f t="shared" ref="AI177:AI213" si="612">IF(AI69="",AI178,$C177&amp;"("&amp;AI69&amp;","&amp;AJ69&amp;"%), "&amp;AI178)</f>
        <v xml:space="preserve"> </v>
      </c>
      <c r="AJ177" s="14" t="str">
        <f t="shared" ref="AJ177:AJ213" si="613">IF(AJ69="",AJ178,$C177&amp;"("&amp;AJ69&amp;")"&amp;CHAR(10)&amp;AJ178)</f>
        <v xml:space="preserve"> </v>
      </c>
      <c r="AK177" s="14" t="str">
        <f t="shared" ref="AK177:AK213" si="614">IF(AK69="",AK178,$C177&amp;"("&amp;AK69&amp;"), "&amp;AK178)</f>
        <v xml:space="preserve">negotiation(1.1),  </v>
      </c>
      <c r="AL177" s="14" t="str">
        <f t="shared" ref="AL177:AL213" si="615">IF(AL69="",AL178,$C177&amp;"("&amp;AL69&amp;","&amp;AM69&amp;"%), "&amp;AL178)</f>
        <v xml:space="preserve"> </v>
      </c>
      <c r="AM177" s="27" t="str">
        <f t="shared" si="595"/>
        <v xml:space="preserve"> </v>
      </c>
      <c r="AN177" s="14" t="str">
        <f t="shared" ref="AN177:AN213" si="616">IF(AN69="",AN178,$C177&amp;"("&amp;AN69&amp;")"&amp;CHAR(10)&amp;AN178)</f>
        <v xml:space="preserve"> </v>
      </c>
      <c r="AO177" s="14" t="str">
        <f t="shared" ref="AO177:AO213" si="617">IF(AO69="",AO178,$C177&amp;"("&amp;AO69&amp;","&amp;AP69&amp;"%), "&amp;AO178)</f>
        <v xml:space="preserve"> </v>
      </c>
      <c r="AP177" s="14" t="str">
        <f t="shared" ref="AP177:AP213" si="618">IF(AP69="",AP178,$C177&amp;"("&amp;AP69&amp;")"&amp;CHAR(10)&amp;AP178)</f>
        <v xml:space="preserve"> </v>
      </c>
      <c r="AQ177" s="14" t="str">
        <f t="shared" ref="AQ177:AQ213" si="619">IF(AQ69="",AQ178,$C177&amp;"("&amp;AQ69&amp;"), "&amp;AQ178)</f>
        <v xml:space="preserve"> </v>
      </c>
      <c r="AR177" s="14" t="str">
        <f t="shared" ref="AR177:AR213" si="620">IF(AR69="",AR178,$C177&amp;"("&amp;AR69&amp;","&amp;AS69&amp;"%), "&amp;AR178)</f>
        <v xml:space="preserve"> </v>
      </c>
      <c r="AS177" s="27" t="str">
        <f t="shared" si="595"/>
        <v xml:space="preserve"> </v>
      </c>
      <c r="AT177" s="14" t="str">
        <f t="shared" ref="AT177:AT213" si="621">IF(AT69="",AT178,$C177&amp;"("&amp;AT69&amp;")"&amp;CHAR(10)&amp;AT178)</f>
        <v xml:space="preserve"> </v>
      </c>
      <c r="AU177" s="14" t="str">
        <f t="shared" ref="AU177:AU213" si="622">IF(AU69="",AU178,$C177&amp;"("&amp;AU69&amp;","&amp;AV69&amp;"%), "&amp;AU178)</f>
        <v xml:space="preserve"> </v>
      </c>
      <c r="AV177" s="14" t="str">
        <f t="shared" ref="AV177:AV213" si="623">IF(AV69="",AV178,$C177&amp;"("&amp;AV69&amp;")"&amp;CHAR(10)&amp;AV178)</f>
        <v xml:space="preserve"> </v>
      </c>
      <c r="AW177" s="14" t="str">
        <f t="shared" ref="AW177:AW213" si="624">IF(AW69="",AW178,$C177&amp;"("&amp;AW69&amp;"), "&amp;AW178)</f>
        <v xml:space="preserve"> </v>
      </c>
      <c r="AX177" s="14" t="str">
        <f t="shared" ref="AX177:AX213" si="625">IF(AX69="",AX178,$C177&amp;"("&amp;AX69&amp;","&amp;AY69&amp;"%), "&amp;AX178)</f>
        <v xml:space="preserve"> </v>
      </c>
      <c r="AY177" s="27" t="str">
        <f t="shared" si="595"/>
        <v xml:space="preserve"> </v>
      </c>
      <c r="AZ177" s="14" t="str">
        <f t="shared" ref="AZ177:AZ213" si="626">IF(AZ69="",AZ178,$C177&amp;"("&amp;AZ69&amp;")"&amp;CHAR(10)&amp;AZ178)</f>
        <v xml:space="preserve"> </v>
      </c>
      <c r="BA177" s="14" t="str">
        <f t="shared" ref="BA177:BA213" si="627">IF(BA69="",BA178,$C177&amp;"("&amp;BA69&amp;","&amp;BB69&amp;"%), "&amp;BA178)</f>
        <v xml:space="preserve"> </v>
      </c>
      <c r="BB177" s="14" t="str">
        <f t="shared" ref="BB177:BB213" si="628">IF(BB69="",BB178,$C177&amp;"("&amp;BB69&amp;")"&amp;CHAR(10)&amp;BB178)</f>
        <v xml:space="preserve"> </v>
      </c>
      <c r="BC177" s="14" t="str">
        <f t="shared" ref="BC177:BC213" si="629">IF(BC69="",BC178,$C177&amp;"("&amp;BC69&amp;"), "&amp;BC178)</f>
        <v xml:space="preserve"> </v>
      </c>
      <c r="BD177" s="14" t="str">
        <f t="shared" ref="BD177:BD213" si="630">IF(BD69="",BD178,$C177&amp;"("&amp;BD69&amp;","&amp;BE69&amp;"%), "&amp;BD178)</f>
        <v xml:space="preserve"> </v>
      </c>
      <c r="BE177" s="27" t="str">
        <f t="shared" si="595"/>
        <v xml:space="preserve"> </v>
      </c>
      <c r="BF177" s="14" t="str">
        <f t="shared" ref="BF177:BF213" si="631">IF(BF69="",BF178,$C177&amp;"("&amp;BF69&amp;")"&amp;CHAR(10)&amp;BF178)</f>
        <v xml:space="preserve"> </v>
      </c>
      <c r="BG177" s="14" t="str">
        <f t="shared" ref="BG177:BG213" si="632">IF(BG69="",BG178,$C177&amp;"("&amp;BG69&amp;","&amp;BH69&amp;"%), "&amp;BG178)</f>
        <v xml:space="preserve"> </v>
      </c>
      <c r="BH177" s="14" t="str">
        <f t="shared" ref="BH177:BH213" si="633">IF(BH69="",BH178,$C177&amp;"("&amp;BH69&amp;")"&amp;CHAR(10)&amp;BH178)</f>
        <v xml:space="preserve"> </v>
      </c>
      <c r="BI177" s="14" t="str">
        <f t="shared" ref="BI177:BI213" si="634">IF(BI69="",BI178,$C177&amp;"("&amp;BI69&amp;"), "&amp;BI178)</f>
        <v xml:space="preserve"> </v>
      </c>
      <c r="BJ177" s="14" t="str">
        <f t="shared" ref="BJ177:BJ213" si="635">IF(BJ69="",BJ178,$C177&amp;"("&amp;BJ69&amp;","&amp;BK69&amp;"%), "&amp;BJ178)</f>
        <v xml:space="preserve"> </v>
      </c>
      <c r="BK177" s="27" t="str">
        <f t="shared" si="595"/>
        <v xml:space="preserve"> </v>
      </c>
      <c r="BL177" s="14" t="str">
        <f t="shared" ref="BL177:BL213" si="636">IF(BL69="",BL178,$C177&amp;"("&amp;BL69&amp;")"&amp;CHAR(10)&amp;BL178)</f>
        <v xml:space="preserve">aesthetics(1)
 </v>
      </c>
      <c r="BM177" s="14" t="str">
        <f t="shared" ref="BM177:BM213" si="637">IF(BM69="",BM178,$C177&amp;"("&amp;BM69&amp;","&amp;BN69&amp;"%), "&amp;BM178)</f>
        <v xml:space="preserve">biz enhancement(1,%),  </v>
      </c>
      <c r="BN177" s="14" t="str">
        <f t="shared" ref="BN177:BN213" si="638">IF(BN69="",BN178,$C177&amp;"("&amp;BN69&amp;")"&amp;CHAR(10)&amp;BN178)</f>
        <v xml:space="preserve"> </v>
      </c>
      <c r="BO177" s="14" t="str">
        <f t="shared" ref="BO177:BO213" si="639">IF(BO69="",BO178,$C177&amp;"("&amp;BO69&amp;"), "&amp;BO178)</f>
        <v xml:space="preserve">negotiation(1), aesthetics(2), functions(1), safety(1),  </v>
      </c>
      <c r="BP177" s="14" t="str">
        <f t="shared" ref="BP177:BP213" si="640">IF(BP69="",BP178,$C177&amp;"("&amp;BP69&amp;","&amp;BQ69&amp;"%), "&amp;BP178)</f>
        <v xml:space="preserve"> </v>
      </c>
      <c r="BQ177" s="27" t="str">
        <f t="shared" si="595"/>
        <v xml:space="preserve"> </v>
      </c>
      <c r="BR177" s="14" t="str">
        <f t="shared" ref="BR177:BR213" si="641">IF(BR69="",BR178,$C177&amp;"("&amp;BR69&amp;")"&amp;CHAR(10)&amp;BR178)</f>
        <v xml:space="preserve">aesthetics(1)
 </v>
      </c>
      <c r="BS177" s="14" t="str">
        <f t="shared" ref="BS177:BS213" si="642">IF(BS69="",BS178,$C177&amp;"("&amp;BS69&amp;","&amp;BT69&amp;"%), "&amp;BS178)</f>
        <v xml:space="preserve">biz project(1,%),  </v>
      </c>
      <c r="BT177" s="14" t="str">
        <f t="shared" ref="BT177:BT213" si="643">IF(BT69="",BT178,$C177&amp;"("&amp;BT69&amp;")"&amp;CHAR(10)&amp;BT178)</f>
        <v xml:space="preserve"> </v>
      </c>
      <c r="BU177" s="14" t="str">
        <f t="shared" ref="BU177:BU213" si="644">IF(BU69="",BU178,$C177&amp;"("&amp;BU69&amp;"), "&amp;BU178)</f>
        <v xml:space="preserve">negotiation(1), wood processing(1), aesthetics(2),  </v>
      </c>
      <c r="BV177" s="14" t="str">
        <f t="shared" ref="BV177:BV213" si="645">IF(BV69="",BV178,$C177&amp;"("&amp;BV69&amp;","&amp;BW69&amp;"%), "&amp;BV178)</f>
        <v xml:space="preserve"> </v>
      </c>
      <c r="BW177" s="27" t="str">
        <f t="shared" si="595"/>
        <v xml:space="preserve"> </v>
      </c>
      <c r="BX177" s="14" t="str">
        <f t="shared" ref="BX177:BX213" si="646">IF(BX69="",BX178,$C177&amp;"("&amp;BX69&amp;")"&amp;CHAR(10)&amp;BX178)</f>
        <v xml:space="preserve">aesthetics(1)
interaction(1)
 </v>
      </c>
      <c r="BY177" s="14" t="str">
        <f t="shared" ref="BY177:BY213" si="647">IF(BY69="",BY178,$C177&amp;"("&amp;BY69&amp;","&amp;BZ69&amp;"%), "&amp;BY178)</f>
        <v xml:space="preserve">biz project(1,%),  </v>
      </c>
      <c r="BZ177" s="14" t="str">
        <f t="shared" ref="BZ177:BZ213" si="648">IF(BZ69="",BZ178,$C177&amp;"("&amp;BZ69&amp;")"&amp;CHAR(10)&amp;BZ178)</f>
        <v xml:space="preserve"> </v>
      </c>
      <c r="CA177" s="14" t="str">
        <f t="shared" ref="CA177:CA213" si="649">IF(CA69="",CA178,$C177&amp;"("&amp;CA69&amp;"), "&amp;CA178)</f>
        <v xml:space="preserve">social media(1), negotiation(1), web(2), infrastructrue(2), database(2), security(3), aesthetics(2), functions(1), interaction(2),  </v>
      </c>
      <c r="CB177" s="14" t="str">
        <f t="shared" ref="CB177:CB213" si="650">IF(CB69="",CB178,$C177&amp;"("&amp;CB69&amp;","&amp;CC69&amp;"%), "&amp;CB178)</f>
        <v xml:space="preserve"> </v>
      </c>
      <c r="CC177" s="27" t="str">
        <f t="shared" ref="CC177:EK192" si="651">IF(CC69="",CC178,$C177&amp;"("&amp;CC69&amp;"),"&amp;CC178)</f>
        <v xml:space="preserve"> </v>
      </c>
      <c r="CD177" s="14" t="str">
        <f t="shared" ref="CD177:CD213" si="652">IF(CD69="",CD178,$C177&amp;"("&amp;CD69&amp;")"&amp;CHAR(10)&amp;CD178)</f>
        <v xml:space="preserve">aesthetics(1)
 </v>
      </c>
      <c r="CE177" s="14" t="str">
        <f t="shared" ref="CE177:CE213" si="653">IF(CE69="",CE178,$C177&amp;"("&amp;CE69&amp;","&amp;CF69&amp;"%), "&amp;CE178)</f>
        <v xml:space="preserve">biz project(1,%),  </v>
      </c>
      <c r="CF177" s="14" t="str">
        <f t="shared" ref="CF177:CF213" si="654">IF(CF69="",CF178,$C177&amp;"("&amp;CF69&amp;")"&amp;CHAR(10)&amp;CF178)</f>
        <v xml:space="preserve"> </v>
      </c>
      <c r="CG177" s="14" t="str">
        <f t="shared" ref="CG177:CG213" si="655">IF(CG69="",CG178,$C177&amp;"("&amp;CG69&amp;"), "&amp;CG178)</f>
        <v xml:space="preserve">negotiation(1), infrastructrue(1), database(2), mobile apps(2), security(3), aesthetics(2), functions(1), interaction(2),  </v>
      </c>
      <c r="CH177" s="14" t="str">
        <f t="shared" ref="CH177:CH213" si="656">IF(CH69="",CH178,$C177&amp;"("&amp;CH69&amp;","&amp;CI69&amp;"%), "&amp;CH178)</f>
        <v xml:space="preserve"> </v>
      </c>
      <c r="CI177" s="27" t="str">
        <f t="shared" si="651"/>
        <v xml:space="preserve"> </v>
      </c>
      <c r="CJ177" s="14" t="str">
        <f t="shared" ref="CJ177:CJ213" si="657">IF(CJ69="",CJ178,$C177&amp;"("&amp;CJ69&amp;")"&amp;CHAR(10)&amp;CJ178)</f>
        <v xml:space="preserve">aesthetics(1)
 </v>
      </c>
      <c r="CK177" s="14" t="str">
        <f t="shared" ref="CK177:CK213" si="658">IF(CK69="",CK178,$C177&amp;"("&amp;CK69&amp;","&amp;CL69&amp;"%), "&amp;CK178)</f>
        <v xml:space="preserve">biz project(1,%),  </v>
      </c>
      <c r="CL177" s="14" t="str">
        <f t="shared" ref="CL177:CL213" si="659">IF(CL69="",CL178,$C177&amp;"("&amp;CL69&amp;")"&amp;CHAR(10)&amp;CL178)</f>
        <v xml:space="preserve"> </v>
      </c>
      <c r="CM177" s="14" t="str">
        <f t="shared" ref="CM177:CM213" si="660">IF(CM69="",CM178,$C177&amp;"("&amp;CM69&amp;"), "&amp;CM178)</f>
        <v xml:space="preserve">social media(2), negotiation(1), web(2), infrastructrue(2), database(2), mobile apps(2), security(2), aesthetics(2), functions(1), interaction(2),  </v>
      </c>
      <c r="CN177" s="14" t="str">
        <f t="shared" ref="CN177:CN213" si="661">IF(CN69="",CN178,$C177&amp;"("&amp;CN69&amp;","&amp;CO69&amp;"%), "&amp;CN178)</f>
        <v xml:space="preserve"> </v>
      </c>
      <c r="CO177" s="27" t="str">
        <f t="shared" si="651"/>
        <v xml:space="preserve"> </v>
      </c>
      <c r="CP177" s="14" t="str">
        <f t="shared" ref="CP177:CP213" si="662">IF(CP69="",CP178,$C177&amp;"("&amp;CP69&amp;")"&amp;CHAR(10)&amp;CP178)</f>
        <v xml:space="preserve">metal processing(1)
functions(1)
 </v>
      </c>
      <c r="CQ177" s="14" t="str">
        <f t="shared" ref="CQ177:CQ213" si="663">IF(CQ69="",CQ178,$C177&amp;"("&amp;CQ69&amp;","&amp;CR69&amp;"%), "&amp;CQ178)</f>
        <v xml:space="preserve">biz enhancement(1,50%),  </v>
      </c>
      <c r="CR177" s="14" t="str">
        <f t="shared" ref="CR177:CR213" si="664">IF(CR69="",CR178,$C177&amp;"("&amp;CR69&amp;")"&amp;CHAR(10)&amp;CR178)</f>
        <v xml:space="preserve">biz enhancement(50)
 </v>
      </c>
      <c r="CS177" s="14" t="str">
        <f t="shared" ref="CS177:CS213" si="665">IF(CS69="",CS178,$C177&amp;"("&amp;CS69&amp;"), "&amp;CS178)</f>
        <v xml:space="preserve">metal processing(2), electronics(2), aesthetics(2), functions(2), safety(2),  </v>
      </c>
      <c r="CT177" s="14" t="str">
        <f t="shared" ref="CT177:CT213" si="666">IF(CT69="",CT178,$C177&amp;"("&amp;CT69&amp;","&amp;CU69&amp;"%), "&amp;CT178)</f>
        <v xml:space="preserve"> </v>
      </c>
      <c r="CU177" s="27" t="str">
        <f t="shared" si="651"/>
        <v xml:space="preserve"> </v>
      </c>
      <c r="CV177" s="14" t="str">
        <f t="shared" ref="CV177:CV213" si="667">IF(CV69="",CV178,$C177&amp;"("&amp;CV69&amp;")"&amp;CHAR(10)&amp;CV178)</f>
        <v xml:space="preserve">wood processing(1)
aesthetics(1)
interaction(1)
 </v>
      </c>
      <c r="CW177" s="14" t="str">
        <f t="shared" ref="CW177:CW213" si="668">IF(CW69="",CW178,$C177&amp;"("&amp;CW69&amp;","&amp;CX69&amp;"%), "&amp;CW178)</f>
        <v xml:space="preserve">social project(1,50%),  </v>
      </c>
      <c r="CX177" s="14" t="str">
        <f t="shared" ref="CX177:CX213" si="669">IF(CX69="",CX178,$C177&amp;"("&amp;CX69&amp;")"&amp;CHAR(10)&amp;CX178)</f>
        <v xml:space="preserve">social project(50)
 </v>
      </c>
      <c r="CY177" s="14" t="str">
        <f t="shared" ref="CY177:CY213" si="670">IF(CY69="",CY178,$C177&amp;"("&amp;CY69&amp;"), "&amp;CY178)</f>
        <v xml:space="preserve">sensors(2), wood processing(2), plastic processing(2), electronics(2), aesthetics(2), functions(1), safety(1), interaction(2),  </v>
      </c>
      <c r="CZ177" s="14" t="str">
        <f t="shared" ref="CZ177:CZ213" si="671">IF(CZ69="",CZ178,$C177&amp;"("&amp;CZ69&amp;","&amp;DA69&amp;"%), "&amp;CZ178)</f>
        <v xml:space="preserve"> </v>
      </c>
      <c r="DA177" s="27" t="str">
        <f t="shared" si="651"/>
        <v xml:space="preserve"> </v>
      </c>
      <c r="DB177" s="14" t="str">
        <f t="shared" ref="DB177:DB213" si="672">IF(DB69="",DB178,$C177&amp;"("&amp;DB69&amp;")"&amp;CHAR(10)&amp;DB178)</f>
        <v xml:space="preserve">aesthetics(1)
interaction(1)
 </v>
      </c>
      <c r="DC177" s="14" t="str">
        <f t="shared" ref="DC177:DC213" si="673">IF(DC69="",DC178,$C177&amp;"("&amp;DC69&amp;","&amp;DD69&amp;"%), "&amp;DC178)</f>
        <v xml:space="preserve">social project(1,50%),  </v>
      </c>
      <c r="DD177" s="14" t="str">
        <f t="shared" ref="DD177:DD213" si="674">IF(DD69="",DD178,$C177&amp;"("&amp;DD69&amp;")"&amp;CHAR(10)&amp;DD178)</f>
        <v xml:space="preserve">social project(50)
 </v>
      </c>
      <c r="DE177" s="14" t="str">
        <f t="shared" ref="DE177:DE213" si="675">IF(DE69="",DE178,$C177&amp;"("&amp;DE69&amp;"), "&amp;DE178)</f>
        <v xml:space="preserve">VR&amp;AR(2),  </v>
      </c>
      <c r="DF177" s="14" t="str">
        <f t="shared" ref="DF177:DF213" si="676">IF(DF69="",DF178,$C177&amp;"("&amp;DF69&amp;","&amp;DG69&amp;"%), "&amp;DF178)</f>
        <v xml:space="preserve"> </v>
      </c>
      <c r="DG177" s="27" t="str">
        <f t="shared" si="651"/>
        <v xml:space="preserve"> </v>
      </c>
      <c r="DH177" s="14" t="str">
        <f t="shared" ref="DH177:DH213" si="677">IF(DH69="",DH178,$C177&amp;"("&amp;DH69&amp;")"&amp;CHAR(10)&amp;DH178)</f>
        <v xml:space="preserve">wood processing(1)
aesthetics(1)
safety(1)
 </v>
      </c>
      <c r="DI177" s="14" t="str">
        <f t="shared" ref="DI177:DI213" si="678">IF(DI69="",DI178,$C177&amp;"("&amp;DI69&amp;","&amp;DJ69&amp;"%), "&amp;DI178)</f>
        <v xml:space="preserve">social project(1,100%),  </v>
      </c>
      <c r="DJ177" s="14" t="str">
        <f t="shared" ref="DJ177:DJ213" si="679">IF(DJ69="",DJ178,$C177&amp;"("&amp;DJ69&amp;")"&amp;CHAR(10)&amp;DJ178)</f>
        <v xml:space="preserve">social project(100)
 </v>
      </c>
      <c r="DK177" s="14" t="str">
        <f t="shared" ref="DK177:DK213" si="680">IF(DK69="",DK178,$C177&amp;"("&amp;DK69&amp;"), "&amp;DK178)</f>
        <v xml:space="preserve">social media(2), negotiation(2), sensors(1), wood processing(2), metal processing(2), plastic processing(2), electronics(2), fabric(1), aesthetics(1), functions(2), safety(2), interaction(2),  </v>
      </c>
      <c r="DL177" s="14" t="str">
        <f t="shared" ref="DL177:DL213" si="681">IF(DL69="",DL178,$C177&amp;"("&amp;DL69&amp;","&amp;DM69&amp;"%), "&amp;DL178)</f>
        <v xml:space="preserve"> </v>
      </c>
      <c r="DM177" s="27" t="str">
        <f t="shared" si="651"/>
        <v xml:space="preserve"> </v>
      </c>
      <c r="DN177" s="14" t="str">
        <f t="shared" ref="DN177:DN213" si="682">IF(DN69="",DN178,$C177&amp;"("&amp;DN69&amp;")"&amp;CHAR(10)&amp;DN178)</f>
        <v xml:space="preserve">wood processing(1)
plastic processing(1)
electronics(1)
aesthetics(2)
functions(1)
safety(1)
biz project(1)
 </v>
      </c>
      <c r="DO177" s="14" t="str">
        <f t="shared" ref="DO177:DO213" si="683">IF(DO69="",DO178,$C177&amp;"("&amp;DO69&amp;","&amp;DP69&amp;"%), "&amp;DO178)</f>
        <v xml:space="preserve"> </v>
      </c>
      <c r="DP177" s="14" t="str">
        <f t="shared" ref="DP177:DP213" si="684">IF(DP69="",DP178,$C177&amp;"("&amp;DP69&amp;")"&amp;CHAR(10)&amp;DP178)</f>
        <v xml:space="preserve"> </v>
      </c>
      <c r="DQ177" s="14" t="str">
        <f t="shared" ref="DQ177:DQ213" si="685">IF(DQ69="",DQ178,$C177&amp;"("&amp;DQ69&amp;"), "&amp;DQ178)</f>
        <v xml:space="preserve">social media(2), wood processing(2), plastic processing(2), electronics(2), aesthetics(2),  </v>
      </c>
      <c r="DR177" s="14" t="str">
        <f t="shared" ref="DR177:DR213" si="686">IF(DR69="",DR178,$C177&amp;"("&amp;DR69&amp;","&amp;DS69&amp;"%), "&amp;DR178)</f>
        <v xml:space="preserve"> </v>
      </c>
      <c r="DS177" s="27" t="str">
        <f t="shared" si="651"/>
        <v xml:space="preserve"> </v>
      </c>
      <c r="DT177" s="14" t="str">
        <f t="shared" ref="DT177:DT213" si="687">IF(DT69="",DT178,$C177&amp;"("&amp;DT69&amp;")"&amp;CHAR(10)&amp;DT178)</f>
        <v xml:space="preserve"> </v>
      </c>
      <c r="DU177" s="14" t="str">
        <f t="shared" ref="DU177:DU213" si="688">IF(DU69="",DU178,$C177&amp;"("&amp;DU69&amp;","&amp;DV69&amp;"%), "&amp;DU178)</f>
        <v xml:space="preserve"> </v>
      </c>
      <c r="DV177" s="14" t="str">
        <f t="shared" ref="DV177:DV213" si="689">IF(DV69="",DV178,$C177&amp;"("&amp;DV69&amp;")"&amp;CHAR(10)&amp;DV178)</f>
        <v xml:space="preserve"> </v>
      </c>
      <c r="DW177" s="14" t="str">
        <f t="shared" ref="DW177:DW213" si="690">IF(DW69="",DW178,$C177&amp;"("&amp;DW69&amp;"), "&amp;DW178)</f>
        <v xml:space="preserve">social media(2),  </v>
      </c>
      <c r="DX177" s="14" t="str">
        <f t="shared" ref="DX177:DX213" si="691">IF(DX69="",DX178,$C177&amp;"("&amp;DX69&amp;","&amp;DY69&amp;"%), "&amp;DX178)</f>
        <v xml:space="preserve"> </v>
      </c>
      <c r="DY177" s="27" t="str">
        <f t="shared" si="651"/>
        <v xml:space="preserve"> </v>
      </c>
      <c r="DZ177" s="14" t="str">
        <f t="shared" ref="DZ177:DZ213" si="692">IF(DZ69="",DZ178,$C177&amp;"("&amp;DZ69&amp;")"&amp;CHAR(10)&amp;DZ178)</f>
        <v xml:space="preserve"> </v>
      </c>
      <c r="EA177" s="14" t="str">
        <f t="shared" ref="EA177:EA213" si="693">IF(EA69="",EA178,$C177&amp;"("&amp;EA69&amp;","&amp;EB69&amp;"%), "&amp;EA178)</f>
        <v xml:space="preserve"> </v>
      </c>
      <c r="EB177" s="14" t="str">
        <f t="shared" ref="EB177:EB213" si="694">IF(EB69="",EB178,$C177&amp;"("&amp;EB69&amp;")"&amp;CHAR(10)&amp;EB178)</f>
        <v xml:space="preserve"> </v>
      </c>
      <c r="EC177" s="14" t="str">
        <f t="shared" ref="EC177:EC213" si="695">IF(EC69="",EC178,$C177&amp;"("&amp;EC69&amp;"), "&amp;EC178)</f>
        <v xml:space="preserve"> </v>
      </c>
      <c r="ED177" s="14" t="str">
        <f t="shared" ref="ED177:ED213" si="696">IF(ED69="",ED178,$C177&amp;"("&amp;ED69&amp;","&amp;EE69&amp;"%), "&amp;ED178)</f>
        <v xml:space="preserve"> </v>
      </c>
      <c r="EE177" s="27" t="str">
        <f t="shared" si="651"/>
        <v xml:space="preserve"> </v>
      </c>
      <c r="EF177" s="14" t="str">
        <f t="shared" ref="EF177:EF213" si="697">IF(EF69="",EF178,$C177&amp;"("&amp;EF69&amp;")"&amp;CHAR(10)&amp;EF178)</f>
        <v xml:space="preserve"> </v>
      </c>
      <c r="EG177" s="14" t="str">
        <f t="shared" ref="EG177:EG213" si="698">IF(EG69="",EG178,$C177&amp;"("&amp;EG69&amp;","&amp;EH69&amp;"%), "&amp;EG178)</f>
        <v xml:space="preserve"> </v>
      </c>
      <c r="EH177" s="14" t="str">
        <f t="shared" ref="EH177:EH213" si="699">IF(EH69="",EH178,$C177&amp;"("&amp;EH69&amp;")"&amp;CHAR(10)&amp;EH178)</f>
        <v xml:space="preserve"> </v>
      </c>
      <c r="EI177" s="14" t="str">
        <f t="shared" ref="EI177:EI213" si="700">IF(EI69="",EI178,$C177&amp;"("&amp;EI69&amp;"), "&amp;EI178)</f>
        <v xml:space="preserve"> </v>
      </c>
      <c r="EJ177" s="14" t="str">
        <f t="shared" ref="EJ177:EJ213" si="701">IF(EJ69="",EJ178,$C177&amp;"("&amp;EJ69&amp;","&amp;EK69&amp;"%), "&amp;EJ178)</f>
        <v xml:space="preserve"> </v>
      </c>
      <c r="EK177" s="27" t="str">
        <f t="shared" si="651"/>
        <v xml:space="preserve"> </v>
      </c>
      <c r="EL177" s="14" t="str">
        <f t="shared" ref="EL177:EL213" si="702">IF(EL69="",EL178,$C177&amp;"("&amp;EL69&amp;")"&amp;CHAR(10)&amp;EL178)</f>
        <v xml:space="preserve"> </v>
      </c>
      <c r="EM177" s="14" t="str">
        <f t="shared" ref="EM177:EM213" si="703">IF(EM69="",EM178,$C177&amp;"("&amp;EM69&amp;","&amp;EN69&amp;"%), "&amp;EM178)</f>
        <v xml:space="preserve"> </v>
      </c>
      <c r="EN177" s="14" t="str">
        <f t="shared" ref="EN177:EN213" si="704">IF(EN69="",EN178,$C177&amp;"("&amp;EN69&amp;")"&amp;CHAR(10)&amp;EN178)</f>
        <v xml:space="preserve"> </v>
      </c>
      <c r="EO177" s="14" t="str">
        <f t="shared" ref="EO177:EO213" si="705">IF(EO69="",EO178,$C177&amp;"("&amp;EO69&amp;"), "&amp;EO178)</f>
        <v xml:space="preserve"> </v>
      </c>
      <c r="EP177" s="14" t="str">
        <f t="shared" ref="EP177:EP213" si="706">IF(EP69="",EP178,$C177&amp;"("&amp;EP69&amp;","&amp;EQ69&amp;"%), "&amp;EP178)</f>
        <v xml:space="preserve"> </v>
      </c>
      <c r="EQ177" s="27" t="str">
        <f t="shared" ref="EQ177:GY192" si="707">IF(EQ69="",EQ178,$C177&amp;"("&amp;EQ69&amp;"),"&amp;EQ178)</f>
        <v xml:space="preserve"> </v>
      </c>
      <c r="ER177" s="14" t="str">
        <f t="shared" ref="ER177:ER213" si="708">IF(ER69="",ER178,$C177&amp;"("&amp;ER69&amp;")"&amp;CHAR(10)&amp;ER178)</f>
        <v xml:space="preserve"> </v>
      </c>
      <c r="ES177" s="14" t="str">
        <f t="shared" ref="ES177:ES213" si="709">IF(ES69="",ES178,$C177&amp;"("&amp;ES69&amp;","&amp;ET69&amp;"%), "&amp;ES178)</f>
        <v xml:space="preserve"> </v>
      </c>
      <c r="ET177" s="14" t="str">
        <f t="shared" ref="ET177:ET213" si="710">IF(ET69="",ET178,$C177&amp;"("&amp;ET69&amp;")"&amp;CHAR(10)&amp;ET178)</f>
        <v xml:space="preserve"> </v>
      </c>
      <c r="EU177" s="14" t="str">
        <f t="shared" ref="EU177:EU213" si="711">IF(EU69="",EU178,$C177&amp;"("&amp;EU69&amp;"), "&amp;EU178)</f>
        <v xml:space="preserve"> </v>
      </c>
      <c r="EV177" s="14" t="str">
        <f t="shared" ref="EV177:EV213" si="712">IF(EV69="",EV178,$C177&amp;"("&amp;EV69&amp;","&amp;EW69&amp;"%), "&amp;EV178)</f>
        <v xml:space="preserve"> </v>
      </c>
      <c r="EW177" s="27" t="str">
        <f t="shared" si="707"/>
        <v xml:space="preserve"> </v>
      </c>
      <c r="EX177" s="14" t="str">
        <f t="shared" ref="EX177:EX213" si="713">IF(EX69="",EX178,$C177&amp;"("&amp;EX69&amp;")"&amp;CHAR(10)&amp;EX178)</f>
        <v xml:space="preserve"> </v>
      </c>
      <c r="EY177" s="14" t="str">
        <f t="shared" ref="EY177:EY213" si="714">IF(EY69="",EY178,$C177&amp;"("&amp;EY69&amp;","&amp;EZ69&amp;"%), "&amp;EY178)</f>
        <v xml:space="preserve"> </v>
      </c>
      <c r="EZ177" s="14" t="str">
        <f t="shared" ref="EZ177:EZ213" si="715">IF(EZ69="",EZ178,$C177&amp;"("&amp;EZ69&amp;")"&amp;CHAR(10)&amp;EZ178)</f>
        <v xml:space="preserve"> </v>
      </c>
      <c r="FA177" s="14" t="str">
        <f t="shared" ref="FA177:FA213" si="716">IF(FA69="",FA178,$C177&amp;"("&amp;FA69&amp;"), "&amp;FA178)</f>
        <v xml:space="preserve"> </v>
      </c>
      <c r="FB177" s="14" t="str">
        <f t="shared" ref="FB177:FB213" si="717">IF(FB69="",FB178,$C177&amp;"("&amp;FB69&amp;","&amp;FC69&amp;"%), "&amp;FB178)</f>
        <v xml:space="preserve"> </v>
      </c>
      <c r="FC177" s="27" t="str">
        <f t="shared" si="707"/>
        <v xml:space="preserve"> </v>
      </c>
      <c r="FD177" s="14" t="str">
        <f t="shared" ref="FD177:FD213" si="718">IF(FD69="",FD178,$C177&amp;"("&amp;FD69&amp;")"&amp;CHAR(10)&amp;FD178)</f>
        <v xml:space="preserve"> </v>
      </c>
      <c r="FE177" s="14" t="str">
        <f t="shared" ref="FE177:FE213" si="719">IF(FE69="",FE178,$C177&amp;"("&amp;FE69&amp;","&amp;FF69&amp;"%), "&amp;FE178)</f>
        <v xml:space="preserve"> </v>
      </c>
      <c r="FF177" s="14" t="str">
        <f t="shared" ref="FF177:FF213" si="720">IF(FF69="",FF178,$C177&amp;"("&amp;FF69&amp;")"&amp;CHAR(10)&amp;FF178)</f>
        <v xml:space="preserve"> </v>
      </c>
      <c r="FG177" s="14" t="str">
        <f t="shared" ref="FG177:FG213" si="721">IF(FG69="",FG178,$C177&amp;"("&amp;FG69&amp;"), "&amp;FG178)</f>
        <v xml:space="preserve"> </v>
      </c>
      <c r="FH177" s="14" t="str">
        <f t="shared" ref="FH177:FH213" si="722">IF(FH69="",FH178,$C177&amp;"("&amp;FH69&amp;","&amp;FI69&amp;"%), "&amp;FH178)</f>
        <v xml:space="preserve"> </v>
      </c>
      <c r="FI177" s="27" t="str">
        <f t="shared" si="707"/>
        <v xml:space="preserve"> </v>
      </c>
      <c r="FJ177" s="14" t="str">
        <f t="shared" ref="FJ177:FJ213" si="723">IF(FJ69="",FJ178,$C177&amp;"("&amp;FJ69&amp;")"&amp;CHAR(10)&amp;FJ178)</f>
        <v xml:space="preserve"> </v>
      </c>
      <c r="FK177" s="14" t="str">
        <f t="shared" ref="FK177:FK213" si="724">IF(FK69="",FK178,$C177&amp;"("&amp;FK69&amp;","&amp;FL69&amp;"%), "&amp;FK178)</f>
        <v xml:space="preserve"> </v>
      </c>
      <c r="FL177" s="14" t="str">
        <f t="shared" ref="FL177:FL213" si="725">IF(FL69="",FL178,$C177&amp;"("&amp;FL69&amp;")"&amp;CHAR(10)&amp;FL178)</f>
        <v xml:space="preserve"> </v>
      </c>
      <c r="FM177" s="14" t="str">
        <f t="shared" ref="FM177:FM213" si="726">IF(FM69="",FM178,$C177&amp;"("&amp;FM69&amp;"), "&amp;FM178)</f>
        <v xml:space="preserve"> </v>
      </c>
      <c r="FN177" s="14" t="str">
        <f t="shared" ref="FN177:FN213" si="727">IF(FN69="",FN178,$C177&amp;"("&amp;FN69&amp;","&amp;FO69&amp;"%), "&amp;FN178)</f>
        <v xml:space="preserve"> </v>
      </c>
      <c r="FO177" s="27" t="str">
        <f t="shared" si="707"/>
        <v xml:space="preserve"> </v>
      </c>
      <c r="FP177" s="14" t="str">
        <f t="shared" ref="FP177:FP213" si="728">IF(FP69="",FP178,$C177&amp;"("&amp;FP69&amp;")"&amp;CHAR(10)&amp;FP178)</f>
        <v xml:space="preserve"> </v>
      </c>
      <c r="FQ177" s="14" t="str">
        <f t="shared" ref="FQ177:FQ213" si="729">IF(FQ69="",FQ178,$C177&amp;"("&amp;FQ69&amp;","&amp;FR69&amp;"%), "&amp;FQ178)</f>
        <v xml:space="preserve"> </v>
      </c>
      <c r="FR177" s="14" t="str">
        <f t="shared" ref="FR177:FR213" si="730">IF(FR69="",FR178,$C177&amp;"("&amp;FR69&amp;")"&amp;CHAR(10)&amp;FR178)</f>
        <v xml:space="preserve"> </v>
      </c>
      <c r="FS177" s="14" t="str">
        <f t="shared" ref="FS177:FS213" si="731">IF(FS69="",FS178,$C177&amp;"("&amp;FS69&amp;"), "&amp;FS178)</f>
        <v xml:space="preserve"> </v>
      </c>
      <c r="FT177" s="14" t="str">
        <f t="shared" ref="FT177:FT213" si="732">IF(FT69="",FT178,$C177&amp;"("&amp;FT69&amp;","&amp;FU69&amp;"%), "&amp;FT178)</f>
        <v xml:space="preserve"> </v>
      </c>
      <c r="FU177" s="27" t="str">
        <f t="shared" si="707"/>
        <v xml:space="preserve"> </v>
      </c>
      <c r="FV177" s="14" t="str">
        <f t="shared" ref="FV177:FV213" si="733">IF(FV69="",FV178,$C177&amp;"("&amp;FV69&amp;")"&amp;CHAR(10)&amp;FV178)</f>
        <v xml:space="preserve"> </v>
      </c>
      <c r="FW177" s="14" t="str">
        <f t="shared" ref="FW177:FW213" si="734">IF(FW69="",FW178,$C177&amp;"("&amp;FW69&amp;","&amp;FX69&amp;"%), "&amp;FW178)</f>
        <v xml:space="preserve"> </v>
      </c>
      <c r="FX177" s="14" t="str">
        <f t="shared" ref="FX177:FX213" si="735">IF(FX69="",FX178,$C177&amp;"("&amp;FX69&amp;")"&amp;CHAR(10)&amp;FX178)</f>
        <v xml:space="preserve"> </v>
      </c>
      <c r="FY177" s="14" t="str">
        <f t="shared" ref="FY177:FY213" si="736">IF(FY69="",FY178,$C177&amp;"("&amp;FY69&amp;"), "&amp;FY178)</f>
        <v xml:space="preserve"> </v>
      </c>
      <c r="FZ177" s="14" t="str">
        <f t="shared" ref="FZ177:FZ213" si="737">IF(FZ69="",FZ178,$C177&amp;"("&amp;FZ69&amp;","&amp;GA69&amp;"%), "&amp;FZ178)</f>
        <v xml:space="preserve"> </v>
      </c>
      <c r="GA177" s="27" t="str">
        <f t="shared" si="707"/>
        <v xml:space="preserve"> </v>
      </c>
      <c r="GB177" s="14" t="str">
        <f t="shared" ref="GB177:GB213" si="738">IF(GB69="",GB178,$C177&amp;"("&amp;GB69&amp;")"&amp;CHAR(10)&amp;GB178)</f>
        <v xml:space="preserve"> </v>
      </c>
      <c r="GC177" s="14" t="str">
        <f t="shared" ref="GC177:GC213" si="739">IF(GC69="",GC178,$C177&amp;"("&amp;GC69&amp;","&amp;GD69&amp;"%), "&amp;GC178)</f>
        <v xml:space="preserve"> </v>
      </c>
      <c r="GD177" s="14" t="str">
        <f t="shared" ref="GD177:GD213" si="740">IF(GD69="",GD178,$C177&amp;"("&amp;GD69&amp;")"&amp;CHAR(10)&amp;GD178)</f>
        <v xml:space="preserve"> </v>
      </c>
      <c r="GE177" s="14" t="str">
        <f t="shared" ref="GE177:GE213" si="741">IF(GE69="",GE178,$C177&amp;"("&amp;GE69&amp;"), "&amp;GE178)</f>
        <v xml:space="preserve"> </v>
      </c>
      <c r="GF177" s="14" t="str">
        <f t="shared" ref="GF177:GF213" si="742">IF(GF69="",GF178,$C177&amp;"("&amp;GF69&amp;","&amp;GG69&amp;"%), "&amp;GF178)</f>
        <v xml:space="preserve"> </v>
      </c>
      <c r="GG177" s="27" t="str">
        <f t="shared" si="707"/>
        <v xml:space="preserve"> </v>
      </c>
      <c r="GH177" s="14" t="str">
        <f t="shared" ref="GH177:GH213" si="743">IF(GH69="",GH178,$C177&amp;"("&amp;GH69&amp;")"&amp;CHAR(10)&amp;GH178)</f>
        <v xml:space="preserve"> </v>
      </c>
      <c r="GI177" s="14" t="str">
        <f t="shared" ref="GI177:GI213" si="744">IF(GI69="",GI178,$C177&amp;"("&amp;GI69&amp;","&amp;GJ69&amp;"%), "&amp;GI178)</f>
        <v xml:space="preserve"> </v>
      </c>
      <c r="GJ177" s="14" t="str">
        <f t="shared" ref="GJ177:GJ213" si="745">IF(GJ69="",GJ178,$C177&amp;"("&amp;GJ69&amp;")"&amp;CHAR(10)&amp;GJ178)</f>
        <v xml:space="preserve"> </v>
      </c>
      <c r="GK177" s="14" t="str">
        <f t="shared" ref="GK177:GK213" si="746">IF(GK69="",GK178,$C177&amp;"("&amp;GK69&amp;"), "&amp;GK178)</f>
        <v xml:space="preserve"> </v>
      </c>
      <c r="GL177" s="14" t="str">
        <f t="shared" ref="GL177:GL213" si="747">IF(GL69="",GL178,$C177&amp;"("&amp;GL69&amp;","&amp;GM69&amp;"%), "&amp;GL178)</f>
        <v xml:space="preserve"> </v>
      </c>
      <c r="GM177" s="27" t="str">
        <f t="shared" si="707"/>
        <v xml:space="preserve"> </v>
      </c>
      <c r="GN177" s="14" t="str">
        <f t="shared" ref="GN177:GN213" si="748">IF(GN69="",GN178,$C177&amp;"("&amp;GN69&amp;")"&amp;CHAR(10)&amp;GN178)</f>
        <v xml:space="preserve"> </v>
      </c>
      <c r="GO177" s="14" t="str">
        <f t="shared" ref="GO177:GO213" si="749">IF(GO69="",GO178,$C177&amp;"("&amp;GO69&amp;","&amp;GP69&amp;"%), "&amp;GO178)</f>
        <v xml:space="preserve"> </v>
      </c>
      <c r="GP177" s="14" t="str">
        <f t="shared" ref="GP177:GP213" si="750">IF(GP69="",GP178,$C177&amp;"("&amp;GP69&amp;")"&amp;CHAR(10)&amp;GP178)</f>
        <v xml:space="preserve"> </v>
      </c>
      <c r="GQ177" s="14" t="str">
        <f t="shared" ref="GQ177:GQ213" si="751">IF(GQ69="",GQ178,$C177&amp;"("&amp;GQ69&amp;"), "&amp;GQ178)</f>
        <v xml:space="preserve"> </v>
      </c>
      <c r="GR177" s="14" t="str">
        <f t="shared" ref="GR177:GR213" si="752">IF(GR69="",GR178,$C177&amp;"("&amp;GR69&amp;","&amp;GS69&amp;"%), "&amp;GR178)</f>
        <v xml:space="preserve"> </v>
      </c>
      <c r="GS177" s="27" t="str">
        <f t="shared" si="707"/>
        <v xml:space="preserve"> </v>
      </c>
      <c r="GT177" s="14" t="str">
        <f t="shared" ref="GT177:GT213" si="753">IF(GT69="",GT178,$C177&amp;"("&amp;GT69&amp;")"&amp;CHAR(10)&amp;GT178)</f>
        <v xml:space="preserve"> </v>
      </c>
      <c r="GU177" s="14" t="str">
        <f t="shared" ref="GU177:GU213" si="754">IF(GU69="",GU178,$C177&amp;"("&amp;GU69&amp;","&amp;GV69&amp;"%), "&amp;GU178)</f>
        <v xml:space="preserve"> </v>
      </c>
      <c r="GV177" s="14" t="str">
        <f t="shared" ref="GV177:GV213" si="755">IF(GV69="",GV178,$C177&amp;"("&amp;GV69&amp;")"&amp;CHAR(10)&amp;GV178)</f>
        <v xml:space="preserve"> </v>
      </c>
      <c r="GW177" s="14" t="str">
        <f t="shared" ref="GW177:GW213" si="756">IF(GW69="",GW178,$C177&amp;"("&amp;GW69&amp;"), "&amp;GW178)</f>
        <v xml:space="preserve"> </v>
      </c>
      <c r="GX177" s="14" t="str">
        <f t="shared" ref="GX177:GX213" si="757">IF(GX69="",GX178,$C177&amp;"("&amp;GX69&amp;","&amp;GY69&amp;"%), "&amp;GX178)</f>
        <v xml:space="preserve"> </v>
      </c>
      <c r="GY177" s="27" t="str">
        <f t="shared" si="707"/>
        <v xml:space="preserve"> </v>
      </c>
      <c r="GZ177" s="14" t="str">
        <f t="shared" ref="GZ177:GZ213" si="758">IF(GZ69="",GZ178,$C177&amp;"("&amp;GZ69&amp;")"&amp;CHAR(10)&amp;GZ178)</f>
        <v xml:space="preserve"> </v>
      </c>
      <c r="HA177" s="14" t="str">
        <f t="shared" ref="HA177:HA213" si="759">IF(HA69="",HA178,$C177&amp;"("&amp;HA69&amp;","&amp;HB69&amp;"%), "&amp;HA178)</f>
        <v xml:space="preserve"> </v>
      </c>
      <c r="HB177" s="14" t="str">
        <f t="shared" ref="HB177:HB213" si="760">IF(HB69="",HB178,$C177&amp;"("&amp;HB69&amp;")"&amp;CHAR(10)&amp;HB178)</f>
        <v xml:space="preserve"> </v>
      </c>
      <c r="HC177" s="14" t="str">
        <f t="shared" ref="HC177:HC213" si="761">IF(HC69="",HC178,$C177&amp;"("&amp;HC69&amp;"), "&amp;HC178)</f>
        <v xml:space="preserve"> </v>
      </c>
      <c r="HD177" s="14" t="str">
        <f t="shared" ref="HD177:HD213" si="762">IF(HD69="",HD178,$C177&amp;"("&amp;HD69&amp;","&amp;HE69&amp;"%), "&amp;HD178)</f>
        <v xml:space="preserve"> </v>
      </c>
      <c r="HE177" s="27" t="str">
        <f t="shared" ref="HE177:HQ192" si="763">IF(HE69="",HE178,$C177&amp;"("&amp;HE69&amp;"),"&amp;HE178)</f>
        <v xml:space="preserve"> </v>
      </c>
      <c r="HF177" s="14" t="str">
        <f t="shared" ref="HF177:HF213" si="764">IF(HF69="",HF178,$C177&amp;"("&amp;HF69&amp;")"&amp;CHAR(10)&amp;HF178)</f>
        <v xml:space="preserve"> </v>
      </c>
      <c r="HG177" s="14" t="str">
        <f t="shared" ref="HG177:HG213" si="765">IF(HG69="",HG178,$C177&amp;"("&amp;HG69&amp;","&amp;HH69&amp;"%), "&amp;HG178)</f>
        <v xml:space="preserve"> </v>
      </c>
      <c r="HH177" s="14" t="str">
        <f t="shared" ref="HH177:HH213" si="766">IF(HH69="",HH178,$C177&amp;"("&amp;HH69&amp;")"&amp;CHAR(10)&amp;HH178)</f>
        <v xml:space="preserve"> </v>
      </c>
      <c r="HI177" s="14" t="str">
        <f t="shared" ref="HI177:HI213" si="767">IF(HI69="",HI178,$C177&amp;"("&amp;HI69&amp;"), "&amp;HI178)</f>
        <v xml:space="preserve"> </v>
      </c>
      <c r="HJ177" s="14" t="str">
        <f t="shared" ref="HJ177:HJ213" si="768">IF(HJ69="",HJ178,$C177&amp;"("&amp;HJ69&amp;","&amp;HK69&amp;"%), "&amp;HJ178)</f>
        <v xml:space="preserve"> </v>
      </c>
      <c r="HK177" s="27" t="str">
        <f t="shared" si="763"/>
        <v xml:space="preserve"> </v>
      </c>
      <c r="HL177" s="14" t="str">
        <f t="shared" ref="HL177:HL213" si="769">IF(HL69="",HL178,$C177&amp;"("&amp;HL69&amp;")"&amp;CHAR(10)&amp;HL178)</f>
        <v xml:space="preserve"> </v>
      </c>
      <c r="HM177" s="14" t="str">
        <f t="shared" ref="HM177:HM213" si="770">IF(HM69="",HM178,$C177&amp;"("&amp;HM69&amp;","&amp;HN69&amp;"%), "&amp;HM178)</f>
        <v xml:space="preserve"> </v>
      </c>
      <c r="HN177" s="14" t="str">
        <f t="shared" ref="HN177:HN213" si="771">IF(HN69="",HN178,$C177&amp;"("&amp;HN69&amp;")"&amp;CHAR(10)&amp;HN178)</f>
        <v xml:space="preserve"> </v>
      </c>
      <c r="HO177" s="14" t="str">
        <f t="shared" ref="HO177:HO213" si="772">IF(HO69="",HO178,$C177&amp;"("&amp;HO69&amp;"), "&amp;HO178)</f>
        <v xml:space="preserve"> </v>
      </c>
      <c r="HP177" s="14" t="str">
        <f t="shared" ref="HP177:HP213" si="773">IF(HP69="",HP178,$C177&amp;"("&amp;HP69&amp;","&amp;HQ69&amp;"%), "&amp;HP178)</f>
        <v xml:space="preserve"> </v>
      </c>
      <c r="HQ177" s="27" t="str">
        <f t="shared" si="763"/>
        <v xml:space="preserve"> </v>
      </c>
    </row>
    <row r="178" spans="1:225" ht="15.75" customHeight="1">
      <c r="A178" s="7">
        <f t="shared" ref="A178:C178" si="774">A70</f>
        <v>0</v>
      </c>
      <c r="B178" s="7">
        <f t="shared" si="774"/>
        <v>0</v>
      </c>
      <c r="C178" s="7" t="str">
        <f t="shared" si="774"/>
        <v>negotiation</v>
      </c>
      <c r="D178" s="14" t="str">
        <f t="shared" ref="D178:D213" si="775">IF(D70="",D179,$C178&amp;"("&amp;D70&amp;")"&amp;CHAR(10)&amp;D179)</f>
        <v xml:space="preserve"> </v>
      </c>
      <c r="E178" s="14" t="str">
        <f t="shared" ref="E178:E213" si="776">IF(E70="",E179,$C178&amp;"("&amp;E70&amp;","&amp;F70&amp;"%), "&amp;E179)</f>
        <v xml:space="preserve"> </v>
      </c>
      <c r="F178" s="14" t="str">
        <f t="shared" ref="F178:F213" si="777">IF(F70="",F179,$C178&amp;"("&amp;F70&amp;")"&amp;CHAR(10)&amp;F179)</f>
        <v xml:space="preserve"> </v>
      </c>
      <c r="G178" s="14" t="str">
        <f t="shared" ref="G178:G213" si="778">IF(G70="",G179,$C178&amp;"("&amp;G70&amp;"), "&amp;G179)</f>
        <v xml:space="preserve"> </v>
      </c>
      <c r="H178" s="14" t="str">
        <f t="shared" ref="H178:H213" si="779">IF(H70="",H179,$C178&amp;"("&amp;H70&amp;","&amp;I70&amp;"%), "&amp;H179)</f>
        <v xml:space="preserve"> </v>
      </c>
      <c r="I178" s="27" t="str">
        <f t="shared" ref="I178" si="780">IF(I70="",I179,$C178&amp;"("&amp;I70&amp;"),"&amp;I179)</f>
        <v xml:space="preserve"> </v>
      </c>
      <c r="J178" s="14" t="str">
        <f t="shared" si="590"/>
        <v xml:space="preserve"> </v>
      </c>
      <c r="K178" s="14" t="str">
        <f t="shared" si="591"/>
        <v xml:space="preserve"> </v>
      </c>
      <c r="L178" s="14" t="str">
        <f t="shared" si="592"/>
        <v xml:space="preserve"> </v>
      </c>
      <c r="M178" s="14" t="str">
        <f t="shared" si="593"/>
        <v xml:space="preserve"> </v>
      </c>
      <c r="N178" s="14" t="str">
        <f t="shared" si="594"/>
        <v xml:space="preserve"> </v>
      </c>
      <c r="O178" s="27" t="str">
        <f t="shared" si="595"/>
        <v xml:space="preserve"> </v>
      </c>
      <c r="P178" s="14" t="str">
        <f t="shared" si="596"/>
        <v xml:space="preserve"> </v>
      </c>
      <c r="Q178" s="14" t="str">
        <f t="shared" si="597"/>
        <v xml:space="preserve"> </v>
      </c>
      <c r="R178" s="14" t="str">
        <f t="shared" si="598"/>
        <v xml:space="preserve"> </v>
      </c>
      <c r="S178" s="14" t="str">
        <f t="shared" si="599"/>
        <v xml:space="preserve"> </v>
      </c>
      <c r="T178" s="14" t="str">
        <f t="shared" si="600"/>
        <v xml:space="preserve">web(-1,6.25%), mobile apps(-1,6.25%), aesthetics(-1,6.25%),  </v>
      </c>
      <c r="U178" s="27" t="str">
        <f t="shared" si="595"/>
        <v xml:space="preserve">web(6.25),mobile apps(6.25),aesthetics(6.25), </v>
      </c>
      <c r="V178" s="14" t="str">
        <f t="shared" si="601"/>
        <v xml:space="preserve"> </v>
      </c>
      <c r="W178" s="14" t="str">
        <f t="shared" si="602"/>
        <v xml:space="preserve"> </v>
      </c>
      <c r="X178" s="14" t="str">
        <f t="shared" si="603"/>
        <v xml:space="preserve"> </v>
      </c>
      <c r="Y178" s="14" t="str">
        <f t="shared" si="604"/>
        <v xml:space="preserve">negotiation(0.1),  </v>
      </c>
      <c r="Z178" s="14" t="str">
        <f t="shared" si="605"/>
        <v xml:space="preserve"> </v>
      </c>
      <c r="AA178" s="27" t="str">
        <f t="shared" si="595"/>
        <v xml:space="preserve"> </v>
      </c>
      <c r="AB178" s="14" t="str">
        <f t="shared" si="606"/>
        <v xml:space="preserve"> </v>
      </c>
      <c r="AC178" s="14" t="str">
        <f t="shared" si="607"/>
        <v xml:space="preserve"> </v>
      </c>
      <c r="AD178" s="14" t="str">
        <f t="shared" si="608"/>
        <v xml:space="preserve"> </v>
      </c>
      <c r="AE178" s="14" t="str">
        <f t="shared" si="609"/>
        <v xml:space="preserve"> </v>
      </c>
      <c r="AF178" s="14" t="str">
        <f t="shared" si="610"/>
        <v xml:space="preserve"> </v>
      </c>
      <c r="AG178" s="27" t="str">
        <f t="shared" si="595"/>
        <v xml:space="preserve"> </v>
      </c>
      <c r="AH178" s="14" t="str">
        <f t="shared" si="611"/>
        <v xml:space="preserve"> </v>
      </c>
      <c r="AI178" s="14" t="str">
        <f t="shared" si="612"/>
        <v xml:space="preserve"> </v>
      </c>
      <c r="AJ178" s="14" t="str">
        <f t="shared" si="613"/>
        <v xml:space="preserve"> </v>
      </c>
      <c r="AK178" s="14" t="str">
        <f t="shared" si="614"/>
        <v xml:space="preserve">negotiation(1.1),  </v>
      </c>
      <c r="AL178" s="14" t="str">
        <f t="shared" si="615"/>
        <v xml:space="preserve"> </v>
      </c>
      <c r="AM178" s="27" t="str">
        <f t="shared" si="595"/>
        <v xml:space="preserve"> </v>
      </c>
      <c r="AN178" s="14" t="str">
        <f t="shared" si="616"/>
        <v xml:space="preserve"> </v>
      </c>
      <c r="AO178" s="14" t="str">
        <f t="shared" si="617"/>
        <v xml:space="preserve"> </v>
      </c>
      <c r="AP178" s="14" t="str">
        <f t="shared" si="618"/>
        <v xml:space="preserve"> </v>
      </c>
      <c r="AQ178" s="14" t="str">
        <f t="shared" si="619"/>
        <v xml:space="preserve"> </v>
      </c>
      <c r="AR178" s="14" t="str">
        <f t="shared" si="620"/>
        <v xml:space="preserve"> </v>
      </c>
      <c r="AS178" s="27" t="str">
        <f t="shared" si="595"/>
        <v xml:space="preserve"> </v>
      </c>
      <c r="AT178" s="14" t="str">
        <f t="shared" si="621"/>
        <v xml:space="preserve"> </v>
      </c>
      <c r="AU178" s="14" t="str">
        <f t="shared" si="622"/>
        <v xml:space="preserve"> </v>
      </c>
      <c r="AV178" s="14" t="str">
        <f t="shared" si="623"/>
        <v xml:space="preserve"> </v>
      </c>
      <c r="AW178" s="14" t="str">
        <f t="shared" si="624"/>
        <v xml:space="preserve"> </v>
      </c>
      <c r="AX178" s="14" t="str">
        <f t="shared" si="625"/>
        <v xml:space="preserve"> </v>
      </c>
      <c r="AY178" s="27" t="str">
        <f t="shared" si="595"/>
        <v xml:space="preserve"> </v>
      </c>
      <c r="AZ178" s="14" t="str">
        <f t="shared" si="626"/>
        <v xml:space="preserve"> </v>
      </c>
      <c r="BA178" s="14" t="str">
        <f t="shared" si="627"/>
        <v xml:space="preserve"> </v>
      </c>
      <c r="BB178" s="14" t="str">
        <f t="shared" si="628"/>
        <v xml:space="preserve"> </v>
      </c>
      <c r="BC178" s="14" t="str">
        <f t="shared" si="629"/>
        <v xml:space="preserve"> </v>
      </c>
      <c r="BD178" s="14" t="str">
        <f t="shared" si="630"/>
        <v xml:space="preserve"> </v>
      </c>
      <c r="BE178" s="27" t="str">
        <f t="shared" si="595"/>
        <v xml:space="preserve"> </v>
      </c>
      <c r="BF178" s="14" t="str">
        <f t="shared" si="631"/>
        <v xml:space="preserve"> </v>
      </c>
      <c r="BG178" s="14" t="str">
        <f t="shared" si="632"/>
        <v xml:space="preserve"> </v>
      </c>
      <c r="BH178" s="14" t="str">
        <f t="shared" si="633"/>
        <v xml:space="preserve"> </v>
      </c>
      <c r="BI178" s="14" t="str">
        <f t="shared" si="634"/>
        <v xml:space="preserve"> </v>
      </c>
      <c r="BJ178" s="14" t="str">
        <f t="shared" si="635"/>
        <v xml:space="preserve"> </v>
      </c>
      <c r="BK178" s="27" t="str">
        <f t="shared" si="595"/>
        <v xml:space="preserve"> </v>
      </c>
      <c r="BL178" s="14" t="str">
        <f t="shared" si="636"/>
        <v xml:space="preserve">aesthetics(1)
 </v>
      </c>
      <c r="BM178" s="14" t="str">
        <f t="shared" si="637"/>
        <v xml:space="preserve">biz enhancement(1,%),  </v>
      </c>
      <c r="BN178" s="14" t="str">
        <f t="shared" si="638"/>
        <v xml:space="preserve"> </v>
      </c>
      <c r="BO178" s="14" t="str">
        <f t="shared" si="639"/>
        <v xml:space="preserve">negotiation(1), aesthetics(2), functions(1), safety(1),  </v>
      </c>
      <c r="BP178" s="14" t="str">
        <f t="shared" si="640"/>
        <v xml:space="preserve"> </v>
      </c>
      <c r="BQ178" s="27" t="str">
        <f t="shared" si="595"/>
        <v xml:space="preserve"> </v>
      </c>
      <c r="BR178" s="14" t="str">
        <f t="shared" si="641"/>
        <v xml:space="preserve">aesthetics(1)
 </v>
      </c>
      <c r="BS178" s="14" t="str">
        <f t="shared" si="642"/>
        <v xml:space="preserve">biz project(1,%),  </v>
      </c>
      <c r="BT178" s="14" t="str">
        <f t="shared" si="643"/>
        <v xml:space="preserve"> </v>
      </c>
      <c r="BU178" s="14" t="str">
        <f t="shared" si="644"/>
        <v xml:space="preserve">negotiation(1), wood processing(1), aesthetics(2),  </v>
      </c>
      <c r="BV178" s="14" t="str">
        <f t="shared" si="645"/>
        <v xml:space="preserve"> </v>
      </c>
      <c r="BW178" s="27" t="str">
        <f t="shared" si="595"/>
        <v xml:space="preserve"> </v>
      </c>
      <c r="BX178" s="14" t="str">
        <f t="shared" si="646"/>
        <v xml:space="preserve">aesthetics(1)
interaction(1)
 </v>
      </c>
      <c r="BY178" s="14" t="str">
        <f t="shared" si="647"/>
        <v xml:space="preserve">biz project(1,%),  </v>
      </c>
      <c r="BZ178" s="14" t="str">
        <f t="shared" si="648"/>
        <v xml:space="preserve"> </v>
      </c>
      <c r="CA178" s="14" t="str">
        <f t="shared" si="649"/>
        <v xml:space="preserve">negotiation(1), web(2), infrastructrue(2), database(2), security(3), aesthetics(2), functions(1), interaction(2),  </v>
      </c>
      <c r="CB178" s="14" t="str">
        <f t="shared" si="650"/>
        <v xml:space="preserve"> </v>
      </c>
      <c r="CC178" s="27" t="str">
        <f t="shared" si="651"/>
        <v xml:space="preserve"> </v>
      </c>
      <c r="CD178" s="14" t="str">
        <f t="shared" si="652"/>
        <v xml:space="preserve">aesthetics(1)
 </v>
      </c>
      <c r="CE178" s="14" t="str">
        <f t="shared" si="653"/>
        <v xml:space="preserve">biz project(1,%),  </v>
      </c>
      <c r="CF178" s="14" t="str">
        <f t="shared" si="654"/>
        <v xml:space="preserve"> </v>
      </c>
      <c r="CG178" s="14" t="str">
        <f t="shared" si="655"/>
        <v xml:space="preserve">negotiation(1), infrastructrue(1), database(2), mobile apps(2), security(3), aesthetics(2), functions(1), interaction(2),  </v>
      </c>
      <c r="CH178" s="14" t="str">
        <f t="shared" si="656"/>
        <v xml:space="preserve"> </v>
      </c>
      <c r="CI178" s="27" t="str">
        <f t="shared" si="651"/>
        <v xml:space="preserve"> </v>
      </c>
      <c r="CJ178" s="14" t="str">
        <f t="shared" si="657"/>
        <v xml:space="preserve">aesthetics(1)
 </v>
      </c>
      <c r="CK178" s="14" t="str">
        <f t="shared" si="658"/>
        <v xml:space="preserve">biz project(1,%),  </v>
      </c>
      <c r="CL178" s="14" t="str">
        <f t="shared" si="659"/>
        <v xml:space="preserve"> </v>
      </c>
      <c r="CM178" s="14" t="str">
        <f t="shared" si="660"/>
        <v xml:space="preserve">negotiation(1), web(2), infrastructrue(2), database(2), mobile apps(2), security(2), aesthetics(2), functions(1), interaction(2),  </v>
      </c>
      <c r="CN178" s="14" t="str">
        <f t="shared" si="661"/>
        <v xml:space="preserve"> </v>
      </c>
      <c r="CO178" s="27" t="str">
        <f t="shared" si="651"/>
        <v xml:space="preserve"> </v>
      </c>
      <c r="CP178" s="14" t="str">
        <f t="shared" si="662"/>
        <v xml:space="preserve">metal processing(1)
functions(1)
 </v>
      </c>
      <c r="CQ178" s="14" t="str">
        <f t="shared" si="663"/>
        <v xml:space="preserve">biz enhancement(1,50%),  </v>
      </c>
      <c r="CR178" s="14" t="str">
        <f t="shared" si="664"/>
        <v xml:space="preserve">biz enhancement(50)
 </v>
      </c>
      <c r="CS178" s="14" t="str">
        <f t="shared" si="665"/>
        <v xml:space="preserve">metal processing(2), electronics(2), aesthetics(2), functions(2), safety(2),  </v>
      </c>
      <c r="CT178" s="14" t="str">
        <f t="shared" si="666"/>
        <v xml:space="preserve"> </v>
      </c>
      <c r="CU178" s="27" t="str">
        <f t="shared" si="651"/>
        <v xml:space="preserve"> </v>
      </c>
      <c r="CV178" s="14" t="str">
        <f t="shared" si="667"/>
        <v xml:space="preserve">wood processing(1)
aesthetics(1)
interaction(1)
 </v>
      </c>
      <c r="CW178" s="14" t="str">
        <f t="shared" si="668"/>
        <v xml:space="preserve">social project(1,50%),  </v>
      </c>
      <c r="CX178" s="14" t="str">
        <f t="shared" si="669"/>
        <v xml:space="preserve">social project(50)
 </v>
      </c>
      <c r="CY178" s="14" t="str">
        <f t="shared" si="670"/>
        <v xml:space="preserve">sensors(2), wood processing(2), plastic processing(2), electronics(2), aesthetics(2), functions(1), safety(1), interaction(2),  </v>
      </c>
      <c r="CZ178" s="14" t="str">
        <f t="shared" si="671"/>
        <v xml:space="preserve"> </v>
      </c>
      <c r="DA178" s="27" t="str">
        <f t="shared" si="651"/>
        <v xml:space="preserve"> </v>
      </c>
      <c r="DB178" s="14" t="str">
        <f t="shared" si="672"/>
        <v xml:space="preserve">aesthetics(1)
interaction(1)
 </v>
      </c>
      <c r="DC178" s="14" t="str">
        <f t="shared" si="673"/>
        <v xml:space="preserve">social project(1,50%),  </v>
      </c>
      <c r="DD178" s="14" t="str">
        <f t="shared" si="674"/>
        <v xml:space="preserve">social project(50)
 </v>
      </c>
      <c r="DE178" s="14" t="str">
        <f t="shared" si="675"/>
        <v xml:space="preserve">VR&amp;AR(2),  </v>
      </c>
      <c r="DF178" s="14" t="str">
        <f t="shared" si="676"/>
        <v xml:space="preserve"> </v>
      </c>
      <c r="DG178" s="27" t="str">
        <f t="shared" si="651"/>
        <v xml:space="preserve"> </v>
      </c>
      <c r="DH178" s="14" t="str">
        <f t="shared" si="677"/>
        <v xml:space="preserve">wood processing(1)
aesthetics(1)
safety(1)
 </v>
      </c>
      <c r="DI178" s="14" t="str">
        <f t="shared" si="678"/>
        <v xml:space="preserve">social project(1,100%),  </v>
      </c>
      <c r="DJ178" s="14" t="str">
        <f t="shared" si="679"/>
        <v xml:space="preserve">social project(100)
 </v>
      </c>
      <c r="DK178" s="14" t="str">
        <f t="shared" si="680"/>
        <v xml:space="preserve">negotiation(2), sensors(1), wood processing(2), metal processing(2), plastic processing(2), electronics(2), fabric(1), aesthetics(1), functions(2), safety(2), interaction(2),  </v>
      </c>
      <c r="DL178" s="14" t="str">
        <f t="shared" si="681"/>
        <v xml:space="preserve"> </v>
      </c>
      <c r="DM178" s="27" t="str">
        <f t="shared" si="651"/>
        <v xml:space="preserve"> </v>
      </c>
      <c r="DN178" s="14" t="str">
        <f t="shared" si="682"/>
        <v xml:space="preserve">wood processing(1)
plastic processing(1)
electronics(1)
aesthetics(2)
functions(1)
safety(1)
biz project(1)
 </v>
      </c>
      <c r="DO178" s="14" t="str">
        <f t="shared" si="683"/>
        <v xml:space="preserve"> </v>
      </c>
      <c r="DP178" s="14" t="str">
        <f t="shared" si="684"/>
        <v xml:space="preserve"> </v>
      </c>
      <c r="DQ178" s="14" t="str">
        <f t="shared" si="685"/>
        <v xml:space="preserve">wood processing(2), plastic processing(2), electronics(2), aesthetics(2),  </v>
      </c>
      <c r="DR178" s="14" t="str">
        <f t="shared" si="686"/>
        <v xml:space="preserve"> </v>
      </c>
      <c r="DS178" s="27" t="str">
        <f t="shared" si="651"/>
        <v xml:space="preserve"> </v>
      </c>
      <c r="DT178" s="14" t="str">
        <f t="shared" si="687"/>
        <v xml:space="preserve"> </v>
      </c>
      <c r="DU178" s="14" t="str">
        <f t="shared" si="688"/>
        <v xml:space="preserve"> </v>
      </c>
      <c r="DV178" s="14" t="str">
        <f t="shared" si="689"/>
        <v xml:space="preserve"> </v>
      </c>
      <c r="DW178" s="14" t="str">
        <f t="shared" si="690"/>
        <v xml:space="preserve"> </v>
      </c>
      <c r="DX178" s="14" t="str">
        <f t="shared" si="691"/>
        <v xml:space="preserve"> </v>
      </c>
      <c r="DY178" s="27" t="str">
        <f t="shared" si="651"/>
        <v xml:space="preserve"> </v>
      </c>
      <c r="DZ178" s="14" t="str">
        <f t="shared" si="692"/>
        <v xml:space="preserve"> </v>
      </c>
      <c r="EA178" s="14" t="str">
        <f t="shared" si="693"/>
        <v xml:space="preserve"> </v>
      </c>
      <c r="EB178" s="14" t="str">
        <f t="shared" si="694"/>
        <v xml:space="preserve"> </v>
      </c>
      <c r="EC178" s="14" t="str">
        <f t="shared" si="695"/>
        <v xml:space="preserve"> </v>
      </c>
      <c r="ED178" s="14" t="str">
        <f t="shared" si="696"/>
        <v xml:space="preserve"> </v>
      </c>
      <c r="EE178" s="27" t="str">
        <f t="shared" si="651"/>
        <v xml:space="preserve"> </v>
      </c>
      <c r="EF178" s="14" t="str">
        <f t="shared" si="697"/>
        <v xml:space="preserve"> </v>
      </c>
      <c r="EG178" s="14" t="str">
        <f t="shared" si="698"/>
        <v xml:space="preserve"> </v>
      </c>
      <c r="EH178" s="14" t="str">
        <f t="shared" si="699"/>
        <v xml:space="preserve"> </v>
      </c>
      <c r="EI178" s="14" t="str">
        <f t="shared" si="700"/>
        <v xml:space="preserve"> </v>
      </c>
      <c r="EJ178" s="14" t="str">
        <f t="shared" si="701"/>
        <v xml:space="preserve"> </v>
      </c>
      <c r="EK178" s="27" t="str">
        <f t="shared" si="651"/>
        <v xml:space="preserve"> </v>
      </c>
      <c r="EL178" s="14" t="str">
        <f t="shared" si="702"/>
        <v xml:space="preserve"> </v>
      </c>
      <c r="EM178" s="14" t="str">
        <f t="shared" si="703"/>
        <v xml:space="preserve"> </v>
      </c>
      <c r="EN178" s="14" t="str">
        <f t="shared" si="704"/>
        <v xml:space="preserve"> </v>
      </c>
      <c r="EO178" s="14" t="str">
        <f t="shared" si="705"/>
        <v xml:space="preserve"> </v>
      </c>
      <c r="EP178" s="14" t="str">
        <f t="shared" si="706"/>
        <v xml:space="preserve"> </v>
      </c>
      <c r="EQ178" s="27" t="str">
        <f t="shared" si="707"/>
        <v xml:space="preserve"> </v>
      </c>
      <c r="ER178" s="14" t="str">
        <f t="shared" si="708"/>
        <v xml:space="preserve"> </v>
      </c>
      <c r="ES178" s="14" t="str">
        <f t="shared" si="709"/>
        <v xml:space="preserve"> </v>
      </c>
      <c r="ET178" s="14" t="str">
        <f t="shared" si="710"/>
        <v xml:space="preserve"> </v>
      </c>
      <c r="EU178" s="14" t="str">
        <f t="shared" si="711"/>
        <v xml:space="preserve"> </v>
      </c>
      <c r="EV178" s="14" t="str">
        <f t="shared" si="712"/>
        <v xml:space="preserve"> </v>
      </c>
      <c r="EW178" s="27" t="str">
        <f t="shared" si="707"/>
        <v xml:space="preserve"> </v>
      </c>
      <c r="EX178" s="14" t="str">
        <f t="shared" si="713"/>
        <v xml:space="preserve"> </v>
      </c>
      <c r="EY178" s="14" t="str">
        <f t="shared" si="714"/>
        <v xml:space="preserve"> </v>
      </c>
      <c r="EZ178" s="14" t="str">
        <f t="shared" si="715"/>
        <v xml:space="preserve"> </v>
      </c>
      <c r="FA178" s="14" t="str">
        <f t="shared" si="716"/>
        <v xml:space="preserve"> </v>
      </c>
      <c r="FB178" s="14" t="str">
        <f t="shared" si="717"/>
        <v xml:space="preserve"> </v>
      </c>
      <c r="FC178" s="27" t="str">
        <f t="shared" si="707"/>
        <v xml:space="preserve"> </v>
      </c>
      <c r="FD178" s="14" t="str">
        <f t="shared" si="718"/>
        <v xml:space="preserve"> </v>
      </c>
      <c r="FE178" s="14" t="str">
        <f t="shared" si="719"/>
        <v xml:space="preserve"> </v>
      </c>
      <c r="FF178" s="14" t="str">
        <f t="shared" si="720"/>
        <v xml:space="preserve"> </v>
      </c>
      <c r="FG178" s="14" t="str">
        <f t="shared" si="721"/>
        <v xml:space="preserve"> </v>
      </c>
      <c r="FH178" s="14" t="str">
        <f t="shared" si="722"/>
        <v xml:space="preserve"> </v>
      </c>
      <c r="FI178" s="27" t="str">
        <f t="shared" si="707"/>
        <v xml:space="preserve"> </v>
      </c>
      <c r="FJ178" s="14" t="str">
        <f t="shared" si="723"/>
        <v xml:space="preserve"> </v>
      </c>
      <c r="FK178" s="14" t="str">
        <f t="shared" si="724"/>
        <v xml:space="preserve"> </v>
      </c>
      <c r="FL178" s="14" t="str">
        <f t="shared" si="725"/>
        <v xml:space="preserve"> </v>
      </c>
      <c r="FM178" s="14" t="str">
        <f t="shared" si="726"/>
        <v xml:space="preserve"> </v>
      </c>
      <c r="FN178" s="14" t="str">
        <f t="shared" si="727"/>
        <v xml:space="preserve"> </v>
      </c>
      <c r="FO178" s="27" t="str">
        <f t="shared" si="707"/>
        <v xml:space="preserve"> </v>
      </c>
      <c r="FP178" s="14" t="str">
        <f t="shared" si="728"/>
        <v xml:space="preserve"> </v>
      </c>
      <c r="FQ178" s="14" t="str">
        <f t="shared" si="729"/>
        <v xml:space="preserve"> </v>
      </c>
      <c r="FR178" s="14" t="str">
        <f t="shared" si="730"/>
        <v xml:space="preserve"> </v>
      </c>
      <c r="FS178" s="14" t="str">
        <f t="shared" si="731"/>
        <v xml:space="preserve"> </v>
      </c>
      <c r="FT178" s="14" t="str">
        <f t="shared" si="732"/>
        <v xml:space="preserve"> </v>
      </c>
      <c r="FU178" s="27" t="str">
        <f t="shared" si="707"/>
        <v xml:space="preserve"> </v>
      </c>
      <c r="FV178" s="14" t="str">
        <f t="shared" si="733"/>
        <v xml:space="preserve"> </v>
      </c>
      <c r="FW178" s="14" t="str">
        <f t="shared" si="734"/>
        <v xml:space="preserve"> </v>
      </c>
      <c r="FX178" s="14" t="str">
        <f t="shared" si="735"/>
        <v xml:space="preserve"> </v>
      </c>
      <c r="FY178" s="14" t="str">
        <f t="shared" si="736"/>
        <v xml:space="preserve"> </v>
      </c>
      <c r="FZ178" s="14" t="str">
        <f t="shared" si="737"/>
        <v xml:space="preserve"> </v>
      </c>
      <c r="GA178" s="27" t="str">
        <f t="shared" si="707"/>
        <v xml:space="preserve"> </v>
      </c>
      <c r="GB178" s="14" t="str">
        <f t="shared" si="738"/>
        <v xml:space="preserve"> </v>
      </c>
      <c r="GC178" s="14" t="str">
        <f t="shared" si="739"/>
        <v xml:space="preserve"> </v>
      </c>
      <c r="GD178" s="14" t="str">
        <f t="shared" si="740"/>
        <v xml:space="preserve"> </v>
      </c>
      <c r="GE178" s="14" t="str">
        <f t="shared" si="741"/>
        <v xml:space="preserve"> </v>
      </c>
      <c r="GF178" s="14" t="str">
        <f t="shared" si="742"/>
        <v xml:space="preserve"> </v>
      </c>
      <c r="GG178" s="27" t="str">
        <f t="shared" si="707"/>
        <v xml:space="preserve"> </v>
      </c>
      <c r="GH178" s="14" t="str">
        <f t="shared" si="743"/>
        <v xml:space="preserve"> </v>
      </c>
      <c r="GI178" s="14" t="str">
        <f t="shared" si="744"/>
        <v xml:space="preserve"> </v>
      </c>
      <c r="GJ178" s="14" t="str">
        <f t="shared" si="745"/>
        <v xml:space="preserve"> </v>
      </c>
      <c r="GK178" s="14" t="str">
        <f t="shared" si="746"/>
        <v xml:space="preserve"> </v>
      </c>
      <c r="GL178" s="14" t="str">
        <f t="shared" si="747"/>
        <v xml:space="preserve"> </v>
      </c>
      <c r="GM178" s="27" t="str">
        <f t="shared" si="707"/>
        <v xml:space="preserve"> </v>
      </c>
      <c r="GN178" s="14" t="str">
        <f t="shared" si="748"/>
        <v xml:space="preserve"> </v>
      </c>
      <c r="GO178" s="14" t="str">
        <f t="shared" si="749"/>
        <v xml:space="preserve"> </v>
      </c>
      <c r="GP178" s="14" t="str">
        <f t="shared" si="750"/>
        <v xml:space="preserve"> </v>
      </c>
      <c r="GQ178" s="14" t="str">
        <f t="shared" si="751"/>
        <v xml:space="preserve"> </v>
      </c>
      <c r="GR178" s="14" t="str">
        <f t="shared" si="752"/>
        <v xml:space="preserve"> </v>
      </c>
      <c r="GS178" s="27" t="str">
        <f t="shared" si="707"/>
        <v xml:space="preserve"> </v>
      </c>
      <c r="GT178" s="14" t="str">
        <f t="shared" si="753"/>
        <v xml:space="preserve"> </v>
      </c>
      <c r="GU178" s="14" t="str">
        <f t="shared" si="754"/>
        <v xml:space="preserve"> </v>
      </c>
      <c r="GV178" s="14" t="str">
        <f t="shared" si="755"/>
        <v xml:space="preserve"> </v>
      </c>
      <c r="GW178" s="14" t="str">
        <f t="shared" si="756"/>
        <v xml:space="preserve"> </v>
      </c>
      <c r="GX178" s="14" t="str">
        <f t="shared" si="757"/>
        <v xml:space="preserve"> </v>
      </c>
      <c r="GY178" s="27" t="str">
        <f t="shared" si="707"/>
        <v xml:space="preserve"> </v>
      </c>
      <c r="GZ178" s="14" t="str">
        <f t="shared" si="758"/>
        <v xml:space="preserve"> </v>
      </c>
      <c r="HA178" s="14" t="str">
        <f t="shared" si="759"/>
        <v xml:space="preserve"> </v>
      </c>
      <c r="HB178" s="14" t="str">
        <f t="shared" si="760"/>
        <v xml:space="preserve"> </v>
      </c>
      <c r="HC178" s="14" t="str">
        <f t="shared" si="761"/>
        <v xml:space="preserve"> </v>
      </c>
      <c r="HD178" s="14" t="str">
        <f t="shared" si="762"/>
        <v xml:space="preserve"> </v>
      </c>
      <c r="HE178" s="27" t="str">
        <f t="shared" si="763"/>
        <v xml:space="preserve"> </v>
      </c>
      <c r="HF178" s="14" t="str">
        <f t="shared" si="764"/>
        <v xml:space="preserve"> </v>
      </c>
      <c r="HG178" s="14" t="str">
        <f t="shared" si="765"/>
        <v xml:space="preserve"> </v>
      </c>
      <c r="HH178" s="14" t="str">
        <f t="shared" si="766"/>
        <v xml:space="preserve"> </v>
      </c>
      <c r="HI178" s="14" t="str">
        <f t="shared" si="767"/>
        <v xml:space="preserve"> </v>
      </c>
      <c r="HJ178" s="14" t="str">
        <f t="shared" si="768"/>
        <v xml:space="preserve"> </v>
      </c>
      <c r="HK178" s="27" t="str">
        <f t="shared" si="763"/>
        <v xml:space="preserve"> </v>
      </c>
      <c r="HL178" s="14" t="str">
        <f t="shared" si="769"/>
        <v xml:space="preserve"> </v>
      </c>
      <c r="HM178" s="14" t="str">
        <f t="shared" si="770"/>
        <v xml:space="preserve"> </v>
      </c>
      <c r="HN178" s="14" t="str">
        <f t="shared" si="771"/>
        <v xml:space="preserve"> </v>
      </c>
      <c r="HO178" s="14" t="str">
        <f t="shared" si="772"/>
        <v xml:space="preserve"> </v>
      </c>
      <c r="HP178" s="14" t="str">
        <f t="shared" si="773"/>
        <v xml:space="preserve"> </v>
      </c>
      <c r="HQ178" s="27" t="str">
        <f t="shared" si="763"/>
        <v xml:space="preserve"> </v>
      </c>
    </row>
    <row r="179" spans="1:225" ht="15.75" customHeight="1">
      <c r="A179" s="7">
        <f t="shared" ref="A179:C179" si="781">A71</f>
        <v>0</v>
      </c>
      <c r="B179" s="7" t="str">
        <f t="shared" si="781"/>
        <v>software</v>
      </c>
      <c r="C179" s="7" t="str">
        <f t="shared" si="781"/>
        <v>web</v>
      </c>
      <c r="D179" s="14" t="str">
        <f t="shared" si="775"/>
        <v xml:space="preserve"> </v>
      </c>
      <c r="E179" s="14" t="str">
        <f t="shared" si="776"/>
        <v xml:space="preserve"> </v>
      </c>
      <c r="F179" s="14" t="str">
        <f t="shared" si="777"/>
        <v xml:space="preserve"> </v>
      </c>
      <c r="G179" s="14" t="str">
        <f t="shared" si="778"/>
        <v xml:space="preserve"> </v>
      </c>
      <c r="H179" s="14" t="str">
        <f t="shared" si="779"/>
        <v xml:space="preserve"> </v>
      </c>
      <c r="I179" s="27" t="str">
        <f t="shared" ref="I179" si="782">IF(I71="",I180,$C179&amp;"("&amp;I71&amp;"),"&amp;I180)</f>
        <v xml:space="preserve"> </v>
      </c>
      <c r="J179" s="14" t="str">
        <f t="shared" si="590"/>
        <v xml:space="preserve"> </v>
      </c>
      <c r="K179" s="14" t="str">
        <f t="shared" si="591"/>
        <v xml:space="preserve"> </v>
      </c>
      <c r="L179" s="14" t="str">
        <f t="shared" si="592"/>
        <v xml:space="preserve"> </v>
      </c>
      <c r="M179" s="14" t="str">
        <f t="shared" si="593"/>
        <v xml:space="preserve"> </v>
      </c>
      <c r="N179" s="14" t="str">
        <f t="shared" si="594"/>
        <v xml:space="preserve"> </v>
      </c>
      <c r="O179" s="27" t="str">
        <f t="shared" si="595"/>
        <v xml:space="preserve"> </v>
      </c>
      <c r="P179" s="14" t="str">
        <f t="shared" si="596"/>
        <v xml:space="preserve"> </v>
      </c>
      <c r="Q179" s="14" t="str">
        <f t="shared" si="597"/>
        <v xml:space="preserve"> </v>
      </c>
      <c r="R179" s="14" t="str">
        <f t="shared" si="598"/>
        <v xml:space="preserve"> </v>
      </c>
      <c r="S179" s="14" t="str">
        <f t="shared" si="599"/>
        <v xml:space="preserve"> </v>
      </c>
      <c r="T179" s="14" t="str">
        <f t="shared" si="600"/>
        <v xml:space="preserve">web(-1,6.25%), mobile apps(-1,6.25%), aesthetics(-1,6.25%),  </v>
      </c>
      <c r="U179" s="27" t="str">
        <f t="shared" si="595"/>
        <v xml:space="preserve">web(6.25),mobile apps(6.25),aesthetics(6.25), </v>
      </c>
      <c r="V179" s="14" t="str">
        <f t="shared" si="601"/>
        <v xml:space="preserve"> </v>
      </c>
      <c r="W179" s="14" t="str">
        <f t="shared" si="602"/>
        <v xml:space="preserve"> </v>
      </c>
      <c r="X179" s="14" t="str">
        <f t="shared" si="603"/>
        <v xml:space="preserve"> </v>
      </c>
      <c r="Y179" s="14" t="str">
        <f t="shared" si="604"/>
        <v xml:space="preserve"> </v>
      </c>
      <c r="Z179" s="14" t="str">
        <f t="shared" si="605"/>
        <v xml:space="preserve"> </v>
      </c>
      <c r="AA179" s="27" t="str">
        <f t="shared" si="595"/>
        <v xml:space="preserve"> </v>
      </c>
      <c r="AB179" s="14" t="str">
        <f t="shared" si="606"/>
        <v xml:space="preserve"> </v>
      </c>
      <c r="AC179" s="14" t="str">
        <f t="shared" si="607"/>
        <v xml:space="preserve"> </v>
      </c>
      <c r="AD179" s="14" t="str">
        <f t="shared" si="608"/>
        <v xml:space="preserve"> </v>
      </c>
      <c r="AE179" s="14" t="str">
        <f t="shared" si="609"/>
        <v xml:space="preserve"> </v>
      </c>
      <c r="AF179" s="14" t="str">
        <f t="shared" si="610"/>
        <v xml:space="preserve"> </v>
      </c>
      <c r="AG179" s="27" t="str">
        <f t="shared" si="595"/>
        <v xml:space="preserve"> </v>
      </c>
      <c r="AH179" s="14" t="str">
        <f t="shared" si="611"/>
        <v xml:space="preserve"> </v>
      </c>
      <c r="AI179" s="14" t="str">
        <f t="shared" si="612"/>
        <v xml:space="preserve"> </v>
      </c>
      <c r="AJ179" s="14" t="str">
        <f t="shared" si="613"/>
        <v xml:space="preserve"> </v>
      </c>
      <c r="AK179" s="14" t="str">
        <f t="shared" si="614"/>
        <v xml:space="preserve"> </v>
      </c>
      <c r="AL179" s="14" t="str">
        <f t="shared" si="615"/>
        <v xml:space="preserve"> </v>
      </c>
      <c r="AM179" s="27" t="str">
        <f t="shared" si="595"/>
        <v xml:space="preserve"> </v>
      </c>
      <c r="AN179" s="14" t="str">
        <f t="shared" si="616"/>
        <v xml:space="preserve"> </v>
      </c>
      <c r="AO179" s="14" t="str">
        <f t="shared" si="617"/>
        <v xml:space="preserve"> </v>
      </c>
      <c r="AP179" s="14" t="str">
        <f t="shared" si="618"/>
        <v xml:space="preserve"> </v>
      </c>
      <c r="AQ179" s="14" t="str">
        <f t="shared" si="619"/>
        <v xml:space="preserve"> </v>
      </c>
      <c r="AR179" s="14" t="str">
        <f t="shared" si="620"/>
        <v xml:space="preserve"> </v>
      </c>
      <c r="AS179" s="27" t="str">
        <f t="shared" si="595"/>
        <v xml:space="preserve"> </v>
      </c>
      <c r="AT179" s="14" t="str">
        <f t="shared" si="621"/>
        <v xml:space="preserve"> </v>
      </c>
      <c r="AU179" s="14" t="str">
        <f t="shared" si="622"/>
        <v xml:space="preserve"> </v>
      </c>
      <c r="AV179" s="14" t="str">
        <f t="shared" si="623"/>
        <v xml:space="preserve"> </v>
      </c>
      <c r="AW179" s="14" t="str">
        <f t="shared" si="624"/>
        <v xml:space="preserve"> </v>
      </c>
      <c r="AX179" s="14" t="str">
        <f t="shared" si="625"/>
        <v xml:space="preserve"> </v>
      </c>
      <c r="AY179" s="27" t="str">
        <f t="shared" si="595"/>
        <v xml:space="preserve"> </v>
      </c>
      <c r="AZ179" s="14" t="str">
        <f t="shared" si="626"/>
        <v xml:space="preserve"> </v>
      </c>
      <c r="BA179" s="14" t="str">
        <f t="shared" si="627"/>
        <v xml:space="preserve"> </v>
      </c>
      <c r="BB179" s="14" t="str">
        <f t="shared" si="628"/>
        <v xml:space="preserve"> </v>
      </c>
      <c r="BC179" s="14" t="str">
        <f t="shared" si="629"/>
        <v xml:space="preserve"> </v>
      </c>
      <c r="BD179" s="14" t="str">
        <f t="shared" si="630"/>
        <v xml:space="preserve"> </v>
      </c>
      <c r="BE179" s="27" t="str">
        <f t="shared" si="595"/>
        <v xml:space="preserve"> </v>
      </c>
      <c r="BF179" s="14" t="str">
        <f t="shared" si="631"/>
        <v xml:space="preserve"> </v>
      </c>
      <c r="BG179" s="14" t="str">
        <f t="shared" si="632"/>
        <v xml:space="preserve"> </v>
      </c>
      <c r="BH179" s="14" t="str">
        <f t="shared" si="633"/>
        <v xml:space="preserve"> </v>
      </c>
      <c r="BI179" s="14" t="str">
        <f t="shared" si="634"/>
        <v xml:space="preserve"> </v>
      </c>
      <c r="BJ179" s="14" t="str">
        <f t="shared" si="635"/>
        <v xml:space="preserve"> </v>
      </c>
      <c r="BK179" s="27" t="str">
        <f t="shared" si="595"/>
        <v xml:space="preserve"> </v>
      </c>
      <c r="BL179" s="14" t="str">
        <f t="shared" si="636"/>
        <v xml:space="preserve">aesthetics(1)
 </v>
      </c>
      <c r="BM179" s="14" t="str">
        <f t="shared" si="637"/>
        <v xml:space="preserve">biz enhancement(1,%),  </v>
      </c>
      <c r="BN179" s="14" t="str">
        <f t="shared" si="638"/>
        <v xml:space="preserve"> </v>
      </c>
      <c r="BO179" s="14" t="str">
        <f t="shared" si="639"/>
        <v xml:space="preserve">aesthetics(2), functions(1), safety(1),  </v>
      </c>
      <c r="BP179" s="14" t="str">
        <f t="shared" si="640"/>
        <v xml:space="preserve"> </v>
      </c>
      <c r="BQ179" s="27" t="str">
        <f t="shared" si="595"/>
        <v xml:space="preserve"> </v>
      </c>
      <c r="BR179" s="14" t="str">
        <f t="shared" si="641"/>
        <v xml:space="preserve">aesthetics(1)
 </v>
      </c>
      <c r="BS179" s="14" t="str">
        <f t="shared" si="642"/>
        <v xml:space="preserve">biz project(1,%),  </v>
      </c>
      <c r="BT179" s="14" t="str">
        <f t="shared" si="643"/>
        <v xml:space="preserve"> </v>
      </c>
      <c r="BU179" s="14" t="str">
        <f t="shared" si="644"/>
        <v xml:space="preserve">wood processing(1), aesthetics(2),  </v>
      </c>
      <c r="BV179" s="14" t="str">
        <f t="shared" si="645"/>
        <v xml:space="preserve"> </v>
      </c>
      <c r="BW179" s="27" t="str">
        <f t="shared" si="595"/>
        <v xml:space="preserve"> </v>
      </c>
      <c r="BX179" s="14" t="str">
        <f t="shared" si="646"/>
        <v xml:space="preserve">aesthetics(1)
interaction(1)
 </v>
      </c>
      <c r="BY179" s="14" t="str">
        <f t="shared" si="647"/>
        <v xml:space="preserve">biz project(1,%),  </v>
      </c>
      <c r="BZ179" s="14" t="str">
        <f t="shared" si="648"/>
        <v xml:space="preserve"> </v>
      </c>
      <c r="CA179" s="14" t="str">
        <f t="shared" si="649"/>
        <v xml:space="preserve">web(2), infrastructrue(2), database(2), security(3), aesthetics(2), functions(1), interaction(2),  </v>
      </c>
      <c r="CB179" s="14" t="str">
        <f t="shared" si="650"/>
        <v xml:space="preserve"> </v>
      </c>
      <c r="CC179" s="27" t="str">
        <f t="shared" si="651"/>
        <v xml:space="preserve"> </v>
      </c>
      <c r="CD179" s="14" t="str">
        <f t="shared" si="652"/>
        <v xml:space="preserve">aesthetics(1)
 </v>
      </c>
      <c r="CE179" s="14" t="str">
        <f t="shared" si="653"/>
        <v xml:space="preserve">biz project(1,%),  </v>
      </c>
      <c r="CF179" s="14" t="str">
        <f t="shared" si="654"/>
        <v xml:space="preserve"> </v>
      </c>
      <c r="CG179" s="14" t="str">
        <f t="shared" si="655"/>
        <v xml:space="preserve">infrastructrue(1), database(2), mobile apps(2), security(3), aesthetics(2), functions(1), interaction(2),  </v>
      </c>
      <c r="CH179" s="14" t="str">
        <f t="shared" si="656"/>
        <v xml:space="preserve"> </v>
      </c>
      <c r="CI179" s="27" t="str">
        <f t="shared" si="651"/>
        <v xml:space="preserve"> </v>
      </c>
      <c r="CJ179" s="14" t="str">
        <f t="shared" si="657"/>
        <v xml:space="preserve">aesthetics(1)
 </v>
      </c>
      <c r="CK179" s="14" t="str">
        <f t="shared" si="658"/>
        <v xml:space="preserve">biz project(1,%),  </v>
      </c>
      <c r="CL179" s="14" t="str">
        <f t="shared" si="659"/>
        <v xml:space="preserve"> </v>
      </c>
      <c r="CM179" s="14" t="str">
        <f t="shared" si="660"/>
        <v xml:space="preserve">web(2), infrastructrue(2), database(2), mobile apps(2), security(2), aesthetics(2), functions(1), interaction(2),  </v>
      </c>
      <c r="CN179" s="14" t="str">
        <f t="shared" si="661"/>
        <v xml:space="preserve"> </v>
      </c>
      <c r="CO179" s="27" t="str">
        <f t="shared" si="651"/>
        <v xml:space="preserve"> </v>
      </c>
      <c r="CP179" s="14" t="str">
        <f t="shared" si="662"/>
        <v xml:space="preserve">metal processing(1)
functions(1)
 </v>
      </c>
      <c r="CQ179" s="14" t="str">
        <f t="shared" si="663"/>
        <v xml:space="preserve">biz enhancement(1,50%),  </v>
      </c>
      <c r="CR179" s="14" t="str">
        <f t="shared" si="664"/>
        <v xml:space="preserve">biz enhancement(50)
 </v>
      </c>
      <c r="CS179" s="14" t="str">
        <f t="shared" si="665"/>
        <v xml:space="preserve">metal processing(2), electronics(2), aesthetics(2), functions(2), safety(2),  </v>
      </c>
      <c r="CT179" s="14" t="str">
        <f t="shared" si="666"/>
        <v xml:space="preserve"> </v>
      </c>
      <c r="CU179" s="27" t="str">
        <f t="shared" si="651"/>
        <v xml:space="preserve"> </v>
      </c>
      <c r="CV179" s="14" t="str">
        <f t="shared" si="667"/>
        <v xml:space="preserve">wood processing(1)
aesthetics(1)
interaction(1)
 </v>
      </c>
      <c r="CW179" s="14" t="str">
        <f t="shared" si="668"/>
        <v xml:space="preserve">social project(1,50%),  </v>
      </c>
      <c r="CX179" s="14" t="str">
        <f t="shared" si="669"/>
        <v xml:space="preserve">social project(50)
 </v>
      </c>
      <c r="CY179" s="14" t="str">
        <f t="shared" si="670"/>
        <v xml:space="preserve">sensors(2), wood processing(2), plastic processing(2), electronics(2), aesthetics(2), functions(1), safety(1), interaction(2),  </v>
      </c>
      <c r="CZ179" s="14" t="str">
        <f t="shared" si="671"/>
        <v xml:space="preserve"> </v>
      </c>
      <c r="DA179" s="27" t="str">
        <f t="shared" si="651"/>
        <v xml:space="preserve"> </v>
      </c>
      <c r="DB179" s="14" t="str">
        <f t="shared" si="672"/>
        <v xml:space="preserve">aesthetics(1)
interaction(1)
 </v>
      </c>
      <c r="DC179" s="14" t="str">
        <f t="shared" si="673"/>
        <v xml:space="preserve">social project(1,50%),  </v>
      </c>
      <c r="DD179" s="14" t="str">
        <f t="shared" si="674"/>
        <v xml:space="preserve">social project(50)
 </v>
      </c>
      <c r="DE179" s="14" t="str">
        <f t="shared" si="675"/>
        <v xml:space="preserve">VR&amp;AR(2),  </v>
      </c>
      <c r="DF179" s="14" t="str">
        <f t="shared" si="676"/>
        <v xml:space="preserve"> </v>
      </c>
      <c r="DG179" s="27" t="str">
        <f t="shared" si="651"/>
        <v xml:space="preserve"> </v>
      </c>
      <c r="DH179" s="14" t="str">
        <f t="shared" si="677"/>
        <v xml:space="preserve">wood processing(1)
aesthetics(1)
safety(1)
 </v>
      </c>
      <c r="DI179" s="14" t="str">
        <f t="shared" si="678"/>
        <v xml:space="preserve">social project(1,100%),  </v>
      </c>
      <c r="DJ179" s="14" t="str">
        <f t="shared" si="679"/>
        <v xml:space="preserve">social project(100)
 </v>
      </c>
      <c r="DK179" s="14" t="str">
        <f t="shared" si="680"/>
        <v xml:space="preserve">sensors(1), wood processing(2), metal processing(2), plastic processing(2), electronics(2), fabric(1), aesthetics(1), functions(2), safety(2), interaction(2),  </v>
      </c>
      <c r="DL179" s="14" t="str">
        <f t="shared" si="681"/>
        <v xml:space="preserve"> </v>
      </c>
      <c r="DM179" s="27" t="str">
        <f t="shared" si="651"/>
        <v xml:space="preserve"> </v>
      </c>
      <c r="DN179" s="14" t="str">
        <f t="shared" si="682"/>
        <v xml:space="preserve">wood processing(1)
plastic processing(1)
electronics(1)
aesthetics(2)
functions(1)
safety(1)
biz project(1)
 </v>
      </c>
      <c r="DO179" s="14" t="str">
        <f t="shared" si="683"/>
        <v xml:space="preserve"> </v>
      </c>
      <c r="DP179" s="14" t="str">
        <f t="shared" si="684"/>
        <v xml:space="preserve"> </v>
      </c>
      <c r="DQ179" s="14" t="str">
        <f t="shared" si="685"/>
        <v xml:space="preserve">wood processing(2), plastic processing(2), electronics(2), aesthetics(2),  </v>
      </c>
      <c r="DR179" s="14" t="str">
        <f t="shared" si="686"/>
        <v xml:space="preserve"> </v>
      </c>
      <c r="DS179" s="27" t="str">
        <f t="shared" si="651"/>
        <v xml:space="preserve"> </v>
      </c>
      <c r="DT179" s="14" t="str">
        <f t="shared" si="687"/>
        <v xml:space="preserve"> </v>
      </c>
      <c r="DU179" s="14" t="str">
        <f t="shared" si="688"/>
        <v xml:space="preserve"> </v>
      </c>
      <c r="DV179" s="14" t="str">
        <f t="shared" si="689"/>
        <v xml:space="preserve"> </v>
      </c>
      <c r="DW179" s="14" t="str">
        <f t="shared" si="690"/>
        <v xml:space="preserve"> </v>
      </c>
      <c r="DX179" s="14" t="str">
        <f t="shared" si="691"/>
        <v xml:space="preserve"> </v>
      </c>
      <c r="DY179" s="27" t="str">
        <f t="shared" si="651"/>
        <v xml:space="preserve"> </v>
      </c>
      <c r="DZ179" s="14" t="str">
        <f t="shared" si="692"/>
        <v xml:space="preserve"> </v>
      </c>
      <c r="EA179" s="14" t="str">
        <f t="shared" si="693"/>
        <v xml:space="preserve"> </v>
      </c>
      <c r="EB179" s="14" t="str">
        <f t="shared" si="694"/>
        <v xml:space="preserve"> </v>
      </c>
      <c r="EC179" s="14" t="str">
        <f t="shared" si="695"/>
        <v xml:space="preserve"> </v>
      </c>
      <c r="ED179" s="14" t="str">
        <f t="shared" si="696"/>
        <v xml:space="preserve"> </v>
      </c>
      <c r="EE179" s="27" t="str">
        <f t="shared" si="651"/>
        <v xml:space="preserve"> </v>
      </c>
      <c r="EF179" s="14" t="str">
        <f t="shared" si="697"/>
        <v xml:space="preserve"> </v>
      </c>
      <c r="EG179" s="14" t="str">
        <f t="shared" si="698"/>
        <v xml:space="preserve"> </v>
      </c>
      <c r="EH179" s="14" t="str">
        <f t="shared" si="699"/>
        <v xml:space="preserve"> </v>
      </c>
      <c r="EI179" s="14" t="str">
        <f t="shared" si="700"/>
        <v xml:space="preserve"> </v>
      </c>
      <c r="EJ179" s="14" t="str">
        <f t="shared" si="701"/>
        <v xml:space="preserve"> </v>
      </c>
      <c r="EK179" s="27" t="str">
        <f t="shared" si="651"/>
        <v xml:space="preserve"> </v>
      </c>
      <c r="EL179" s="14" t="str">
        <f t="shared" si="702"/>
        <v xml:space="preserve"> </v>
      </c>
      <c r="EM179" s="14" t="str">
        <f t="shared" si="703"/>
        <v xml:space="preserve"> </v>
      </c>
      <c r="EN179" s="14" t="str">
        <f t="shared" si="704"/>
        <v xml:space="preserve"> </v>
      </c>
      <c r="EO179" s="14" t="str">
        <f t="shared" si="705"/>
        <v xml:space="preserve"> </v>
      </c>
      <c r="EP179" s="14" t="str">
        <f t="shared" si="706"/>
        <v xml:space="preserve"> </v>
      </c>
      <c r="EQ179" s="27" t="str">
        <f t="shared" si="707"/>
        <v xml:space="preserve"> </v>
      </c>
      <c r="ER179" s="14" t="str">
        <f t="shared" si="708"/>
        <v xml:space="preserve"> </v>
      </c>
      <c r="ES179" s="14" t="str">
        <f t="shared" si="709"/>
        <v xml:space="preserve"> </v>
      </c>
      <c r="ET179" s="14" t="str">
        <f t="shared" si="710"/>
        <v xml:space="preserve"> </v>
      </c>
      <c r="EU179" s="14" t="str">
        <f t="shared" si="711"/>
        <v xml:space="preserve"> </v>
      </c>
      <c r="EV179" s="14" t="str">
        <f t="shared" si="712"/>
        <v xml:space="preserve"> </v>
      </c>
      <c r="EW179" s="27" t="str">
        <f t="shared" si="707"/>
        <v xml:space="preserve"> </v>
      </c>
      <c r="EX179" s="14" t="str">
        <f t="shared" si="713"/>
        <v xml:space="preserve"> </v>
      </c>
      <c r="EY179" s="14" t="str">
        <f t="shared" si="714"/>
        <v xml:space="preserve"> </v>
      </c>
      <c r="EZ179" s="14" t="str">
        <f t="shared" si="715"/>
        <v xml:space="preserve"> </v>
      </c>
      <c r="FA179" s="14" t="str">
        <f t="shared" si="716"/>
        <v xml:space="preserve"> </v>
      </c>
      <c r="FB179" s="14" t="str">
        <f t="shared" si="717"/>
        <v xml:space="preserve"> </v>
      </c>
      <c r="FC179" s="27" t="str">
        <f t="shared" si="707"/>
        <v xml:space="preserve"> </v>
      </c>
      <c r="FD179" s="14" t="str">
        <f t="shared" si="718"/>
        <v xml:space="preserve"> </v>
      </c>
      <c r="FE179" s="14" t="str">
        <f t="shared" si="719"/>
        <v xml:space="preserve"> </v>
      </c>
      <c r="FF179" s="14" t="str">
        <f t="shared" si="720"/>
        <v xml:space="preserve"> </v>
      </c>
      <c r="FG179" s="14" t="str">
        <f t="shared" si="721"/>
        <v xml:space="preserve"> </v>
      </c>
      <c r="FH179" s="14" t="str">
        <f t="shared" si="722"/>
        <v xml:space="preserve"> </v>
      </c>
      <c r="FI179" s="27" t="str">
        <f t="shared" si="707"/>
        <v xml:space="preserve"> </v>
      </c>
      <c r="FJ179" s="14" t="str">
        <f t="shared" si="723"/>
        <v xml:space="preserve"> </v>
      </c>
      <c r="FK179" s="14" t="str">
        <f t="shared" si="724"/>
        <v xml:space="preserve"> </v>
      </c>
      <c r="FL179" s="14" t="str">
        <f t="shared" si="725"/>
        <v xml:space="preserve"> </v>
      </c>
      <c r="FM179" s="14" t="str">
        <f t="shared" si="726"/>
        <v xml:space="preserve"> </v>
      </c>
      <c r="FN179" s="14" t="str">
        <f t="shared" si="727"/>
        <v xml:space="preserve"> </v>
      </c>
      <c r="FO179" s="27" t="str">
        <f t="shared" si="707"/>
        <v xml:space="preserve"> </v>
      </c>
      <c r="FP179" s="14" t="str">
        <f t="shared" si="728"/>
        <v xml:space="preserve"> </v>
      </c>
      <c r="FQ179" s="14" t="str">
        <f t="shared" si="729"/>
        <v xml:space="preserve"> </v>
      </c>
      <c r="FR179" s="14" t="str">
        <f t="shared" si="730"/>
        <v xml:space="preserve"> </v>
      </c>
      <c r="FS179" s="14" t="str">
        <f t="shared" si="731"/>
        <v xml:space="preserve"> </v>
      </c>
      <c r="FT179" s="14" t="str">
        <f t="shared" si="732"/>
        <v xml:space="preserve"> </v>
      </c>
      <c r="FU179" s="27" t="str">
        <f t="shared" si="707"/>
        <v xml:space="preserve"> </v>
      </c>
      <c r="FV179" s="14" t="str">
        <f t="shared" si="733"/>
        <v xml:space="preserve"> </v>
      </c>
      <c r="FW179" s="14" t="str">
        <f t="shared" si="734"/>
        <v xml:space="preserve"> </v>
      </c>
      <c r="FX179" s="14" t="str">
        <f t="shared" si="735"/>
        <v xml:space="preserve"> </v>
      </c>
      <c r="FY179" s="14" t="str">
        <f t="shared" si="736"/>
        <v xml:space="preserve"> </v>
      </c>
      <c r="FZ179" s="14" t="str">
        <f t="shared" si="737"/>
        <v xml:space="preserve"> </v>
      </c>
      <c r="GA179" s="27" t="str">
        <f t="shared" si="707"/>
        <v xml:space="preserve"> </v>
      </c>
      <c r="GB179" s="14" t="str">
        <f t="shared" si="738"/>
        <v xml:space="preserve"> </v>
      </c>
      <c r="GC179" s="14" t="str">
        <f t="shared" si="739"/>
        <v xml:space="preserve"> </v>
      </c>
      <c r="GD179" s="14" t="str">
        <f t="shared" si="740"/>
        <v xml:space="preserve"> </v>
      </c>
      <c r="GE179" s="14" t="str">
        <f t="shared" si="741"/>
        <v xml:space="preserve"> </v>
      </c>
      <c r="GF179" s="14" t="str">
        <f t="shared" si="742"/>
        <v xml:space="preserve"> </v>
      </c>
      <c r="GG179" s="27" t="str">
        <f t="shared" si="707"/>
        <v xml:space="preserve"> </v>
      </c>
      <c r="GH179" s="14" t="str">
        <f t="shared" si="743"/>
        <v xml:space="preserve"> </v>
      </c>
      <c r="GI179" s="14" t="str">
        <f t="shared" si="744"/>
        <v xml:space="preserve"> </v>
      </c>
      <c r="GJ179" s="14" t="str">
        <f t="shared" si="745"/>
        <v xml:space="preserve"> </v>
      </c>
      <c r="GK179" s="14" t="str">
        <f t="shared" si="746"/>
        <v xml:space="preserve"> </v>
      </c>
      <c r="GL179" s="14" t="str">
        <f t="shared" si="747"/>
        <v xml:space="preserve"> </v>
      </c>
      <c r="GM179" s="27" t="str">
        <f t="shared" si="707"/>
        <v xml:space="preserve"> </v>
      </c>
      <c r="GN179" s="14" t="str">
        <f t="shared" si="748"/>
        <v xml:space="preserve"> </v>
      </c>
      <c r="GO179" s="14" t="str">
        <f t="shared" si="749"/>
        <v xml:space="preserve"> </v>
      </c>
      <c r="GP179" s="14" t="str">
        <f t="shared" si="750"/>
        <v xml:space="preserve"> </v>
      </c>
      <c r="GQ179" s="14" t="str">
        <f t="shared" si="751"/>
        <v xml:space="preserve"> </v>
      </c>
      <c r="GR179" s="14" t="str">
        <f t="shared" si="752"/>
        <v xml:space="preserve"> </v>
      </c>
      <c r="GS179" s="27" t="str">
        <f t="shared" si="707"/>
        <v xml:space="preserve"> </v>
      </c>
      <c r="GT179" s="14" t="str">
        <f t="shared" si="753"/>
        <v xml:space="preserve"> </v>
      </c>
      <c r="GU179" s="14" t="str">
        <f t="shared" si="754"/>
        <v xml:space="preserve"> </v>
      </c>
      <c r="GV179" s="14" t="str">
        <f t="shared" si="755"/>
        <v xml:space="preserve"> </v>
      </c>
      <c r="GW179" s="14" t="str">
        <f t="shared" si="756"/>
        <v xml:space="preserve"> </v>
      </c>
      <c r="GX179" s="14" t="str">
        <f t="shared" si="757"/>
        <v xml:space="preserve"> </v>
      </c>
      <c r="GY179" s="27" t="str">
        <f t="shared" si="707"/>
        <v xml:space="preserve"> </v>
      </c>
      <c r="GZ179" s="14" t="str">
        <f t="shared" si="758"/>
        <v xml:space="preserve"> </v>
      </c>
      <c r="HA179" s="14" t="str">
        <f t="shared" si="759"/>
        <v xml:space="preserve"> </v>
      </c>
      <c r="HB179" s="14" t="str">
        <f t="shared" si="760"/>
        <v xml:space="preserve"> </v>
      </c>
      <c r="HC179" s="14" t="str">
        <f t="shared" si="761"/>
        <v xml:space="preserve"> </v>
      </c>
      <c r="HD179" s="14" t="str">
        <f t="shared" si="762"/>
        <v xml:space="preserve"> </v>
      </c>
      <c r="HE179" s="27" t="str">
        <f t="shared" si="763"/>
        <v xml:space="preserve"> </v>
      </c>
      <c r="HF179" s="14" t="str">
        <f t="shared" si="764"/>
        <v xml:space="preserve"> </v>
      </c>
      <c r="HG179" s="14" t="str">
        <f t="shared" si="765"/>
        <v xml:space="preserve"> </v>
      </c>
      <c r="HH179" s="14" t="str">
        <f t="shared" si="766"/>
        <v xml:space="preserve"> </v>
      </c>
      <c r="HI179" s="14" t="str">
        <f t="shared" si="767"/>
        <v xml:space="preserve"> </v>
      </c>
      <c r="HJ179" s="14" t="str">
        <f t="shared" si="768"/>
        <v xml:space="preserve"> </v>
      </c>
      <c r="HK179" s="27" t="str">
        <f t="shared" si="763"/>
        <v xml:space="preserve"> </v>
      </c>
      <c r="HL179" s="14" t="str">
        <f t="shared" si="769"/>
        <v xml:space="preserve"> </v>
      </c>
      <c r="HM179" s="14" t="str">
        <f t="shared" si="770"/>
        <v xml:space="preserve"> </v>
      </c>
      <c r="HN179" s="14" t="str">
        <f t="shared" si="771"/>
        <v xml:space="preserve"> </v>
      </c>
      <c r="HO179" s="14" t="str">
        <f t="shared" si="772"/>
        <v xml:space="preserve"> </v>
      </c>
      <c r="HP179" s="14" t="str">
        <f t="shared" si="773"/>
        <v xml:space="preserve"> </v>
      </c>
      <c r="HQ179" s="27" t="str">
        <f t="shared" si="763"/>
        <v xml:space="preserve"> </v>
      </c>
    </row>
    <row r="180" spans="1:225" ht="15.75" customHeight="1">
      <c r="A180" s="7">
        <f t="shared" ref="A180:C180" si="783">A72</f>
        <v>0</v>
      </c>
      <c r="B180" s="7">
        <f t="shared" si="783"/>
        <v>0</v>
      </c>
      <c r="C180" s="7" t="str">
        <f t="shared" si="783"/>
        <v>infrastructrue</v>
      </c>
      <c r="D180" s="14" t="str">
        <f t="shared" si="775"/>
        <v xml:space="preserve"> </v>
      </c>
      <c r="E180" s="14" t="str">
        <f t="shared" si="776"/>
        <v xml:space="preserve"> </v>
      </c>
      <c r="F180" s="14" t="str">
        <f t="shared" si="777"/>
        <v xml:space="preserve"> </v>
      </c>
      <c r="G180" s="14" t="str">
        <f t="shared" si="778"/>
        <v xml:space="preserve"> </v>
      </c>
      <c r="H180" s="14" t="str">
        <f t="shared" si="779"/>
        <v xml:space="preserve"> </v>
      </c>
      <c r="I180" s="27" t="str">
        <f t="shared" ref="I180" si="784">IF(I72="",I181,$C180&amp;"("&amp;I72&amp;"),"&amp;I181)</f>
        <v xml:space="preserve"> </v>
      </c>
      <c r="J180" s="14" t="str">
        <f t="shared" si="590"/>
        <v xml:space="preserve"> </v>
      </c>
      <c r="K180" s="14" t="str">
        <f t="shared" si="591"/>
        <v xml:space="preserve"> </v>
      </c>
      <c r="L180" s="14" t="str">
        <f t="shared" si="592"/>
        <v xml:space="preserve"> </v>
      </c>
      <c r="M180" s="14" t="str">
        <f t="shared" si="593"/>
        <v xml:space="preserve"> </v>
      </c>
      <c r="N180" s="14" t="str">
        <f t="shared" si="594"/>
        <v xml:space="preserve"> </v>
      </c>
      <c r="O180" s="27" t="str">
        <f t="shared" si="595"/>
        <v xml:space="preserve"> </v>
      </c>
      <c r="P180" s="14" t="str">
        <f t="shared" si="596"/>
        <v xml:space="preserve"> </v>
      </c>
      <c r="Q180" s="14" t="str">
        <f t="shared" si="597"/>
        <v xml:space="preserve"> </v>
      </c>
      <c r="R180" s="14" t="str">
        <f t="shared" si="598"/>
        <v xml:space="preserve"> </v>
      </c>
      <c r="S180" s="14" t="str">
        <f t="shared" si="599"/>
        <v xml:space="preserve"> </v>
      </c>
      <c r="T180" s="14" t="str">
        <f t="shared" si="600"/>
        <v xml:space="preserve">mobile apps(-1,6.25%), aesthetics(-1,6.25%),  </v>
      </c>
      <c r="U180" s="27" t="str">
        <f t="shared" si="595"/>
        <v xml:space="preserve">mobile apps(6.25),aesthetics(6.25), </v>
      </c>
      <c r="V180" s="14" t="str">
        <f t="shared" si="601"/>
        <v xml:space="preserve"> </v>
      </c>
      <c r="W180" s="14" t="str">
        <f t="shared" si="602"/>
        <v xml:space="preserve"> </v>
      </c>
      <c r="X180" s="14" t="str">
        <f t="shared" si="603"/>
        <v xml:space="preserve"> </v>
      </c>
      <c r="Y180" s="14" t="str">
        <f t="shared" si="604"/>
        <v xml:space="preserve"> </v>
      </c>
      <c r="Z180" s="14" t="str">
        <f t="shared" si="605"/>
        <v xml:space="preserve"> </v>
      </c>
      <c r="AA180" s="27" t="str">
        <f t="shared" si="595"/>
        <v xml:space="preserve"> </v>
      </c>
      <c r="AB180" s="14" t="str">
        <f t="shared" si="606"/>
        <v xml:space="preserve"> </v>
      </c>
      <c r="AC180" s="14" t="str">
        <f t="shared" si="607"/>
        <v xml:space="preserve"> </v>
      </c>
      <c r="AD180" s="14" t="str">
        <f t="shared" si="608"/>
        <v xml:space="preserve"> </v>
      </c>
      <c r="AE180" s="14" t="str">
        <f t="shared" si="609"/>
        <v xml:space="preserve"> </v>
      </c>
      <c r="AF180" s="14" t="str">
        <f t="shared" si="610"/>
        <v xml:space="preserve"> </v>
      </c>
      <c r="AG180" s="27" t="str">
        <f t="shared" si="595"/>
        <v xml:space="preserve"> </v>
      </c>
      <c r="AH180" s="14" t="str">
        <f t="shared" si="611"/>
        <v xml:space="preserve"> </v>
      </c>
      <c r="AI180" s="14" t="str">
        <f t="shared" si="612"/>
        <v xml:space="preserve"> </v>
      </c>
      <c r="AJ180" s="14" t="str">
        <f t="shared" si="613"/>
        <v xml:space="preserve"> </v>
      </c>
      <c r="AK180" s="14" t="str">
        <f t="shared" si="614"/>
        <v xml:space="preserve"> </v>
      </c>
      <c r="AL180" s="14" t="str">
        <f t="shared" si="615"/>
        <v xml:space="preserve"> </v>
      </c>
      <c r="AM180" s="27" t="str">
        <f t="shared" si="595"/>
        <v xml:space="preserve"> </v>
      </c>
      <c r="AN180" s="14" t="str">
        <f t="shared" si="616"/>
        <v xml:space="preserve"> </v>
      </c>
      <c r="AO180" s="14" t="str">
        <f t="shared" si="617"/>
        <v xml:space="preserve"> </v>
      </c>
      <c r="AP180" s="14" t="str">
        <f t="shared" si="618"/>
        <v xml:space="preserve"> </v>
      </c>
      <c r="AQ180" s="14" t="str">
        <f t="shared" si="619"/>
        <v xml:space="preserve"> </v>
      </c>
      <c r="AR180" s="14" t="str">
        <f t="shared" si="620"/>
        <v xml:space="preserve"> </v>
      </c>
      <c r="AS180" s="27" t="str">
        <f t="shared" si="595"/>
        <v xml:space="preserve"> </v>
      </c>
      <c r="AT180" s="14" t="str">
        <f t="shared" si="621"/>
        <v xml:space="preserve"> </v>
      </c>
      <c r="AU180" s="14" t="str">
        <f t="shared" si="622"/>
        <v xml:space="preserve"> </v>
      </c>
      <c r="AV180" s="14" t="str">
        <f t="shared" si="623"/>
        <v xml:space="preserve"> </v>
      </c>
      <c r="AW180" s="14" t="str">
        <f t="shared" si="624"/>
        <v xml:space="preserve"> </v>
      </c>
      <c r="AX180" s="14" t="str">
        <f t="shared" si="625"/>
        <v xml:space="preserve"> </v>
      </c>
      <c r="AY180" s="27" t="str">
        <f t="shared" si="595"/>
        <v xml:space="preserve"> </v>
      </c>
      <c r="AZ180" s="14" t="str">
        <f t="shared" si="626"/>
        <v xml:space="preserve"> </v>
      </c>
      <c r="BA180" s="14" t="str">
        <f t="shared" si="627"/>
        <v xml:space="preserve"> </v>
      </c>
      <c r="BB180" s="14" t="str">
        <f t="shared" si="628"/>
        <v xml:space="preserve"> </v>
      </c>
      <c r="BC180" s="14" t="str">
        <f t="shared" si="629"/>
        <v xml:space="preserve"> </v>
      </c>
      <c r="BD180" s="14" t="str">
        <f t="shared" si="630"/>
        <v xml:space="preserve"> </v>
      </c>
      <c r="BE180" s="27" t="str">
        <f t="shared" si="595"/>
        <v xml:space="preserve"> </v>
      </c>
      <c r="BF180" s="14" t="str">
        <f t="shared" si="631"/>
        <v xml:space="preserve"> </v>
      </c>
      <c r="BG180" s="14" t="str">
        <f t="shared" si="632"/>
        <v xml:space="preserve"> </v>
      </c>
      <c r="BH180" s="14" t="str">
        <f t="shared" si="633"/>
        <v xml:space="preserve"> </v>
      </c>
      <c r="BI180" s="14" t="str">
        <f t="shared" si="634"/>
        <v xml:space="preserve"> </v>
      </c>
      <c r="BJ180" s="14" t="str">
        <f t="shared" si="635"/>
        <v xml:space="preserve"> </v>
      </c>
      <c r="BK180" s="27" t="str">
        <f t="shared" si="595"/>
        <v xml:space="preserve"> </v>
      </c>
      <c r="BL180" s="14" t="str">
        <f t="shared" si="636"/>
        <v xml:space="preserve">aesthetics(1)
 </v>
      </c>
      <c r="BM180" s="14" t="str">
        <f t="shared" si="637"/>
        <v xml:space="preserve">biz enhancement(1,%),  </v>
      </c>
      <c r="BN180" s="14" t="str">
        <f t="shared" si="638"/>
        <v xml:space="preserve"> </v>
      </c>
      <c r="BO180" s="14" t="str">
        <f t="shared" si="639"/>
        <v xml:space="preserve">aesthetics(2), functions(1), safety(1),  </v>
      </c>
      <c r="BP180" s="14" t="str">
        <f t="shared" si="640"/>
        <v xml:space="preserve"> </v>
      </c>
      <c r="BQ180" s="27" t="str">
        <f t="shared" si="595"/>
        <v xml:space="preserve"> </v>
      </c>
      <c r="BR180" s="14" t="str">
        <f t="shared" si="641"/>
        <v xml:space="preserve">aesthetics(1)
 </v>
      </c>
      <c r="BS180" s="14" t="str">
        <f t="shared" si="642"/>
        <v xml:space="preserve">biz project(1,%),  </v>
      </c>
      <c r="BT180" s="14" t="str">
        <f t="shared" si="643"/>
        <v xml:space="preserve"> </v>
      </c>
      <c r="BU180" s="14" t="str">
        <f t="shared" si="644"/>
        <v xml:space="preserve">wood processing(1), aesthetics(2),  </v>
      </c>
      <c r="BV180" s="14" t="str">
        <f t="shared" si="645"/>
        <v xml:space="preserve"> </v>
      </c>
      <c r="BW180" s="27" t="str">
        <f t="shared" si="595"/>
        <v xml:space="preserve"> </v>
      </c>
      <c r="BX180" s="14" t="str">
        <f t="shared" si="646"/>
        <v xml:space="preserve">aesthetics(1)
interaction(1)
 </v>
      </c>
      <c r="BY180" s="14" t="str">
        <f t="shared" si="647"/>
        <v xml:space="preserve">biz project(1,%),  </v>
      </c>
      <c r="BZ180" s="14" t="str">
        <f t="shared" si="648"/>
        <v xml:space="preserve"> </v>
      </c>
      <c r="CA180" s="14" t="str">
        <f t="shared" si="649"/>
        <v xml:space="preserve">infrastructrue(2), database(2), security(3), aesthetics(2), functions(1), interaction(2),  </v>
      </c>
      <c r="CB180" s="14" t="str">
        <f t="shared" si="650"/>
        <v xml:space="preserve"> </v>
      </c>
      <c r="CC180" s="27" t="str">
        <f t="shared" si="651"/>
        <v xml:space="preserve"> </v>
      </c>
      <c r="CD180" s="14" t="str">
        <f t="shared" si="652"/>
        <v xml:space="preserve">aesthetics(1)
 </v>
      </c>
      <c r="CE180" s="14" t="str">
        <f t="shared" si="653"/>
        <v xml:space="preserve">biz project(1,%),  </v>
      </c>
      <c r="CF180" s="14" t="str">
        <f t="shared" si="654"/>
        <v xml:space="preserve"> </v>
      </c>
      <c r="CG180" s="14" t="str">
        <f t="shared" si="655"/>
        <v xml:space="preserve">infrastructrue(1), database(2), mobile apps(2), security(3), aesthetics(2), functions(1), interaction(2),  </v>
      </c>
      <c r="CH180" s="14" t="str">
        <f t="shared" si="656"/>
        <v xml:space="preserve"> </v>
      </c>
      <c r="CI180" s="27" t="str">
        <f t="shared" si="651"/>
        <v xml:space="preserve"> </v>
      </c>
      <c r="CJ180" s="14" t="str">
        <f t="shared" si="657"/>
        <v xml:space="preserve">aesthetics(1)
 </v>
      </c>
      <c r="CK180" s="14" t="str">
        <f t="shared" si="658"/>
        <v xml:space="preserve">biz project(1,%),  </v>
      </c>
      <c r="CL180" s="14" t="str">
        <f t="shared" si="659"/>
        <v xml:space="preserve"> </v>
      </c>
      <c r="CM180" s="14" t="str">
        <f t="shared" si="660"/>
        <v xml:space="preserve">infrastructrue(2), database(2), mobile apps(2), security(2), aesthetics(2), functions(1), interaction(2),  </v>
      </c>
      <c r="CN180" s="14" t="str">
        <f t="shared" si="661"/>
        <v xml:space="preserve"> </v>
      </c>
      <c r="CO180" s="27" t="str">
        <f t="shared" si="651"/>
        <v xml:space="preserve"> </v>
      </c>
      <c r="CP180" s="14" t="str">
        <f t="shared" si="662"/>
        <v xml:space="preserve">metal processing(1)
functions(1)
 </v>
      </c>
      <c r="CQ180" s="14" t="str">
        <f t="shared" si="663"/>
        <v xml:space="preserve">biz enhancement(1,50%),  </v>
      </c>
      <c r="CR180" s="14" t="str">
        <f t="shared" si="664"/>
        <v xml:space="preserve">biz enhancement(50)
 </v>
      </c>
      <c r="CS180" s="14" t="str">
        <f t="shared" si="665"/>
        <v xml:space="preserve">metal processing(2), electronics(2), aesthetics(2), functions(2), safety(2),  </v>
      </c>
      <c r="CT180" s="14" t="str">
        <f t="shared" si="666"/>
        <v xml:space="preserve"> </v>
      </c>
      <c r="CU180" s="27" t="str">
        <f t="shared" si="651"/>
        <v xml:space="preserve"> </v>
      </c>
      <c r="CV180" s="14" t="str">
        <f t="shared" si="667"/>
        <v xml:space="preserve">wood processing(1)
aesthetics(1)
interaction(1)
 </v>
      </c>
      <c r="CW180" s="14" t="str">
        <f t="shared" si="668"/>
        <v xml:space="preserve">social project(1,50%),  </v>
      </c>
      <c r="CX180" s="14" t="str">
        <f t="shared" si="669"/>
        <v xml:space="preserve">social project(50)
 </v>
      </c>
      <c r="CY180" s="14" t="str">
        <f t="shared" si="670"/>
        <v xml:space="preserve">sensors(2), wood processing(2), plastic processing(2), electronics(2), aesthetics(2), functions(1), safety(1), interaction(2),  </v>
      </c>
      <c r="CZ180" s="14" t="str">
        <f t="shared" si="671"/>
        <v xml:space="preserve"> </v>
      </c>
      <c r="DA180" s="27" t="str">
        <f t="shared" si="651"/>
        <v xml:space="preserve"> </v>
      </c>
      <c r="DB180" s="14" t="str">
        <f t="shared" si="672"/>
        <v xml:space="preserve">aesthetics(1)
interaction(1)
 </v>
      </c>
      <c r="DC180" s="14" t="str">
        <f t="shared" si="673"/>
        <v xml:space="preserve">social project(1,50%),  </v>
      </c>
      <c r="DD180" s="14" t="str">
        <f t="shared" si="674"/>
        <v xml:space="preserve">social project(50)
 </v>
      </c>
      <c r="DE180" s="14" t="str">
        <f t="shared" si="675"/>
        <v xml:space="preserve">VR&amp;AR(2),  </v>
      </c>
      <c r="DF180" s="14" t="str">
        <f t="shared" si="676"/>
        <v xml:space="preserve"> </v>
      </c>
      <c r="DG180" s="27" t="str">
        <f t="shared" si="651"/>
        <v xml:space="preserve"> </v>
      </c>
      <c r="DH180" s="14" t="str">
        <f t="shared" si="677"/>
        <v xml:space="preserve">wood processing(1)
aesthetics(1)
safety(1)
 </v>
      </c>
      <c r="DI180" s="14" t="str">
        <f t="shared" si="678"/>
        <v xml:space="preserve">social project(1,100%),  </v>
      </c>
      <c r="DJ180" s="14" t="str">
        <f t="shared" si="679"/>
        <v xml:space="preserve">social project(100)
 </v>
      </c>
      <c r="DK180" s="14" t="str">
        <f t="shared" si="680"/>
        <v xml:space="preserve">sensors(1), wood processing(2), metal processing(2), plastic processing(2), electronics(2), fabric(1), aesthetics(1), functions(2), safety(2), interaction(2),  </v>
      </c>
      <c r="DL180" s="14" t="str">
        <f t="shared" si="681"/>
        <v xml:space="preserve"> </v>
      </c>
      <c r="DM180" s="27" t="str">
        <f t="shared" si="651"/>
        <v xml:space="preserve"> </v>
      </c>
      <c r="DN180" s="14" t="str">
        <f t="shared" si="682"/>
        <v xml:space="preserve">wood processing(1)
plastic processing(1)
electronics(1)
aesthetics(2)
functions(1)
safety(1)
biz project(1)
 </v>
      </c>
      <c r="DO180" s="14" t="str">
        <f t="shared" si="683"/>
        <v xml:space="preserve"> </v>
      </c>
      <c r="DP180" s="14" t="str">
        <f t="shared" si="684"/>
        <v xml:space="preserve"> </v>
      </c>
      <c r="DQ180" s="14" t="str">
        <f t="shared" si="685"/>
        <v xml:space="preserve">wood processing(2), plastic processing(2), electronics(2), aesthetics(2),  </v>
      </c>
      <c r="DR180" s="14" t="str">
        <f t="shared" si="686"/>
        <v xml:space="preserve"> </v>
      </c>
      <c r="DS180" s="27" t="str">
        <f t="shared" si="651"/>
        <v xml:space="preserve"> </v>
      </c>
      <c r="DT180" s="14" t="str">
        <f t="shared" si="687"/>
        <v xml:space="preserve"> </v>
      </c>
      <c r="DU180" s="14" t="str">
        <f t="shared" si="688"/>
        <v xml:space="preserve"> </v>
      </c>
      <c r="DV180" s="14" t="str">
        <f t="shared" si="689"/>
        <v xml:space="preserve"> </v>
      </c>
      <c r="DW180" s="14" t="str">
        <f t="shared" si="690"/>
        <v xml:space="preserve"> </v>
      </c>
      <c r="DX180" s="14" t="str">
        <f t="shared" si="691"/>
        <v xml:space="preserve"> </v>
      </c>
      <c r="DY180" s="27" t="str">
        <f t="shared" si="651"/>
        <v xml:space="preserve"> </v>
      </c>
      <c r="DZ180" s="14" t="str">
        <f t="shared" si="692"/>
        <v xml:space="preserve"> </v>
      </c>
      <c r="EA180" s="14" t="str">
        <f t="shared" si="693"/>
        <v xml:space="preserve"> </v>
      </c>
      <c r="EB180" s="14" t="str">
        <f t="shared" si="694"/>
        <v xml:space="preserve"> </v>
      </c>
      <c r="EC180" s="14" t="str">
        <f t="shared" si="695"/>
        <v xml:space="preserve"> </v>
      </c>
      <c r="ED180" s="14" t="str">
        <f t="shared" si="696"/>
        <v xml:space="preserve"> </v>
      </c>
      <c r="EE180" s="27" t="str">
        <f t="shared" si="651"/>
        <v xml:space="preserve"> </v>
      </c>
      <c r="EF180" s="14" t="str">
        <f t="shared" si="697"/>
        <v xml:space="preserve"> </v>
      </c>
      <c r="EG180" s="14" t="str">
        <f t="shared" si="698"/>
        <v xml:space="preserve"> </v>
      </c>
      <c r="EH180" s="14" t="str">
        <f t="shared" si="699"/>
        <v xml:space="preserve"> </v>
      </c>
      <c r="EI180" s="14" t="str">
        <f t="shared" si="700"/>
        <v xml:space="preserve"> </v>
      </c>
      <c r="EJ180" s="14" t="str">
        <f t="shared" si="701"/>
        <v xml:space="preserve"> </v>
      </c>
      <c r="EK180" s="27" t="str">
        <f t="shared" si="651"/>
        <v xml:space="preserve"> </v>
      </c>
      <c r="EL180" s="14" t="str">
        <f t="shared" si="702"/>
        <v xml:space="preserve"> </v>
      </c>
      <c r="EM180" s="14" t="str">
        <f t="shared" si="703"/>
        <v xml:space="preserve"> </v>
      </c>
      <c r="EN180" s="14" t="str">
        <f t="shared" si="704"/>
        <v xml:space="preserve"> </v>
      </c>
      <c r="EO180" s="14" t="str">
        <f t="shared" si="705"/>
        <v xml:space="preserve"> </v>
      </c>
      <c r="EP180" s="14" t="str">
        <f t="shared" si="706"/>
        <v xml:space="preserve"> </v>
      </c>
      <c r="EQ180" s="27" t="str">
        <f t="shared" si="707"/>
        <v xml:space="preserve"> </v>
      </c>
      <c r="ER180" s="14" t="str">
        <f t="shared" si="708"/>
        <v xml:space="preserve"> </v>
      </c>
      <c r="ES180" s="14" t="str">
        <f t="shared" si="709"/>
        <v xml:space="preserve"> </v>
      </c>
      <c r="ET180" s="14" t="str">
        <f t="shared" si="710"/>
        <v xml:space="preserve"> </v>
      </c>
      <c r="EU180" s="14" t="str">
        <f t="shared" si="711"/>
        <v xml:space="preserve"> </v>
      </c>
      <c r="EV180" s="14" t="str">
        <f t="shared" si="712"/>
        <v xml:space="preserve"> </v>
      </c>
      <c r="EW180" s="27" t="str">
        <f t="shared" si="707"/>
        <v xml:space="preserve"> </v>
      </c>
      <c r="EX180" s="14" t="str">
        <f t="shared" si="713"/>
        <v xml:space="preserve"> </v>
      </c>
      <c r="EY180" s="14" t="str">
        <f t="shared" si="714"/>
        <v xml:space="preserve"> </v>
      </c>
      <c r="EZ180" s="14" t="str">
        <f t="shared" si="715"/>
        <v xml:space="preserve"> </v>
      </c>
      <c r="FA180" s="14" t="str">
        <f t="shared" si="716"/>
        <v xml:space="preserve"> </v>
      </c>
      <c r="FB180" s="14" t="str">
        <f t="shared" si="717"/>
        <v xml:space="preserve"> </v>
      </c>
      <c r="FC180" s="27" t="str">
        <f t="shared" si="707"/>
        <v xml:space="preserve"> </v>
      </c>
      <c r="FD180" s="14" t="str">
        <f t="shared" si="718"/>
        <v xml:space="preserve"> </v>
      </c>
      <c r="FE180" s="14" t="str">
        <f t="shared" si="719"/>
        <v xml:space="preserve"> </v>
      </c>
      <c r="FF180" s="14" t="str">
        <f t="shared" si="720"/>
        <v xml:space="preserve"> </v>
      </c>
      <c r="FG180" s="14" t="str">
        <f t="shared" si="721"/>
        <v xml:space="preserve"> </v>
      </c>
      <c r="FH180" s="14" t="str">
        <f t="shared" si="722"/>
        <v xml:space="preserve"> </v>
      </c>
      <c r="FI180" s="27" t="str">
        <f t="shared" si="707"/>
        <v xml:space="preserve"> </v>
      </c>
      <c r="FJ180" s="14" t="str">
        <f t="shared" si="723"/>
        <v xml:space="preserve"> </v>
      </c>
      <c r="FK180" s="14" t="str">
        <f t="shared" si="724"/>
        <v xml:space="preserve"> </v>
      </c>
      <c r="FL180" s="14" t="str">
        <f t="shared" si="725"/>
        <v xml:space="preserve"> </v>
      </c>
      <c r="FM180" s="14" t="str">
        <f t="shared" si="726"/>
        <v xml:space="preserve"> </v>
      </c>
      <c r="FN180" s="14" t="str">
        <f t="shared" si="727"/>
        <v xml:space="preserve"> </v>
      </c>
      <c r="FO180" s="27" t="str">
        <f t="shared" si="707"/>
        <v xml:space="preserve"> </v>
      </c>
      <c r="FP180" s="14" t="str">
        <f t="shared" si="728"/>
        <v xml:space="preserve"> </v>
      </c>
      <c r="FQ180" s="14" t="str">
        <f t="shared" si="729"/>
        <v xml:space="preserve"> </v>
      </c>
      <c r="FR180" s="14" t="str">
        <f t="shared" si="730"/>
        <v xml:space="preserve"> </v>
      </c>
      <c r="FS180" s="14" t="str">
        <f t="shared" si="731"/>
        <v xml:space="preserve"> </v>
      </c>
      <c r="FT180" s="14" t="str">
        <f t="shared" si="732"/>
        <v xml:space="preserve"> </v>
      </c>
      <c r="FU180" s="27" t="str">
        <f t="shared" si="707"/>
        <v xml:space="preserve"> </v>
      </c>
      <c r="FV180" s="14" t="str">
        <f t="shared" si="733"/>
        <v xml:space="preserve"> </v>
      </c>
      <c r="FW180" s="14" t="str">
        <f t="shared" si="734"/>
        <v xml:space="preserve"> </v>
      </c>
      <c r="FX180" s="14" t="str">
        <f t="shared" si="735"/>
        <v xml:space="preserve"> </v>
      </c>
      <c r="FY180" s="14" t="str">
        <f t="shared" si="736"/>
        <v xml:space="preserve"> </v>
      </c>
      <c r="FZ180" s="14" t="str">
        <f t="shared" si="737"/>
        <v xml:space="preserve"> </v>
      </c>
      <c r="GA180" s="27" t="str">
        <f t="shared" si="707"/>
        <v xml:space="preserve"> </v>
      </c>
      <c r="GB180" s="14" t="str">
        <f t="shared" si="738"/>
        <v xml:space="preserve"> </v>
      </c>
      <c r="GC180" s="14" t="str">
        <f t="shared" si="739"/>
        <v xml:space="preserve"> </v>
      </c>
      <c r="GD180" s="14" t="str">
        <f t="shared" si="740"/>
        <v xml:space="preserve"> </v>
      </c>
      <c r="GE180" s="14" t="str">
        <f t="shared" si="741"/>
        <v xml:space="preserve"> </v>
      </c>
      <c r="GF180" s="14" t="str">
        <f t="shared" si="742"/>
        <v xml:space="preserve"> </v>
      </c>
      <c r="GG180" s="27" t="str">
        <f t="shared" si="707"/>
        <v xml:space="preserve"> </v>
      </c>
      <c r="GH180" s="14" t="str">
        <f t="shared" si="743"/>
        <v xml:space="preserve"> </v>
      </c>
      <c r="GI180" s="14" t="str">
        <f t="shared" si="744"/>
        <v xml:space="preserve"> </v>
      </c>
      <c r="GJ180" s="14" t="str">
        <f t="shared" si="745"/>
        <v xml:space="preserve"> </v>
      </c>
      <c r="GK180" s="14" t="str">
        <f t="shared" si="746"/>
        <v xml:space="preserve"> </v>
      </c>
      <c r="GL180" s="14" t="str">
        <f t="shared" si="747"/>
        <v xml:space="preserve"> </v>
      </c>
      <c r="GM180" s="27" t="str">
        <f t="shared" si="707"/>
        <v xml:space="preserve"> </v>
      </c>
      <c r="GN180" s="14" t="str">
        <f t="shared" si="748"/>
        <v xml:space="preserve"> </v>
      </c>
      <c r="GO180" s="14" t="str">
        <f t="shared" si="749"/>
        <v xml:space="preserve"> </v>
      </c>
      <c r="GP180" s="14" t="str">
        <f t="shared" si="750"/>
        <v xml:space="preserve"> </v>
      </c>
      <c r="GQ180" s="14" t="str">
        <f t="shared" si="751"/>
        <v xml:space="preserve"> </v>
      </c>
      <c r="GR180" s="14" t="str">
        <f t="shared" si="752"/>
        <v xml:space="preserve"> </v>
      </c>
      <c r="GS180" s="27" t="str">
        <f t="shared" si="707"/>
        <v xml:space="preserve"> </v>
      </c>
      <c r="GT180" s="14" t="str">
        <f t="shared" si="753"/>
        <v xml:space="preserve"> </v>
      </c>
      <c r="GU180" s="14" t="str">
        <f t="shared" si="754"/>
        <v xml:space="preserve"> </v>
      </c>
      <c r="GV180" s="14" t="str">
        <f t="shared" si="755"/>
        <v xml:space="preserve"> </v>
      </c>
      <c r="GW180" s="14" t="str">
        <f t="shared" si="756"/>
        <v xml:space="preserve"> </v>
      </c>
      <c r="GX180" s="14" t="str">
        <f t="shared" si="757"/>
        <v xml:space="preserve"> </v>
      </c>
      <c r="GY180" s="27" t="str">
        <f t="shared" si="707"/>
        <v xml:space="preserve"> </v>
      </c>
      <c r="GZ180" s="14" t="str">
        <f t="shared" si="758"/>
        <v xml:space="preserve"> </v>
      </c>
      <c r="HA180" s="14" t="str">
        <f t="shared" si="759"/>
        <v xml:space="preserve"> </v>
      </c>
      <c r="HB180" s="14" t="str">
        <f t="shared" si="760"/>
        <v xml:space="preserve"> </v>
      </c>
      <c r="HC180" s="14" t="str">
        <f t="shared" si="761"/>
        <v xml:space="preserve"> </v>
      </c>
      <c r="HD180" s="14" t="str">
        <f t="shared" si="762"/>
        <v xml:space="preserve"> </v>
      </c>
      <c r="HE180" s="27" t="str">
        <f t="shared" si="763"/>
        <v xml:space="preserve"> </v>
      </c>
      <c r="HF180" s="14" t="str">
        <f t="shared" si="764"/>
        <v xml:space="preserve"> </v>
      </c>
      <c r="HG180" s="14" t="str">
        <f t="shared" si="765"/>
        <v xml:space="preserve"> </v>
      </c>
      <c r="HH180" s="14" t="str">
        <f t="shared" si="766"/>
        <v xml:space="preserve"> </v>
      </c>
      <c r="HI180" s="14" t="str">
        <f t="shared" si="767"/>
        <v xml:space="preserve"> </v>
      </c>
      <c r="HJ180" s="14" t="str">
        <f t="shared" si="768"/>
        <v xml:space="preserve"> </v>
      </c>
      <c r="HK180" s="27" t="str">
        <f t="shared" si="763"/>
        <v xml:space="preserve"> </v>
      </c>
      <c r="HL180" s="14" t="str">
        <f t="shared" si="769"/>
        <v xml:space="preserve"> </v>
      </c>
      <c r="HM180" s="14" t="str">
        <f t="shared" si="770"/>
        <v xml:space="preserve"> </v>
      </c>
      <c r="HN180" s="14" t="str">
        <f t="shared" si="771"/>
        <v xml:space="preserve"> </v>
      </c>
      <c r="HO180" s="14" t="str">
        <f t="shared" si="772"/>
        <v xml:space="preserve"> </v>
      </c>
      <c r="HP180" s="14" t="str">
        <f t="shared" si="773"/>
        <v xml:space="preserve"> </v>
      </c>
      <c r="HQ180" s="27" t="str">
        <f t="shared" si="763"/>
        <v xml:space="preserve"> </v>
      </c>
    </row>
    <row r="181" spans="1:225" ht="15.75" customHeight="1">
      <c r="A181" s="7">
        <f t="shared" ref="A181:C181" si="785">A73</f>
        <v>0</v>
      </c>
      <c r="B181" s="7">
        <f t="shared" si="785"/>
        <v>0</v>
      </c>
      <c r="C181" s="7" t="str">
        <f t="shared" si="785"/>
        <v>database</v>
      </c>
      <c r="D181" s="14" t="str">
        <f t="shared" si="775"/>
        <v xml:space="preserve"> </v>
      </c>
      <c r="E181" s="14" t="str">
        <f t="shared" si="776"/>
        <v xml:space="preserve"> </v>
      </c>
      <c r="F181" s="14" t="str">
        <f t="shared" si="777"/>
        <v xml:space="preserve"> </v>
      </c>
      <c r="G181" s="14" t="str">
        <f t="shared" si="778"/>
        <v xml:space="preserve"> </v>
      </c>
      <c r="H181" s="14" t="str">
        <f t="shared" si="779"/>
        <v xml:space="preserve"> </v>
      </c>
      <c r="I181" s="27" t="str">
        <f t="shared" ref="I181" si="786">IF(I73="",I182,$C181&amp;"("&amp;I73&amp;"),"&amp;I182)</f>
        <v xml:space="preserve"> </v>
      </c>
      <c r="J181" s="14" t="str">
        <f t="shared" si="590"/>
        <v xml:space="preserve"> </v>
      </c>
      <c r="K181" s="14" t="str">
        <f t="shared" si="591"/>
        <v xml:space="preserve"> </v>
      </c>
      <c r="L181" s="14" t="str">
        <f t="shared" si="592"/>
        <v xml:space="preserve"> </v>
      </c>
      <c r="M181" s="14" t="str">
        <f t="shared" si="593"/>
        <v xml:space="preserve"> </v>
      </c>
      <c r="N181" s="14" t="str">
        <f t="shared" si="594"/>
        <v xml:space="preserve"> </v>
      </c>
      <c r="O181" s="27" t="str">
        <f t="shared" si="595"/>
        <v xml:space="preserve"> </v>
      </c>
      <c r="P181" s="14" t="str">
        <f t="shared" si="596"/>
        <v xml:space="preserve"> </v>
      </c>
      <c r="Q181" s="14" t="str">
        <f t="shared" si="597"/>
        <v xml:space="preserve"> </v>
      </c>
      <c r="R181" s="14" t="str">
        <f t="shared" si="598"/>
        <v xml:space="preserve"> </v>
      </c>
      <c r="S181" s="14" t="str">
        <f t="shared" si="599"/>
        <v xml:space="preserve"> </v>
      </c>
      <c r="T181" s="14" t="str">
        <f t="shared" si="600"/>
        <v xml:space="preserve">mobile apps(-1,6.25%), aesthetics(-1,6.25%),  </v>
      </c>
      <c r="U181" s="27" t="str">
        <f t="shared" si="595"/>
        <v xml:space="preserve">mobile apps(6.25),aesthetics(6.25), </v>
      </c>
      <c r="V181" s="14" t="str">
        <f t="shared" si="601"/>
        <v xml:space="preserve"> </v>
      </c>
      <c r="W181" s="14" t="str">
        <f t="shared" si="602"/>
        <v xml:space="preserve"> </v>
      </c>
      <c r="X181" s="14" t="str">
        <f t="shared" si="603"/>
        <v xml:space="preserve"> </v>
      </c>
      <c r="Y181" s="14" t="str">
        <f t="shared" si="604"/>
        <v xml:space="preserve"> </v>
      </c>
      <c r="Z181" s="14" t="str">
        <f t="shared" si="605"/>
        <v xml:space="preserve"> </v>
      </c>
      <c r="AA181" s="27" t="str">
        <f t="shared" si="595"/>
        <v xml:space="preserve"> </v>
      </c>
      <c r="AB181" s="14" t="str">
        <f t="shared" si="606"/>
        <v xml:space="preserve"> </v>
      </c>
      <c r="AC181" s="14" t="str">
        <f t="shared" si="607"/>
        <v xml:space="preserve"> </v>
      </c>
      <c r="AD181" s="14" t="str">
        <f t="shared" si="608"/>
        <v xml:space="preserve"> </v>
      </c>
      <c r="AE181" s="14" t="str">
        <f t="shared" si="609"/>
        <v xml:space="preserve"> </v>
      </c>
      <c r="AF181" s="14" t="str">
        <f t="shared" si="610"/>
        <v xml:space="preserve"> </v>
      </c>
      <c r="AG181" s="27" t="str">
        <f t="shared" si="595"/>
        <v xml:space="preserve"> </v>
      </c>
      <c r="AH181" s="14" t="str">
        <f t="shared" si="611"/>
        <v xml:space="preserve"> </v>
      </c>
      <c r="AI181" s="14" t="str">
        <f t="shared" si="612"/>
        <v xml:space="preserve"> </v>
      </c>
      <c r="AJ181" s="14" t="str">
        <f t="shared" si="613"/>
        <v xml:space="preserve"> </v>
      </c>
      <c r="AK181" s="14" t="str">
        <f t="shared" si="614"/>
        <v xml:space="preserve"> </v>
      </c>
      <c r="AL181" s="14" t="str">
        <f t="shared" si="615"/>
        <v xml:space="preserve"> </v>
      </c>
      <c r="AM181" s="27" t="str">
        <f t="shared" si="595"/>
        <v xml:space="preserve"> </v>
      </c>
      <c r="AN181" s="14" t="str">
        <f t="shared" si="616"/>
        <v xml:space="preserve"> </v>
      </c>
      <c r="AO181" s="14" t="str">
        <f t="shared" si="617"/>
        <v xml:space="preserve"> </v>
      </c>
      <c r="AP181" s="14" t="str">
        <f t="shared" si="618"/>
        <v xml:space="preserve"> </v>
      </c>
      <c r="AQ181" s="14" t="str">
        <f t="shared" si="619"/>
        <v xml:space="preserve"> </v>
      </c>
      <c r="AR181" s="14" t="str">
        <f t="shared" si="620"/>
        <v xml:space="preserve"> </v>
      </c>
      <c r="AS181" s="27" t="str">
        <f t="shared" si="595"/>
        <v xml:space="preserve"> </v>
      </c>
      <c r="AT181" s="14" t="str">
        <f t="shared" si="621"/>
        <v xml:space="preserve"> </v>
      </c>
      <c r="AU181" s="14" t="str">
        <f t="shared" si="622"/>
        <v xml:space="preserve"> </v>
      </c>
      <c r="AV181" s="14" t="str">
        <f t="shared" si="623"/>
        <v xml:space="preserve"> </v>
      </c>
      <c r="AW181" s="14" t="str">
        <f t="shared" si="624"/>
        <v xml:space="preserve"> </v>
      </c>
      <c r="AX181" s="14" t="str">
        <f t="shared" si="625"/>
        <v xml:space="preserve"> </v>
      </c>
      <c r="AY181" s="27" t="str">
        <f t="shared" si="595"/>
        <v xml:space="preserve"> </v>
      </c>
      <c r="AZ181" s="14" t="str">
        <f t="shared" si="626"/>
        <v xml:space="preserve"> </v>
      </c>
      <c r="BA181" s="14" t="str">
        <f t="shared" si="627"/>
        <v xml:space="preserve"> </v>
      </c>
      <c r="BB181" s="14" t="str">
        <f t="shared" si="628"/>
        <v xml:space="preserve"> </v>
      </c>
      <c r="BC181" s="14" t="str">
        <f t="shared" si="629"/>
        <v xml:space="preserve"> </v>
      </c>
      <c r="BD181" s="14" t="str">
        <f t="shared" si="630"/>
        <v xml:space="preserve"> </v>
      </c>
      <c r="BE181" s="27" t="str">
        <f t="shared" si="595"/>
        <v xml:space="preserve"> </v>
      </c>
      <c r="BF181" s="14" t="str">
        <f t="shared" si="631"/>
        <v xml:space="preserve"> </v>
      </c>
      <c r="BG181" s="14" t="str">
        <f t="shared" si="632"/>
        <v xml:space="preserve"> </v>
      </c>
      <c r="BH181" s="14" t="str">
        <f t="shared" si="633"/>
        <v xml:space="preserve"> </v>
      </c>
      <c r="BI181" s="14" t="str">
        <f t="shared" si="634"/>
        <v xml:space="preserve"> </v>
      </c>
      <c r="BJ181" s="14" t="str">
        <f t="shared" si="635"/>
        <v xml:space="preserve"> </v>
      </c>
      <c r="BK181" s="27" t="str">
        <f t="shared" si="595"/>
        <v xml:space="preserve"> </v>
      </c>
      <c r="BL181" s="14" t="str">
        <f t="shared" si="636"/>
        <v xml:space="preserve">aesthetics(1)
 </v>
      </c>
      <c r="BM181" s="14" t="str">
        <f t="shared" si="637"/>
        <v xml:space="preserve">biz enhancement(1,%),  </v>
      </c>
      <c r="BN181" s="14" t="str">
        <f t="shared" si="638"/>
        <v xml:space="preserve"> </v>
      </c>
      <c r="BO181" s="14" t="str">
        <f t="shared" si="639"/>
        <v xml:space="preserve">aesthetics(2), functions(1), safety(1),  </v>
      </c>
      <c r="BP181" s="14" t="str">
        <f t="shared" si="640"/>
        <v xml:space="preserve"> </v>
      </c>
      <c r="BQ181" s="27" t="str">
        <f t="shared" si="595"/>
        <v xml:space="preserve"> </v>
      </c>
      <c r="BR181" s="14" t="str">
        <f t="shared" si="641"/>
        <v xml:space="preserve">aesthetics(1)
 </v>
      </c>
      <c r="BS181" s="14" t="str">
        <f t="shared" si="642"/>
        <v xml:space="preserve">biz project(1,%),  </v>
      </c>
      <c r="BT181" s="14" t="str">
        <f t="shared" si="643"/>
        <v xml:space="preserve"> </v>
      </c>
      <c r="BU181" s="14" t="str">
        <f t="shared" si="644"/>
        <v xml:space="preserve">wood processing(1), aesthetics(2),  </v>
      </c>
      <c r="BV181" s="14" t="str">
        <f t="shared" si="645"/>
        <v xml:space="preserve"> </v>
      </c>
      <c r="BW181" s="27" t="str">
        <f t="shared" si="595"/>
        <v xml:space="preserve"> </v>
      </c>
      <c r="BX181" s="14" t="str">
        <f t="shared" si="646"/>
        <v xml:space="preserve">aesthetics(1)
interaction(1)
 </v>
      </c>
      <c r="BY181" s="14" t="str">
        <f t="shared" si="647"/>
        <v xml:space="preserve">biz project(1,%),  </v>
      </c>
      <c r="BZ181" s="14" t="str">
        <f t="shared" si="648"/>
        <v xml:space="preserve"> </v>
      </c>
      <c r="CA181" s="14" t="str">
        <f t="shared" si="649"/>
        <v xml:space="preserve">database(2), security(3), aesthetics(2), functions(1), interaction(2),  </v>
      </c>
      <c r="CB181" s="14" t="str">
        <f t="shared" si="650"/>
        <v xml:space="preserve"> </v>
      </c>
      <c r="CC181" s="27" t="str">
        <f t="shared" si="651"/>
        <v xml:space="preserve"> </v>
      </c>
      <c r="CD181" s="14" t="str">
        <f t="shared" si="652"/>
        <v xml:space="preserve">aesthetics(1)
 </v>
      </c>
      <c r="CE181" s="14" t="str">
        <f t="shared" si="653"/>
        <v xml:space="preserve">biz project(1,%),  </v>
      </c>
      <c r="CF181" s="14" t="str">
        <f t="shared" si="654"/>
        <v xml:space="preserve"> </v>
      </c>
      <c r="CG181" s="14" t="str">
        <f t="shared" si="655"/>
        <v xml:space="preserve">database(2), mobile apps(2), security(3), aesthetics(2), functions(1), interaction(2),  </v>
      </c>
      <c r="CH181" s="14" t="str">
        <f t="shared" si="656"/>
        <v xml:space="preserve"> </v>
      </c>
      <c r="CI181" s="27" t="str">
        <f t="shared" si="651"/>
        <v xml:space="preserve"> </v>
      </c>
      <c r="CJ181" s="14" t="str">
        <f t="shared" si="657"/>
        <v xml:space="preserve">aesthetics(1)
 </v>
      </c>
      <c r="CK181" s="14" t="str">
        <f t="shared" si="658"/>
        <v xml:space="preserve">biz project(1,%),  </v>
      </c>
      <c r="CL181" s="14" t="str">
        <f t="shared" si="659"/>
        <v xml:space="preserve"> </v>
      </c>
      <c r="CM181" s="14" t="str">
        <f t="shared" si="660"/>
        <v xml:space="preserve">database(2), mobile apps(2), security(2), aesthetics(2), functions(1), interaction(2),  </v>
      </c>
      <c r="CN181" s="14" t="str">
        <f t="shared" si="661"/>
        <v xml:space="preserve"> </v>
      </c>
      <c r="CO181" s="27" t="str">
        <f t="shared" si="651"/>
        <v xml:space="preserve"> </v>
      </c>
      <c r="CP181" s="14" t="str">
        <f t="shared" si="662"/>
        <v xml:space="preserve">metal processing(1)
functions(1)
 </v>
      </c>
      <c r="CQ181" s="14" t="str">
        <f t="shared" si="663"/>
        <v xml:space="preserve">biz enhancement(1,50%),  </v>
      </c>
      <c r="CR181" s="14" t="str">
        <f t="shared" si="664"/>
        <v xml:space="preserve">biz enhancement(50)
 </v>
      </c>
      <c r="CS181" s="14" t="str">
        <f t="shared" si="665"/>
        <v xml:space="preserve">metal processing(2), electronics(2), aesthetics(2), functions(2), safety(2),  </v>
      </c>
      <c r="CT181" s="14" t="str">
        <f t="shared" si="666"/>
        <v xml:space="preserve"> </v>
      </c>
      <c r="CU181" s="27" t="str">
        <f t="shared" si="651"/>
        <v xml:space="preserve"> </v>
      </c>
      <c r="CV181" s="14" t="str">
        <f t="shared" si="667"/>
        <v xml:space="preserve">wood processing(1)
aesthetics(1)
interaction(1)
 </v>
      </c>
      <c r="CW181" s="14" t="str">
        <f t="shared" si="668"/>
        <v xml:space="preserve">social project(1,50%),  </v>
      </c>
      <c r="CX181" s="14" t="str">
        <f t="shared" si="669"/>
        <v xml:space="preserve">social project(50)
 </v>
      </c>
      <c r="CY181" s="14" t="str">
        <f t="shared" si="670"/>
        <v xml:space="preserve">sensors(2), wood processing(2), plastic processing(2), electronics(2), aesthetics(2), functions(1), safety(1), interaction(2),  </v>
      </c>
      <c r="CZ181" s="14" t="str">
        <f t="shared" si="671"/>
        <v xml:space="preserve"> </v>
      </c>
      <c r="DA181" s="27" t="str">
        <f t="shared" si="651"/>
        <v xml:space="preserve"> </v>
      </c>
      <c r="DB181" s="14" t="str">
        <f t="shared" si="672"/>
        <v xml:space="preserve">aesthetics(1)
interaction(1)
 </v>
      </c>
      <c r="DC181" s="14" t="str">
        <f t="shared" si="673"/>
        <v xml:space="preserve">social project(1,50%),  </v>
      </c>
      <c r="DD181" s="14" t="str">
        <f t="shared" si="674"/>
        <v xml:space="preserve">social project(50)
 </v>
      </c>
      <c r="DE181" s="14" t="str">
        <f t="shared" si="675"/>
        <v xml:space="preserve">VR&amp;AR(2),  </v>
      </c>
      <c r="DF181" s="14" t="str">
        <f t="shared" si="676"/>
        <v xml:space="preserve"> </v>
      </c>
      <c r="DG181" s="27" t="str">
        <f t="shared" si="651"/>
        <v xml:space="preserve"> </v>
      </c>
      <c r="DH181" s="14" t="str">
        <f t="shared" si="677"/>
        <v xml:space="preserve">wood processing(1)
aesthetics(1)
safety(1)
 </v>
      </c>
      <c r="DI181" s="14" t="str">
        <f t="shared" si="678"/>
        <v xml:space="preserve">social project(1,100%),  </v>
      </c>
      <c r="DJ181" s="14" t="str">
        <f t="shared" si="679"/>
        <v xml:space="preserve">social project(100)
 </v>
      </c>
      <c r="DK181" s="14" t="str">
        <f t="shared" si="680"/>
        <v xml:space="preserve">sensors(1), wood processing(2), metal processing(2), plastic processing(2), electronics(2), fabric(1), aesthetics(1), functions(2), safety(2), interaction(2),  </v>
      </c>
      <c r="DL181" s="14" t="str">
        <f t="shared" si="681"/>
        <v xml:space="preserve"> </v>
      </c>
      <c r="DM181" s="27" t="str">
        <f t="shared" si="651"/>
        <v xml:space="preserve"> </v>
      </c>
      <c r="DN181" s="14" t="str">
        <f t="shared" si="682"/>
        <v xml:space="preserve">wood processing(1)
plastic processing(1)
electronics(1)
aesthetics(2)
functions(1)
safety(1)
biz project(1)
 </v>
      </c>
      <c r="DO181" s="14" t="str">
        <f t="shared" si="683"/>
        <v xml:space="preserve"> </v>
      </c>
      <c r="DP181" s="14" t="str">
        <f t="shared" si="684"/>
        <v xml:space="preserve"> </v>
      </c>
      <c r="DQ181" s="14" t="str">
        <f t="shared" si="685"/>
        <v xml:space="preserve">wood processing(2), plastic processing(2), electronics(2), aesthetics(2),  </v>
      </c>
      <c r="DR181" s="14" t="str">
        <f t="shared" si="686"/>
        <v xml:space="preserve"> </v>
      </c>
      <c r="DS181" s="27" t="str">
        <f t="shared" si="651"/>
        <v xml:space="preserve"> </v>
      </c>
      <c r="DT181" s="14" t="str">
        <f t="shared" si="687"/>
        <v xml:space="preserve"> </v>
      </c>
      <c r="DU181" s="14" t="str">
        <f t="shared" si="688"/>
        <v xml:space="preserve"> </v>
      </c>
      <c r="DV181" s="14" t="str">
        <f t="shared" si="689"/>
        <v xml:space="preserve"> </v>
      </c>
      <c r="DW181" s="14" t="str">
        <f t="shared" si="690"/>
        <v xml:space="preserve"> </v>
      </c>
      <c r="DX181" s="14" t="str">
        <f t="shared" si="691"/>
        <v xml:space="preserve"> </v>
      </c>
      <c r="DY181" s="27" t="str">
        <f t="shared" si="651"/>
        <v xml:space="preserve"> </v>
      </c>
      <c r="DZ181" s="14" t="str">
        <f t="shared" si="692"/>
        <v xml:space="preserve"> </v>
      </c>
      <c r="EA181" s="14" t="str">
        <f t="shared" si="693"/>
        <v xml:space="preserve"> </v>
      </c>
      <c r="EB181" s="14" t="str">
        <f t="shared" si="694"/>
        <v xml:space="preserve"> </v>
      </c>
      <c r="EC181" s="14" t="str">
        <f t="shared" si="695"/>
        <v xml:space="preserve"> </v>
      </c>
      <c r="ED181" s="14" t="str">
        <f t="shared" si="696"/>
        <v xml:space="preserve"> </v>
      </c>
      <c r="EE181" s="27" t="str">
        <f t="shared" si="651"/>
        <v xml:space="preserve"> </v>
      </c>
      <c r="EF181" s="14" t="str">
        <f t="shared" si="697"/>
        <v xml:space="preserve"> </v>
      </c>
      <c r="EG181" s="14" t="str">
        <f t="shared" si="698"/>
        <v xml:space="preserve"> </v>
      </c>
      <c r="EH181" s="14" t="str">
        <f t="shared" si="699"/>
        <v xml:space="preserve"> </v>
      </c>
      <c r="EI181" s="14" t="str">
        <f t="shared" si="700"/>
        <v xml:space="preserve"> </v>
      </c>
      <c r="EJ181" s="14" t="str">
        <f t="shared" si="701"/>
        <v xml:space="preserve"> </v>
      </c>
      <c r="EK181" s="27" t="str">
        <f t="shared" si="651"/>
        <v xml:space="preserve"> </v>
      </c>
      <c r="EL181" s="14" t="str">
        <f t="shared" si="702"/>
        <v xml:space="preserve"> </v>
      </c>
      <c r="EM181" s="14" t="str">
        <f t="shared" si="703"/>
        <v xml:space="preserve"> </v>
      </c>
      <c r="EN181" s="14" t="str">
        <f t="shared" si="704"/>
        <v xml:space="preserve"> </v>
      </c>
      <c r="EO181" s="14" t="str">
        <f t="shared" si="705"/>
        <v xml:space="preserve"> </v>
      </c>
      <c r="EP181" s="14" t="str">
        <f t="shared" si="706"/>
        <v xml:space="preserve"> </v>
      </c>
      <c r="EQ181" s="27" t="str">
        <f t="shared" si="707"/>
        <v xml:space="preserve"> </v>
      </c>
      <c r="ER181" s="14" t="str">
        <f t="shared" si="708"/>
        <v xml:space="preserve"> </v>
      </c>
      <c r="ES181" s="14" t="str">
        <f t="shared" si="709"/>
        <v xml:space="preserve"> </v>
      </c>
      <c r="ET181" s="14" t="str">
        <f t="shared" si="710"/>
        <v xml:space="preserve"> </v>
      </c>
      <c r="EU181" s="14" t="str">
        <f t="shared" si="711"/>
        <v xml:space="preserve"> </v>
      </c>
      <c r="EV181" s="14" t="str">
        <f t="shared" si="712"/>
        <v xml:space="preserve"> </v>
      </c>
      <c r="EW181" s="27" t="str">
        <f t="shared" si="707"/>
        <v xml:space="preserve"> </v>
      </c>
      <c r="EX181" s="14" t="str">
        <f t="shared" si="713"/>
        <v xml:space="preserve"> </v>
      </c>
      <c r="EY181" s="14" t="str">
        <f t="shared" si="714"/>
        <v xml:space="preserve"> </v>
      </c>
      <c r="EZ181" s="14" t="str">
        <f t="shared" si="715"/>
        <v xml:space="preserve"> </v>
      </c>
      <c r="FA181" s="14" t="str">
        <f t="shared" si="716"/>
        <v xml:space="preserve"> </v>
      </c>
      <c r="FB181" s="14" t="str">
        <f t="shared" si="717"/>
        <v xml:space="preserve"> </v>
      </c>
      <c r="FC181" s="27" t="str">
        <f t="shared" si="707"/>
        <v xml:space="preserve"> </v>
      </c>
      <c r="FD181" s="14" t="str">
        <f t="shared" si="718"/>
        <v xml:space="preserve"> </v>
      </c>
      <c r="FE181" s="14" t="str">
        <f t="shared" si="719"/>
        <v xml:space="preserve"> </v>
      </c>
      <c r="FF181" s="14" t="str">
        <f t="shared" si="720"/>
        <v xml:space="preserve"> </v>
      </c>
      <c r="FG181" s="14" t="str">
        <f t="shared" si="721"/>
        <v xml:space="preserve"> </v>
      </c>
      <c r="FH181" s="14" t="str">
        <f t="shared" si="722"/>
        <v xml:space="preserve"> </v>
      </c>
      <c r="FI181" s="27" t="str">
        <f t="shared" si="707"/>
        <v xml:space="preserve"> </v>
      </c>
      <c r="FJ181" s="14" t="str">
        <f t="shared" si="723"/>
        <v xml:space="preserve"> </v>
      </c>
      <c r="FK181" s="14" t="str">
        <f t="shared" si="724"/>
        <v xml:space="preserve"> </v>
      </c>
      <c r="FL181" s="14" t="str">
        <f t="shared" si="725"/>
        <v xml:space="preserve"> </v>
      </c>
      <c r="FM181" s="14" t="str">
        <f t="shared" si="726"/>
        <v xml:space="preserve"> </v>
      </c>
      <c r="FN181" s="14" t="str">
        <f t="shared" si="727"/>
        <v xml:space="preserve"> </v>
      </c>
      <c r="FO181" s="27" t="str">
        <f t="shared" si="707"/>
        <v xml:space="preserve"> </v>
      </c>
      <c r="FP181" s="14" t="str">
        <f t="shared" si="728"/>
        <v xml:space="preserve"> </v>
      </c>
      <c r="FQ181" s="14" t="str">
        <f t="shared" si="729"/>
        <v xml:space="preserve"> </v>
      </c>
      <c r="FR181" s="14" t="str">
        <f t="shared" si="730"/>
        <v xml:space="preserve"> </v>
      </c>
      <c r="FS181" s="14" t="str">
        <f t="shared" si="731"/>
        <v xml:space="preserve"> </v>
      </c>
      <c r="FT181" s="14" t="str">
        <f t="shared" si="732"/>
        <v xml:space="preserve"> </v>
      </c>
      <c r="FU181" s="27" t="str">
        <f t="shared" si="707"/>
        <v xml:space="preserve"> </v>
      </c>
      <c r="FV181" s="14" t="str">
        <f t="shared" si="733"/>
        <v xml:space="preserve"> </v>
      </c>
      <c r="FW181" s="14" t="str">
        <f t="shared" si="734"/>
        <v xml:space="preserve"> </v>
      </c>
      <c r="FX181" s="14" t="str">
        <f t="shared" si="735"/>
        <v xml:space="preserve"> </v>
      </c>
      <c r="FY181" s="14" t="str">
        <f t="shared" si="736"/>
        <v xml:space="preserve"> </v>
      </c>
      <c r="FZ181" s="14" t="str">
        <f t="shared" si="737"/>
        <v xml:space="preserve"> </v>
      </c>
      <c r="GA181" s="27" t="str">
        <f t="shared" si="707"/>
        <v xml:space="preserve"> </v>
      </c>
      <c r="GB181" s="14" t="str">
        <f t="shared" si="738"/>
        <v xml:space="preserve"> </v>
      </c>
      <c r="GC181" s="14" t="str">
        <f t="shared" si="739"/>
        <v xml:space="preserve"> </v>
      </c>
      <c r="GD181" s="14" t="str">
        <f t="shared" si="740"/>
        <v xml:space="preserve"> </v>
      </c>
      <c r="GE181" s="14" t="str">
        <f t="shared" si="741"/>
        <v xml:space="preserve"> </v>
      </c>
      <c r="GF181" s="14" t="str">
        <f t="shared" si="742"/>
        <v xml:space="preserve"> </v>
      </c>
      <c r="GG181" s="27" t="str">
        <f t="shared" si="707"/>
        <v xml:space="preserve"> </v>
      </c>
      <c r="GH181" s="14" t="str">
        <f t="shared" si="743"/>
        <v xml:space="preserve"> </v>
      </c>
      <c r="GI181" s="14" t="str">
        <f t="shared" si="744"/>
        <v xml:space="preserve"> </v>
      </c>
      <c r="GJ181" s="14" t="str">
        <f t="shared" si="745"/>
        <v xml:space="preserve"> </v>
      </c>
      <c r="GK181" s="14" t="str">
        <f t="shared" si="746"/>
        <v xml:space="preserve"> </v>
      </c>
      <c r="GL181" s="14" t="str">
        <f t="shared" si="747"/>
        <v xml:space="preserve"> </v>
      </c>
      <c r="GM181" s="27" t="str">
        <f t="shared" si="707"/>
        <v xml:space="preserve"> </v>
      </c>
      <c r="GN181" s="14" t="str">
        <f t="shared" si="748"/>
        <v xml:space="preserve"> </v>
      </c>
      <c r="GO181" s="14" t="str">
        <f t="shared" si="749"/>
        <v xml:space="preserve"> </v>
      </c>
      <c r="GP181" s="14" t="str">
        <f t="shared" si="750"/>
        <v xml:space="preserve"> </v>
      </c>
      <c r="GQ181" s="14" t="str">
        <f t="shared" si="751"/>
        <v xml:space="preserve"> </v>
      </c>
      <c r="GR181" s="14" t="str">
        <f t="shared" si="752"/>
        <v xml:space="preserve"> </v>
      </c>
      <c r="GS181" s="27" t="str">
        <f t="shared" si="707"/>
        <v xml:space="preserve"> </v>
      </c>
      <c r="GT181" s="14" t="str">
        <f t="shared" si="753"/>
        <v xml:space="preserve"> </v>
      </c>
      <c r="GU181" s="14" t="str">
        <f t="shared" si="754"/>
        <v xml:space="preserve"> </v>
      </c>
      <c r="GV181" s="14" t="str">
        <f t="shared" si="755"/>
        <v xml:space="preserve"> </v>
      </c>
      <c r="GW181" s="14" t="str">
        <f t="shared" si="756"/>
        <v xml:space="preserve"> </v>
      </c>
      <c r="GX181" s="14" t="str">
        <f t="shared" si="757"/>
        <v xml:space="preserve"> </v>
      </c>
      <c r="GY181" s="27" t="str">
        <f t="shared" si="707"/>
        <v xml:space="preserve"> </v>
      </c>
      <c r="GZ181" s="14" t="str">
        <f t="shared" si="758"/>
        <v xml:space="preserve"> </v>
      </c>
      <c r="HA181" s="14" t="str">
        <f t="shared" si="759"/>
        <v xml:space="preserve"> </v>
      </c>
      <c r="HB181" s="14" t="str">
        <f t="shared" si="760"/>
        <v xml:space="preserve"> </v>
      </c>
      <c r="HC181" s="14" t="str">
        <f t="shared" si="761"/>
        <v xml:space="preserve"> </v>
      </c>
      <c r="HD181" s="14" t="str">
        <f t="shared" si="762"/>
        <v xml:space="preserve"> </v>
      </c>
      <c r="HE181" s="27" t="str">
        <f t="shared" si="763"/>
        <v xml:space="preserve"> </v>
      </c>
      <c r="HF181" s="14" t="str">
        <f t="shared" si="764"/>
        <v xml:space="preserve"> </v>
      </c>
      <c r="HG181" s="14" t="str">
        <f t="shared" si="765"/>
        <v xml:space="preserve"> </v>
      </c>
      <c r="HH181" s="14" t="str">
        <f t="shared" si="766"/>
        <v xml:space="preserve"> </v>
      </c>
      <c r="HI181" s="14" t="str">
        <f t="shared" si="767"/>
        <v xml:space="preserve"> </v>
      </c>
      <c r="HJ181" s="14" t="str">
        <f t="shared" si="768"/>
        <v xml:space="preserve"> </v>
      </c>
      <c r="HK181" s="27" t="str">
        <f t="shared" si="763"/>
        <v xml:space="preserve"> </v>
      </c>
      <c r="HL181" s="14" t="str">
        <f t="shared" si="769"/>
        <v xml:space="preserve"> </v>
      </c>
      <c r="HM181" s="14" t="str">
        <f t="shared" si="770"/>
        <v xml:space="preserve"> </v>
      </c>
      <c r="HN181" s="14" t="str">
        <f t="shared" si="771"/>
        <v xml:space="preserve"> </v>
      </c>
      <c r="HO181" s="14" t="str">
        <f t="shared" si="772"/>
        <v xml:space="preserve"> </v>
      </c>
      <c r="HP181" s="14" t="str">
        <f t="shared" si="773"/>
        <v xml:space="preserve"> </v>
      </c>
      <c r="HQ181" s="27" t="str">
        <f t="shared" si="763"/>
        <v xml:space="preserve"> </v>
      </c>
    </row>
    <row r="182" spans="1:225" ht="15.75" customHeight="1">
      <c r="A182" s="7">
        <f t="shared" ref="A182:C182" si="787">A74</f>
        <v>0</v>
      </c>
      <c r="B182" s="7">
        <f t="shared" si="787"/>
        <v>0</v>
      </c>
      <c r="C182" s="7" t="str">
        <f t="shared" si="787"/>
        <v>mobile apps</v>
      </c>
      <c r="D182" s="14" t="str">
        <f t="shared" si="775"/>
        <v xml:space="preserve"> </v>
      </c>
      <c r="E182" s="14" t="str">
        <f t="shared" si="776"/>
        <v xml:space="preserve"> </v>
      </c>
      <c r="F182" s="14" t="str">
        <f t="shared" si="777"/>
        <v xml:space="preserve"> </v>
      </c>
      <c r="G182" s="14" t="str">
        <f t="shared" si="778"/>
        <v xml:space="preserve"> </v>
      </c>
      <c r="H182" s="14" t="str">
        <f t="shared" si="779"/>
        <v xml:space="preserve"> </v>
      </c>
      <c r="I182" s="27" t="str">
        <f t="shared" ref="I182" si="788">IF(I74="",I183,$C182&amp;"("&amp;I74&amp;"),"&amp;I183)</f>
        <v xml:space="preserve"> </v>
      </c>
      <c r="J182" s="14" t="str">
        <f t="shared" si="590"/>
        <v xml:space="preserve"> </v>
      </c>
      <c r="K182" s="14" t="str">
        <f t="shared" si="591"/>
        <v xml:space="preserve"> </v>
      </c>
      <c r="L182" s="14" t="str">
        <f t="shared" si="592"/>
        <v xml:space="preserve"> </v>
      </c>
      <c r="M182" s="14" t="str">
        <f t="shared" si="593"/>
        <v xml:space="preserve"> </v>
      </c>
      <c r="N182" s="14" t="str">
        <f t="shared" si="594"/>
        <v xml:space="preserve"> </v>
      </c>
      <c r="O182" s="27" t="str">
        <f t="shared" si="595"/>
        <v xml:space="preserve"> </v>
      </c>
      <c r="P182" s="14" t="str">
        <f t="shared" si="596"/>
        <v xml:space="preserve"> </v>
      </c>
      <c r="Q182" s="14" t="str">
        <f t="shared" si="597"/>
        <v xml:space="preserve"> </v>
      </c>
      <c r="R182" s="14" t="str">
        <f t="shared" si="598"/>
        <v xml:space="preserve"> </v>
      </c>
      <c r="S182" s="14" t="str">
        <f t="shared" si="599"/>
        <v xml:space="preserve"> </v>
      </c>
      <c r="T182" s="14" t="str">
        <f t="shared" si="600"/>
        <v xml:space="preserve">mobile apps(-1,6.25%), aesthetics(-1,6.25%),  </v>
      </c>
      <c r="U182" s="27" t="str">
        <f t="shared" si="595"/>
        <v xml:space="preserve">mobile apps(6.25),aesthetics(6.25), </v>
      </c>
      <c r="V182" s="14" t="str">
        <f t="shared" si="601"/>
        <v xml:space="preserve"> </v>
      </c>
      <c r="W182" s="14" t="str">
        <f t="shared" si="602"/>
        <v xml:space="preserve"> </v>
      </c>
      <c r="X182" s="14" t="str">
        <f t="shared" si="603"/>
        <v xml:space="preserve"> </v>
      </c>
      <c r="Y182" s="14" t="str">
        <f t="shared" si="604"/>
        <v xml:space="preserve"> </v>
      </c>
      <c r="Z182" s="14" t="str">
        <f t="shared" si="605"/>
        <v xml:space="preserve"> </v>
      </c>
      <c r="AA182" s="27" t="str">
        <f t="shared" si="595"/>
        <v xml:space="preserve"> </v>
      </c>
      <c r="AB182" s="14" t="str">
        <f t="shared" si="606"/>
        <v xml:space="preserve"> </v>
      </c>
      <c r="AC182" s="14" t="str">
        <f t="shared" si="607"/>
        <v xml:space="preserve"> </v>
      </c>
      <c r="AD182" s="14" t="str">
        <f t="shared" si="608"/>
        <v xml:space="preserve"> </v>
      </c>
      <c r="AE182" s="14" t="str">
        <f t="shared" si="609"/>
        <v xml:space="preserve"> </v>
      </c>
      <c r="AF182" s="14" t="str">
        <f t="shared" si="610"/>
        <v xml:space="preserve"> </v>
      </c>
      <c r="AG182" s="27" t="str">
        <f t="shared" si="595"/>
        <v xml:space="preserve"> </v>
      </c>
      <c r="AH182" s="14" t="str">
        <f t="shared" si="611"/>
        <v xml:space="preserve"> </v>
      </c>
      <c r="AI182" s="14" t="str">
        <f t="shared" si="612"/>
        <v xml:space="preserve"> </v>
      </c>
      <c r="AJ182" s="14" t="str">
        <f t="shared" si="613"/>
        <v xml:space="preserve"> </v>
      </c>
      <c r="AK182" s="14" t="str">
        <f t="shared" si="614"/>
        <v xml:space="preserve"> </v>
      </c>
      <c r="AL182" s="14" t="str">
        <f t="shared" si="615"/>
        <v xml:space="preserve"> </v>
      </c>
      <c r="AM182" s="27" t="str">
        <f t="shared" si="595"/>
        <v xml:space="preserve"> </v>
      </c>
      <c r="AN182" s="14" t="str">
        <f t="shared" si="616"/>
        <v xml:space="preserve"> </v>
      </c>
      <c r="AO182" s="14" t="str">
        <f t="shared" si="617"/>
        <v xml:space="preserve"> </v>
      </c>
      <c r="AP182" s="14" t="str">
        <f t="shared" si="618"/>
        <v xml:space="preserve"> </v>
      </c>
      <c r="AQ182" s="14" t="str">
        <f t="shared" si="619"/>
        <v xml:space="preserve"> </v>
      </c>
      <c r="AR182" s="14" t="str">
        <f t="shared" si="620"/>
        <v xml:space="preserve"> </v>
      </c>
      <c r="AS182" s="27" t="str">
        <f t="shared" si="595"/>
        <v xml:space="preserve"> </v>
      </c>
      <c r="AT182" s="14" t="str">
        <f t="shared" si="621"/>
        <v xml:space="preserve"> </v>
      </c>
      <c r="AU182" s="14" t="str">
        <f t="shared" si="622"/>
        <v xml:space="preserve"> </v>
      </c>
      <c r="AV182" s="14" t="str">
        <f t="shared" si="623"/>
        <v xml:space="preserve"> </v>
      </c>
      <c r="AW182" s="14" t="str">
        <f t="shared" si="624"/>
        <v xml:space="preserve"> </v>
      </c>
      <c r="AX182" s="14" t="str">
        <f t="shared" si="625"/>
        <v xml:space="preserve"> </v>
      </c>
      <c r="AY182" s="27" t="str">
        <f t="shared" si="595"/>
        <v xml:space="preserve"> </v>
      </c>
      <c r="AZ182" s="14" t="str">
        <f t="shared" si="626"/>
        <v xml:space="preserve"> </v>
      </c>
      <c r="BA182" s="14" t="str">
        <f t="shared" si="627"/>
        <v xml:space="preserve"> </v>
      </c>
      <c r="BB182" s="14" t="str">
        <f t="shared" si="628"/>
        <v xml:space="preserve"> </v>
      </c>
      <c r="BC182" s="14" t="str">
        <f t="shared" si="629"/>
        <v xml:space="preserve"> </v>
      </c>
      <c r="BD182" s="14" t="str">
        <f t="shared" si="630"/>
        <v xml:space="preserve"> </v>
      </c>
      <c r="BE182" s="27" t="str">
        <f t="shared" si="595"/>
        <v xml:space="preserve"> </v>
      </c>
      <c r="BF182" s="14" t="str">
        <f t="shared" si="631"/>
        <v xml:space="preserve"> </v>
      </c>
      <c r="BG182" s="14" t="str">
        <f t="shared" si="632"/>
        <v xml:space="preserve"> </v>
      </c>
      <c r="BH182" s="14" t="str">
        <f t="shared" si="633"/>
        <v xml:space="preserve"> </v>
      </c>
      <c r="BI182" s="14" t="str">
        <f t="shared" si="634"/>
        <v xml:space="preserve"> </v>
      </c>
      <c r="BJ182" s="14" t="str">
        <f t="shared" si="635"/>
        <v xml:space="preserve"> </v>
      </c>
      <c r="BK182" s="27" t="str">
        <f t="shared" si="595"/>
        <v xml:space="preserve"> </v>
      </c>
      <c r="BL182" s="14" t="str">
        <f t="shared" si="636"/>
        <v xml:space="preserve">aesthetics(1)
 </v>
      </c>
      <c r="BM182" s="14" t="str">
        <f t="shared" si="637"/>
        <v xml:space="preserve">biz enhancement(1,%),  </v>
      </c>
      <c r="BN182" s="14" t="str">
        <f t="shared" si="638"/>
        <v xml:space="preserve"> </v>
      </c>
      <c r="BO182" s="14" t="str">
        <f t="shared" si="639"/>
        <v xml:space="preserve">aesthetics(2), functions(1), safety(1),  </v>
      </c>
      <c r="BP182" s="14" t="str">
        <f t="shared" si="640"/>
        <v xml:space="preserve"> </v>
      </c>
      <c r="BQ182" s="27" t="str">
        <f t="shared" si="595"/>
        <v xml:space="preserve"> </v>
      </c>
      <c r="BR182" s="14" t="str">
        <f t="shared" si="641"/>
        <v xml:space="preserve">aesthetics(1)
 </v>
      </c>
      <c r="BS182" s="14" t="str">
        <f t="shared" si="642"/>
        <v xml:space="preserve">biz project(1,%),  </v>
      </c>
      <c r="BT182" s="14" t="str">
        <f t="shared" si="643"/>
        <v xml:space="preserve"> </v>
      </c>
      <c r="BU182" s="14" t="str">
        <f t="shared" si="644"/>
        <v xml:space="preserve">wood processing(1), aesthetics(2),  </v>
      </c>
      <c r="BV182" s="14" t="str">
        <f t="shared" si="645"/>
        <v xml:space="preserve"> </v>
      </c>
      <c r="BW182" s="27" t="str">
        <f t="shared" si="595"/>
        <v xml:space="preserve"> </v>
      </c>
      <c r="BX182" s="14" t="str">
        <f t="shared" si="646"/>
        <v xml:space="preserve">aesthetics(1)
interaction(1)
 </v>
      </c>
      <c r="BY182" s="14" t="str">
        <f t="shared" si="647"/>
        <v xml:space="preserve">biz project(1,%),  </v>
      </c>
      <c r="BZ182" s="14" t="str">
        <f t="shared" si="648"/>
        <v xml:space="preserve"> </v>
      </c>
      <c r="CA182" s="14" t="str">
        <f t="shared" si="649"/>
        <v xml:space="preserve">security(3), aesthetics(2), functions(1), interaction(2),  </v>
      </c>
      <c r="CB182" s="14" t="str">
        <f t="shared" si="650"/>
        <v xml:space="preserve"> </v>
      </c>
      <c r="CC182" s="27" t="str">
        <f t="shared" si="651"/>
        <v xml:space="preserve"> </v>
      </c>
      <c r="CD182" s="14" t="str">
        <f t="shared" si="652"/>
        <v xml:space="preserve">aesthetics(1)
 </v>
      </c>
      <c r="CE182" s="14" t="str">
        <f t="shared" si="653"/>
        <v xml:space="preserve">biz project(1,%),  </v>
      </c>
      <c r="CF182" s="14" t="str">
        <f t="shared" si="654"/>
        <v xml:space="preserve"> </v>
      </c>
      <c r="CG182" s="14" t="str">
        <f t="shared" si="655"/>
        <v xml:space="preserve">mobile apps(2), security(3), aesthetics(2), functions(1), interaction(2),  </v>
      </c>
      <c r="CH182" s="14" t="str">
        <f t="shared" si="656"/>
        <v xml:space="preserve"> </v>
      </c>
      <c r="CI182" s="27" t="str">
        <f t="shared" si="651"/>
        <v xml:space="preserve"> </v>
      </c>
      <c r="CJ182" s="14" t="str">
        <f t="shared" si="657"/>
        <v xml:space="preserve">aesthetics(1)
 </v>
      </c>
      <c r="CK182" s="14" t="str">
        <f t="shared" si="658"/>
        <v xml:space="preserve">biz project(1,%),  </v>
      </c>
      <c r="CL182" s="14" t="str">
        <f t="shared" si="659"/>
        <v xml:space="preserve"> </v>
      </c>
      <c r="CM182" s="14" t="str">
        <f t="shared" si="660"/>
        <v xml:space="preserve">mobile apps(2), security(2), aesthetics(2), functions(1), interaction(2),  </v>
      </c>
      <c r="CN182" s="14" t="str">
        <f t="shared" si="661"/>
        <v xml:space="preserve"> </v>
      </c>
      <c r="CO182" s="27" t="str">
        <f t="shared" si="651"/>
        <v xml:space="preserve"> </v>
      </c>
      <c r="CP182" s="14" t="str">
        <f t="shared" si="662"/>
        <v xml:space="preserve">metal processing(1)
functions(1)
 </v>
      </c>
      <c r="CQ182" s="14" t="str">
        <f t="shared" si="663"/>
        <v xml:space="preserve">biz enhancement(1,50%),  </v>
      </c>
      <c r="CR182" s="14" t="str">
        <f t="shared" si="664"/>
        <v xml:space="preserve">biz enhancement(50)
 </v>
      </c>
      <c r="CS182" s="14" t="str">
        <f t="shared" si="665"/>
        <v xml:space="preserve">metal processing(2), electronics(2), aesthetics(2), functions(2), safety(2),  </v>
      </c>
      <c r="CT182" s="14" t="str">
        <f t="shared" si="666"/>
        <v xml:space="preserve"> </v>
      </c>
      <c r="CU182" s="27" t="str">
        <f t="shared" si="651"/>
        <v xml:space="preserve"> </v>
      </c>
      <c r="CV182" s="14" t="str">
        <f t="shared" si="667"/>
        <v xml:space="preserve">wood processing(1)
aesthetics(1)
interaction(1)
 </v>
      </c>
      <c r="CW182" s="14" t="str">
        <f t="shared" si="668"/>
        <v xml:space="preserve">social project(1,50%),  </v>
      </c>
      <c r="CX182" s="14" t="str">
        <f t="shared" si="669"/>
        <v xml:space="preserve">social project(50)
 </v>
      </c>
      <c r="CY182" s="14" t="str">
        <f t="shared" si="670"/>
        <v xml:space="preserve">sensors(2), wood processing(2), plastic processing(2), electronics(2), aesthetics(2), functions(1), safety(1), interaction(2),  </v>
      </c>
      <c r="CZ182" s="14" t="str">
        <f t="shared" si="671"/>
        <v xml:space="preserve"> </v>
      </c>
      <c r="DA182" s="27" t="str">
        <f t="shared" si="651"/>
        <v xml:space="preserve"> </v>
      </c>
      <c r="DB182" s="14" t="str">
        <f t="shared" si="672"/>
        <v xml:space="preserve">aesthetics(1)
interaction(1)
 </v>
      </c>
      <c r="DC182" s="14" t="str">
        <f t="shared" si="673"/>
        <v xml:space="preserve">social project(1,50%),  </v>
      </c>
      <c r="DD182" s="14" t="str">
        <f t="shared" si="674"/>
        <v xml:space="preserve">social project(50)
 </v>
      </c>
      <c r="DE182" s="14" t="str">
        <f t="shared" si="675"/>
        <v xml:space="preserve">VR&amp;AR(2),  </v>
      </c>
      <c r="DF182" s="14" t="str">
        <f t="shared" si="676"/>
        <v xml:space="preserve"> </v>
      </c>
      <c r="DG182" s="27" t="str">
        <f t="shared" si="651"/>
        <v xml:space="preserve"> </v>
      </c>
      <c r="DH182" s="14" t="str">
        <f t="shared" si="677"/>
        <v xml:space="preserve">wood processing(1)
aesthetics(1)
safety(1)
 </v>
      </c>
      <c r="DI182" s="14" t="str">
        <f t="shared" si="678"/>
        <v xml:space="preserve">social project(1,100%),  </v>
      </c>
      <c r="DJ182" s="14" t="str">
        <f t="shared" si="679"/>
        <v xml:space="preserve">social project(100)
 </v>
      </c>
      <c r="DK182" s="14" t="str">
        <f t="shared" si="680"/>
        <v xml:space="preserve">sensors(1), wood processing(2), metal processing(2), plastic processing(2), electronics(2), fabric(1), aesthetics(1), functions(2), safety(2), interaction(2),  </v>
      </c>
      <c r="DL182" s="14" t="str">
        <f t="shared" si="681"/>
        <v xml:space="preserve"> </v>
      </c>
      <c r="DM182" s="27" t="str">
        <f t="shared" si="651"/>
        <v xml:space="preserve"> </v>
      </c>
      <c r="DN182" s="14" t="str">
        <f t="shared" si="682"/>
        <v xml:space="preserve">wood processing(1)
plastic processing(1)
electronics(1)
aesthetics(2)
functions(1)
safety(1)
biz project(1)
 </v>
      </c>
      <c r="DO182" s="14" t="str">
        <f t="shared" si="683"/>
        <v xml:space="preserve"> </v>
      </c>
      <c r="DP182" s="14" t="str">
        <f t="shared" si="684"/>
        <v xml:space="preserve"> </v>
      </c>
      <c r="DQ182" s="14" t="str">
        <f t="shared" si="685"/>
        <v xml:space="preserve">wood processing(2), plastic processing(2), electronics(2), aesthetics(2),  </v>
      </c>
      <c r="DR182" s="14" t="str">
        <f t="shared" si="686"/>
        <v xml:space="preserve"> </v>
      </c>
      <c r="DS182" s="27" t="str">
        <f t="shared" si="651"/>
        <v xml:space="preserve"> </v>
      </c>
      <c r="DT182" s="14" t="str">
        <f t="shared" si="687"/>
        <v xml:space="preserve"> </v>
      </c>
      <c r="DU182" s="14" t="str">
        <f t="shared" si="688"/>
        <v xml:space="preserve"> </v>
      </c>
      <c r="DV182" s="14" t="str">
        <f t="shared" si="689"/>
        <v xml:space="preserve"> </v>
      </c>
      <c r="DW182" s="14" t="str">
        <f t="shared" si="690"/>
        <v xml:space="preserve"> </v>
      </c>
      <c r="DX182" s="14" t="str">
        <f t="shared" si="691"/>
        <v xml:space="preserve"> </v>
      </c>
      <c r="DY182" s="27" t="str">
        <f t="shared" si="651"/>
        <v xml:space="preserve"> </v>
      </c>
      <c r="DZ182" s="14" t="str">
        <f t="shared" si="692"/>
        <v xml:space="preserve"> </v>
      </c>
      <c r="EA182" s="14" t="str">
        <f t="shared" si="693"/>
        <v xml:space="preserve"> </v>
      </c>
      <c r="EB182" s="14" t="str">
        <f t="shared" si="694"/>
        <v xml:space="preserve"> </v>
      </c>
      <c r="EC182" s="14" t="str">
        <f t="shared" si="695"/>
        <v xml:space="preserve"> </v>
      </c>
      <c r="ED182" s="14" t="str">
        <f t="shared" si="696"/>
        <v xml:space="preserve"> </v>
      </c>
      <c r="EE182" s="27" t="str">
        <f t="shared" si="651"/>
        <v xml:space="preserve"> </v>
      </c>
      <c r="EF182" s="14" t="str">
        <f t="shared" si="697"/>
        <v xml:space="preserve"> </v>
      </c>
      <c r="EG182" s="14" t="str">
        <f t="shared" si="698"/>
        <v xml:space="preserve"> </v>
      </c>
      <c r="EH182" s="14" t="str">
        <f t="shared" si="699"/>
        <v xml:space="preserve"> </v>
      </c>
      <c r="EI182" s="14" t="str">
        <f t="shared" si="700"/>
        <v xml:space="preserve"> </v>
      </c>
      <c r="EJ182" s="14" t="str">
        <f t="shared" si="701"/>
        <v xml:space="preserve"> </v>
      </c>
      <c r="EK182" s="27" t="str">
        <f t="shared" si="651"/>
        <v xml:space="preserve"> </v>
      </c>
      <c r="EL182" s="14" t="str">
        <f t="shared" si="702"/>
        <v xml:space="preserve"> </v>
      </c>
      <c r="EM182" s="14" t="str">
        <f t="shared" si="703"/>
        <v xml:space="preserve"> </v>
      </c>
      <c r="EN182" s="14" t="str">
        <f t="shared" si="704"/>
        <v xml:space="preserve"> </v>
      </c>
      <c r="EO182" s="14" t="str">
        <f t="shared" si="705"/>
        <v xml:space="preserve"> </v>
      </c>
      <c r="EP182" s="14" t="str">
        <f t="shared" si="706"/>
        <v xml:space="preserve"> </v>
      </c>
      <c r="EQ182" s="27" t="str">
        <f t="shared" si="707"/>
        <v xml:space="preserve"> </v>
      </c>
      <c r="ER182" s="14" t="str">
        <f t="shared" si="708"/>
        <v xml:space="preserve"> </v>
      </c>
      <c r="ES182" s="14" t="str">
        <f t="shared" si="709"/>
        <v xml:space="preserve"> </v>
      </c>
      <c r="ET182" s="14" t="str">
        <f t="shared" si="710"/>
        <v xml:space="preserve"> </v>
      </c>
      <c r="EU182" s="14" t="str">
        <f t="shared" si="711"/>
        <v xml:space="preserve"> </v>
      </c>
      <c r="EV182" s="14" t="str">
        <f t="shared" si="712"/>
        <v xml:space="preserve"> </v>
      </c>
      <c r="EW182" s="27" t="str">
        <f t="shared" si="707"/>
        <v xml:space="preserve"> </v>
      </c>
      <c r="EX182" s="14" t="str">
        <f t="shared" si="713"/>
        <v xml:space="preserve"> </v>
      </c>
      <c r="EY182" s="14" t="str">
        <f t="shared" si="714"/>
        <v xml:space="preserve"> </v>
      </c>
      <c r="EZ182" s="14" t="str">
        <f t="shared" si="715"/>
        <v xml:space="preserve"> </v>
      </c>
      <c r="FA182" s="14" t="str">
        <f t="shared" si="716"/>
        <v xml:space="preserve"> </v>
      </c>
      <c r="FB182" s="14" t="str">
        <f t="shared" si="717"/>
        <v xml:space="preserve"> </v>
      </c>
      <c r="FC182" s="27" t="str">
        <f t="shared" si="707"/>
        <v xml:space="preserve"> </v>
      </c>
      <c r="FD182" s="14" t="str">
        <f t="shared" si="718"/>
        <v xml:space="preserve"> </v>
      </c>
      <c r="FE182" s="14" t="str">
        <f t="shared" si="719"/>
        <v xml:space="preserve"> </v>
      </c>
      <c r="FF182" s="14" t="str">
        <f t="shared" si="720"/>
        <v xml:space="preserve"> </v>
      </c>
      <c r="FG182" s="14" t="str">
        <f t="shared" si="721"/>
        <v xml:space="preserve"> </v>
      </c>
      <c r="FH182" s="14" t="str">
        <f t="shared" si="722"/>
        <v xml:space="preserve"> </v>
      </c>
      <c r="FI182" s="27" t="str">
        <f t="shared" si="707"/>
        <v xml:space="preserve"> </v>
      </c>
      <c r="FJ182" s="14" t="str">
        <f t="shared" si="723"/>
        <v xml:space="preserve"> </v>
      </c>
      <c r="FK182" s="14" t="str">
        <f t="shared" si="724"/>
        <v xml:space="preserve"> </v>
      </c>
      <c r="FL182" s="14" t="str">
        <f t="shared" si="725"/>
        <v xml:space="preserve"> </v>
      </c>
      <c r="FM182" s="14" t="str">
        <f t="shared" si="726"/>
        <v xml:space="preserve"> </v>
      </c>
      <c r="FN182" s="14" t="str">
        <f t="shared" si="727"/>
        <v xml:space="preserve"> </v>
      </c>
      <c r="FO182" s="27" t="str">
        <f t="shared" si="707"/>
        <v xml:space="preserve"> </v>
      </c>
      <c r="FP182" s="14" t="str">
        <f t="shared" si="728"/>
        <v xml:space="preserve"> </v>
      </c>
      <c r="FQ182" s="14" t="str">
        <f t="shared" si="729"/>
        <v xml:space="preserve"> </v>
      </c>
      <c r="FR182" s="14" t="str">
        <f t="shared" si="730"/>
        <v xml:space="preserve"> </v>
      </c>
      <c r="FS182" s="14" t="str">
        <f t="shared" si="731"/>
        <v xml:space="preserve"> </v>
      </c>
      <c r="FT182" s="14" t="str">
        <f t="shared" si="732"/>
        <v xml:space="preserve"> </v>
      </c>
      <c r="FU182" s="27" t="str">
        <f t="shared" si="707"/>
        <v xml:space="preserve"> </v>
      </c>
      <c r="FV182" s="14" t="str">
        <f t="shared" si="733"/>
        <v xml:space="preserve"> </v>
      </c>
      <c r="FW182" s="14" t="str">
        <f t="shared" si="734"/>
        <v xml:space="preserve"> </v>
      </c>
      <c r="FX182" s="14" t="str">
        <f t="shared" si="735"/>
        <v xml:space="preserve"> </v>
      </c>
      <c r="FY182" s="14" t="str">
        <f t="shared" si="736"/>
        <v xml:space="preserve"> </v>
      </c>
      <c r="FZ182" s="14" t="str">
        <f t="shared" si="737"/>
        <v xml:space="preserve"> </v>
      </c>
      <c r="GA182" s="27" t="str">
        <f t="shared" si="707"/>
        <v xml:space="preserve"> </v>
      </c>
      <c r="GB182" s="14" t="str">
        <f t="shared" si="738"/>
        <v xml:space="preserve"> </v>
      </c>
      <c r="GC182" s="14" t="str">
        <f t="shared" si="739"/>
        <v xml:space="preserve"> </v>
      </c>
      <c r="GD182" s="14" t="str">
        <f t="shared" si="740"/>
        <v xml:space="preserve"> </v>
      </c>
      <c r="GE182" s="14" t="str">
        <f t="shared" si="741"/>
        <v xml:space="preserve"> </v>
      </c>
      <c r="GF182" s="14" t="str">
        <f t="shared" si="742"/>
        <v xml:space="preserve"> </v>
      </c>
      <c r="GG182" s="27" t="str">
        <f t="shared" si="707"/>
        <v xml:space="preserve"> </v>
      </c>
      <c r="GH182" s="14" t="str">
        <f t="shared" si="743"/>
        <v xml:space="preserve"> </v>
      </c>
      <c r="GI182" s="14" t="str">
        <f t="shared" si="744"/>
        <v xml:space="preserve"> </v>
      </c>
      <c r="GJ182" s="14" t="str">
        <f t="shared" si="745"/>
        <v xml:space="preserve"> </v>
      </c>
      <c r="GK182" s="14" t="str">
        <f t="shared" si="746"/>
        <v xml:space="preserve"> </v>
      </c>
      <c r="GL182" s="14" t="str">
        <f t="shared" si="747"/>
        <v xml:space="preserve"> </v>
      </c>
      <c r="GM182" s="27" t="str">
        <f t="shared" si="707"/>
        <v xml:space="preserve"> </v>
      </c>
      <c r="GN182" s="14" t="str">
        <f t="shared" si="748"/>
        <v xml:space="preserve"> </v>
      </c>
      <c r="GO182" s="14" t="str">
        <f t="shared" si="749"/>
        <v xml:space="preserve"> </v>
      </c>
      <c r="GP182" s="14" t="str">
        <f t="shared" si="750"/>
        <v xml:space="preserve"> </v>
      </c>
      <c r="GQ182" s="14" t="str">
        <f t="shared" si="751"/>
        <v xml:space="preserve"> </v>
      </c>
      <c r="GR182" s="14" t="str">
        <f t="shared" si="752"/>
        <v xml:space="preserve"> </v>
      </c>
      <c r="GS182" s="27" t="str">
        <f t="shared" si="707"/>
        <v xml:space="preserve"> </v>
      </c>
      <c r="GT182" s="14" t="str">
        <f t="shared" si="753"/>
        <v xml:space="preserve"> </v>
      </c>
      <c r="GU182" s="14" t="str">
        <f t="shared" si="754"/>
        <v xml:space="preserve"> </v>
      </c>
      <c r="GV182" s="14" t="str">
        <f t="shared" si="755"/>
        <v xml:space="preserve"> </v>
      </c>
      <c r="GW182" s="14" t="str">
        <f t="shared" si="756"/>
        <v xml:space="preserve"> </v>
      </c>
      <c r="GX182" s="14" t="str">
        <f t="shared" si="757"/>
        <v xml:space="preserve"> </v>
      </c>
      <c r="GY182" s="27" t="str">
        <f t="shared" si="707"/>
        <v xml:space="preserve"> </v>
      </c>
      <c r="GZ182" s="14" t="str">
        <f t="shared" si="758"/>
        <v xml:space="preserve"> </v>
      </c>
      <c r="HA182" s="14" t="str">
        <f t="shared" si="759"/>
        <v xml:space="preserve"> </v>
      </c>
      <c r="HB182" s="14" t="str">
        <f t="shared" si="760"/>
        <v xml:space="preserve"> </v>
      </c>
      <c r="HC182" s="14" t="str">
        <f t="shared" si="761"/>
        <v xml:space="preserve"> </v>
      </c>
      <c r="HD182" s="14" t="str">
        <f t="shared" si="762"/>
        <v xml:space="preserve"> </v>
      </c>
      <c r="HE182" s="27" t="str">
        <f t="shared" si="763"/>
        <v xml:space="preserve"> </v>
      </c>
      <c r="HF182" s="14" t="str">
        <f t="shared" si="764"/>
        <v xml:space="preserve"> </v>
      </c>
      <c r="HG182" s="14" t="str">
        <f t="shared" si="765"/>
        <v xml:space="preserve"> </v>
      </c>
      <c r="HH182" s="14" t="str">
        <f t="shared" si="766"/>
        <v xml:space="preserve"> </v>
      </c>
      <c r="HI182" s="14" t="str">
        <f t="shared" si="767"/>
        <v xml:space="preserve"> </v>
      </c>
      <c r="HJ182" s="14" t="str">
        <f t="shared" si="768"/>
        <v xml:space="preserve"> </v>
      </c>
      <c r="HK182" s="27" t="str">
        <f t="shared" si="763"/>
        <v xml:space="preserve"> </v>
      </c>
      <c r="HL182" s="14" t="str">
        <f t="shared" si="769"/>
        <v xml:space="preserve"> </v>
      </c>
      <c r="HM182" s="14" t="str">
        <f t="shared" si="770"/>
        <v xml:space="preserve"> </v>
      </c>
      <c r="HN182" s="14" t="str">
        <f t="shared" si="771"/>
        <v xml:space="preserve"> </v>
      </c>
      <c r="HO182" s="14" t="str">
        <f t="shared" si="772"/>
        <v xml:space="preserve"> </v>
      </c>
      <c r="HP182" s="14" t="str">
        <f t="shared" si="773"/>
        <v xml:space="preserve"> </v>
      </c>
      <c r="HQ182" s="27" t="str">
        <f t="shared" si="763"/>
        <v xml:space="preserve"> </v>
      </c>
    </row>
    <row r="183" spans="1:225" ht="15.75" customHeight="1">
      <c r="A183" s="7">
        <f t="shared" ref="A183:C183" si="789">A75</f>
        <v>0</v>
      </c>
      <c r="B183" s="7">
        <f t="shared" si="789"/>
        <v>0</v>
      </c>
      <c r="C183" s="7" t="str">
        <f t="shared" si="789"/>
        <v>sensors</v>
      </c>
      <c r="D183" s="14" t="str">
        <f t="shared" si="775"/>
        <v xml:space="preserve"> </v>
      </c>
      <c r="E183" s="14" t="str">
        <f t="shared" si="776"/>
        <v xml:space="preserve"> </v>
      </c>
      <c r="F183" s="14" t="str">
        <f t="shared" si="777"/>
        <v xml:space="preserve"> </v>
      </c>
      <c r="G183" s="14" t="str">
        <f t="shared" si="778"/>
        <v xml:space="preserve"> </v>
      </c>
      <c r="H183" s="14" t="str">
        <f t="shared" si="779"/>
        <v xml:space="preserve"> </v>
      </c>
      <c r="I183" s="27" t="str">
        <f t="shared" ref="I183" si="790">IF(I75="",I184,$C183&amp;"("&amp;I75&amp;"),"&amp;I184)</f>
        <v xml:space="preserve"> </v>
      </c>
      <c r="J183" s="14" t="str">
        <f t="shared" si="590"/>
        <v xml:space="preserve"> </v>
      </c>
      <c r="K183" s="14" t="str">
        <f t="shared" si="591"/>
        <v xml:space="preserve"> </v>
      </c>
      <c r="L183" s="14" t="str">
        <f t="shared" si="592"/>
        <v xml:space="preserve"> </v>
      </c>
      <c r="M183" s="14" t="str">
        <f t="shared" si="593"/>
        <v xml:space="preserve"> </v>
      </c>
      <c r="N183" s="14" t="str">
        <f t="shared" si="594"/>
        <v xml:space="preserve"> </v>
      </c>
      <c r="O183" s="27" t="str">
        <f t="shared" si="595"/>
        <v xml:space="preserve"> </v>
      </c>
      <c r="P183" s="14" t="str">
        <f t="shared" si="596"/>
        <v xml:space="preserve"> </v>
      </c>
      <c r="Q183" s="14" t="str">
        <f t="shared" si="597"/>
        <v xml:space="preserve"> </v>
      </c>
      <c r="R183" s="14" t="str">
        <f t="shared" si="598"/>
        <v xml:space="preserve"> </v>
      </c>
      <c r="S183" s="14" t="str">
        <f t="shared" si="599"/>
        <v xml:space="preserve"> </v>
      </c>
      <c r="T183" s="14" t="str">
        <f t="shared" si="600"/>
        <v xml:space="preserve">aesthetics(-1,6.25%),  </v>
      </c>
      <c r="U183" s="27" t="str">
        <f t="shared" si="595"/>
        <v xml:space="preserve">aesthetics(6.25), </v>
      </c>
      <c r="V183" s="14" t="str">
        <f t="shared" si="601"/>
        <v xml:space="preserve"> </v>
      </c>
      <c r="W183" s="14" t="str">
        <f t="shared" si="602"/>
        <v xml:space="preserve"> </v>
      </c>
      <c r="X183" s="14" t="str">
        <f t="shared" si="603"/>
        <v xml:space="preserve"> </v>
      </c>
      <c r="Y183" s="14" t="str">
        <f t="shared" si="604"/>
        <v xml:space="preserve"> </v>
      </c>
      <c r="Z183" s="14" t="str">
        <f t="shared" si="605"/>
        <v xml:space="preserve"> </v>
      </c>
      <c r="AA183" s="27" t="str">
        <f t="shared" si="595"/>
        <v xml:space="preserve"> </v>
      </c>
      <c r="AB183" s="14" t="str">
        <f t="shared" si="606"/>
        <v xml:space="preserve"> </v>
      </c>
      <c r="AC183" s="14" t="str">
        <f t="shared" si="607"/>
        <v xml:space="preserve"> </v>
      </c>
      <c r="AD183" s="14" t="str">
        <f t="shared" si="608"/>
        <v xml:space="preserve"> </v>
      </c>
      <c r="AE183" s="14" t="str">
        <f t="shared" si="609"/>
        <v xml:space="preserve"> </v>
      </c>
      <c r="AF183" s="14" t="str">
        <f t="shared" si="610"/>
        <v xml:space="preserve"> </v>
      </c>
      <c r="AG183" s="27" t="str">
        <f t="shared" si="595"/>
        <v xml:space="preserve"> </v>
      </c>
      <c r="AH183" s="14" t="str">
        <f t="shared" si="611"/>
        <v xml:space="preserve"> </v>
      </c>
      <c r="AI183" s="14" t="str">
        <f t="shared" si="612"/>
        <v xml:space="preserve"> </v>
      </c>
      <c r="AJ183" s="14" t="str">
        <f t="shared" si="613"/>
        <v xml:space="preserve"> </v>
      </c>
      <c r="AK183" s="14" t="str">
        <f t="shared" si="614"/>
        <v xml:space="preserve"> </v>
      </c>
      <c r="AL183" s="14" t="str">
        <f t="shared" si="615"/>
        <v xml:space="preserve"> </v>
      </c>
      <c r="AM183" s="27" t="str">
        <f t="shared" si="595"/>
        <v xml:space="preserve"> </v>
      </c>
      <c r="AN183" s="14" t="str">
        <f t="shared" si="616"/>
        <v xml:space="preserve"> </v>
      </c>
      <c r="AO183" s="14" t="str">
        <f t="shared" si="617"/>
        <v xml:space="preserve"> </v>
      </c>
      <c r="AP183" s="14" t="str">
        <f t="shared" si="618"/>
        <v xml:space="preserve"> </v>
      </c>
      <c r="AQ183" s="14" t="str">
        <f t="shared" si="619"/>
        <v xml:space="preserve"> </v>
      </c>
      <c r="AR183" s="14" t="str">
        <f t="shared" si="620"/>
        <v xml:space="preserve"> </v>
      </c>
      <c r="AS183" s="27" t="str">
        <f t="shared" si="595"/>
        <v xml:space="preserve"> </v>
      </c>
      <c r="AT183" s="14" t="str">
        <f t="shared" si="621"/>
        <v xml:space="preserve"> </v>
      </c>
      <c r="AU183" s="14" t="str">
        <f t="shared" si="622"/>
        <v xml:space="preserve"> </v>
      </c>
      <c r="AV183" s="14" t="str">
        <f t="shared" si="623"/>
        <v xml:space="preserve"> </v>
      </c>
      <c r="AW183" s="14" t="str">
        <f t="shared" si="624"/>
        <v xml:space="preserve"> </v>
      </c>
      <c r="AX183" s="14" t="str">
        <f t="shared" si="625"/>
        <v xml:space="preserve"> </v>
      </c>
      <c r="AY183" s="27" t="str">
        <f t="shared" si="595"/>
        <v xml:space="preserve"> </v>
      </c>
      <c r="AZ183" s="14" t="str">
        <f t="shared" si="626"/>
        <v xml:space="preserve"> </v>
      </c>
      <c r="BA183" s="14" t="str">
        <f t="shared" si="627"/>
        <v xml:space="preserve"> </v>
      </c>
      <c r="BB183" s="14" t="str">
        <f t="shared" si="628"/>
        <v xml:space="preserve"> </v>
      </c>
      <c r="BC183" s="14" t="str">
        <f t="shared" si="629"/>
        <v xml:space="preserve"> </v>
      </c>
      <c r="BD183" s="14" t="str">
        <f t="shared" si="630"/>
        <v xml:space="preserve"> </v>
      </c>
      <c r="BE183" s="27" t="str">
        <f t="shared" si="595"/>
        <v xml:space="preserve"> </v>
      </c>
      <c r="BF183" s="14" t="str">
        <f t="shared" si="631"/>
        <v xml:space="preserve"> </v>
      </c>
      <c r="BG183" s="14" t="str">
        <f t="shared" si="632"/>
        <v xml:space="preserve"> </v>
      </c>
      <c r="BH183" s="14" t="str">
        <f t="shared" si="633"/>
        <v xml:space="preserve"> </v>
      </c>
      <c r="BI183" s="14" t="str">
        <f t="shared" si="634"/>
        <v xml:space="preserve"> </v>
      </c>
      <c r="BJ183" s="14" t="str">
        <f t="shared" si="635"/>
        <v xml:space="preserve"> </v>
      </c>
      <c r="BK183" s="27" t="str">
        <f t="shared" si="595"/>
        <v xml:space="preserve"> </v>
      </c>
      <c r="BL183" s="14" t="str">
        <f t="shared" si="636"/>
        <v xml:space="preserve">aesthetics(1)
 </v>
      </c>
      <c r="BM183" s="14" t="str">
        <f t="shared" si="637"/>
        <v xml:space="preserve">biz enhancement(1,%),  </v>
      </c>
      <c r="BN183" s="14" t="str">
        <f t="shared" si="638"/>
        <v xml:space="preserve"> </v>
      </c>
      <c r="BO183" s="14" t="str">
        <f t="shared" si="639"/>
        <v xml:space="preserve">aesthetics(2), functions(1), safety(1),  </v>
      </c>
      <c r="BP183" s="14" t="str">
        <f t="shared" si="640"/>
        <v xml:space="preserve"> </v>
      </c>
      <c r="BQ183" s="27" t="str">
        <f t="shared" si="595"/>
        <v xml:space="preserve"> </v>
      </c>
      <c r="BR183" s="14" t="str">
        <f t="shared" si="641"/>
        <v xml:space="preserve">aesthetics(1)
 </v>
      </c>
      <c r="BS183" s="14" t="str">
        <f t="shared" si="642"/>
        <v xml:space="preserve">biz project(1,%),  </v>
      </c>
      <c r="BT183" s="14" t="str">
        <f t="shared" si="643"/>
        <v xml:space="preserve"> </v>
      </c>
      <c r="BU183" s="14" t="str">
        <f t="shared" si="644"/>
        <v xml:space="preserve">wood processing(1), aesthetics(2),  </v>
      </c>
      <c r="BV183" s="14" t="str">
        <f t="shared" si="645"/>
        <v xml:space="preserve"> </v>
      </c>
      <c r="BW183" s="27" t="str">
        <f t="shared" si="595"/>
        <v xml:space="preserve"> </v>
      </c>
      <c r="BX183" s="14" t="str">
        <f t="shared" si="646"/>
        <v xml:space="preserve">aesthetics(1)
interaction(1)
 </v>
      </c>
      <c r="BY183" s="14" t="str">
        <f t="shared" si="647"/>
        <v xml:space="preserve">biz project(1,%),  </v>
      </c>
      <c r="BZ183" s="14" t="str">
        <f t="shared" si="648"/>
        <v xml:space="preserve"> </v>
      </c>
      <c r="CA183" s="14" t="str">
        <f t="shared" si="649"/>
        <v xml:space="preserve">security(3), aesthetics(2), functions(1), interaction(2),  </v>
      </c>
      <c r="CB183" s="14" t="str">
        <f t="shared" si="650"/>
        <v xml:space="preserve"> </v>
      </c>
      <c r="CC183" s="27" t="str">
        <f t="shared" si="651"/>
        <v xml:space="preserve"> </v>
      </c>
      <c r="CD183" s="14" t="str">
        <f t="shared" si="652"/>
        <v xml:space="preserve">aesthetics(1)
 </v>
      </c>
      <c r="CE183" s="14" t="str">
        <f t="shared" si="653"/>
        <v xml:space="preserve">biz project(1,%),  </v>
      </c>
      <c r="CF183" s="14" t="str">
        <f t="shared" si="654"/>
        <v xml:space="preserve"> </v>
      </c>
      <c r="CG183" s="14" t="str">
        <f t="shared" si="655"/>
        <v xml:space="preserve">security(3), aesthetics(2), functions(1), interaction(2),  </v>
      </c>
      <c r="CH183" s="14" t="str">
        <f t="shared" si="656"/>
        <v xml:space="preserve"> </v>
      </c>
      <c r="CI183" s="27" t="str">
        <f t="shared" si="651"/>
        <v xml:space="preserve"> </v>
      </c>
      <c r="CJ183" s="14" t="str">
        <f t="shared" si="657"/>
        <v xml:space="preserve">aesthetics(1)
 </v>
      </c>
      <c r="CK183" s="14" t="str">
        <f t="shared" si="658"/>
        <v xml:space="preserve">biz project(1,%),  </v>
      </c>
      <c r="CL183" s="14" t="str">
        <f t="shared" si="659"/>
        <v xml:space="preserve"> </v>
      </c>
      <c r="CM183" s="14" t="str">
        <f t="shared" si="660"/>
        <v xml:space="preserve">security(2), aesthetics(2), functions(1), interaction(2),  </v>
      </c>
      <c r="CN183" s="14" t="str">
        <f t="shared" si="661"/>
        <v xml:space="preserve"> </v>
      </c>
      <c r="CO183" s="27" t="str">
        <f t="shared" si="651"/>
        <v xml:space="preserve"> </v>
      </c>
      <c r="CP183" s="14" t="str">
        <f t="shared" si="662"/>
        <v xml:space="preserve">metal processing(1)
functions(1)
 </v>
      </c>
      <c r="CQ183" s="14" t="str">
        <f t="shared" si="663"/>
        <v xml:space="preserve">biz enhancement(1,50%),  </v>
      </c>
      <c r="CR183" s="14" t="str">
        <f t="shared" si="664"/>
        <v xml:space="preserve">biz enhancement(50)
 </v>
      </c>
      <c r="CS183" s="14" t="str">
        <f t="shared" si="665"/>
        <v xml:space="preserve">metal processing(2), electronics(2), aesthetics(2), functions(2), safety(2),  </v>
      </c>
      <c r="CT183" s="14" t="str">
        <f t="shared" si="666"/>
        <v xml:space="preserve"> </v>
      </c>
      <c r="CU183" s="27" t="str">
        <f t="shared" si="651"/>
        <v xml:space="preserve"> </v>
      </c>
      <c r="CV183" s="14" t="str">
        <f t="shared" si="667"/>
        <v xml:space="preserve">wood processing(1)
aesthetics(1)
interaction(1)
 </v>
      </c>
      <c r="CW183" s="14" t="str">
        <f t="shared" si="668"/>
        <v xml:space="preserve">social project(1,50%),  </v>
      </c>
      <c r="CX183" s="14" t="str">
        <f t="shared" si="669"/>
        <v xml:space="preserve">social project(50)
 </v>
      </c>
      <c r="CY183" s="14" t="str">
        <f t="shared" si="670"/>
        <v xml:space="preserve">sensors(2), wood processing(2), plastic processing(2), electronics(2), aesthetics(2), functions(1), safety(1), interaction(2),  </v>
      </c>
      <c r="CZ183" s="14" t="str">
        <f t="shared" si="671"/>
        <v xml:space="preserve"> </v>
      </c>
      <c r="DA183" s="27" t="str">
        <f t="shared" si="651"/>
        <v xml:space="preserve"> </v>
      </c>
      <c r="DB183" s="14" t="str">
        <f t="shared" si="672"/>
        <v xml:space="preserve">aesthetics(1)
interaction(1)
 </v>
      </c>
      <c r="DC183" s="14" t="str">
        <f t="shared" si="673"/>
        <v xml:space="preserve">social project(1,50%),  </v>
      </c>
      <c r="DD183" s="14" t="str">
        <f t="shared" si="674"/>
        <v xml:space="preserve">social project(50)
 </v>
      </c>
      <c r="DE183" s="14" t="str">
        <f t="shared" si="675"/>
        <v xml:space="preserve">VR&amp;AR(2),  </v>
      </c>
      <c r="DF183" s="14" t="str">
        <f t="shared" si="676"/>
        <v xml:space="preserve"> </v>
      </c>
      <c r="DG183" s="27" t="str">
        <f t="shared" si="651"/>
        <v xml:space="preserve"> </v>
      </c>
      <c r="DH183" s="14" t="str">
        <f t="shared" si="677"/>
        <v xml:space="preserve">wood processing(1)
aesthetics(1)
safety(1)
 </v>
      </c>
      <c r="DI183" s="14" t="str">
        <f t="shared" si="678"/>
        <v xml:space="preserve">social project(1,100%),  </v>
      </c>
      <c r="DJ183" s="14" t="str">
        <f t="shared" si="679"/>
        <v xml:space="preserve">social project(100)
 </v>
      </c>
      <c r="DK183" s="14" t="str">
        <f t="shared" si="680"/>
        <v xml:space="preserve">sensors(1), wood processing(2), metal processing(2), plastic processing(2), electronics(2), fabric(1), aesthetics(1), functions(2), safety(2), interaction(2),  </v>
      </c>
      <c r="DL183" s="14" t="str">
        <f t="shared" si="681"/>
        <v xml:space="preserve"> </v>
      </c>
      <c r="DM183" s="27" t="str">
        <f t="shared" si="651"/>
        <v xml:space="preserve"> </v>
      </c>
      <c r="DN183" s="14" t="str">
        <f t="shared" si="682"/>
        <v xml:space="preserve">wood processing(1)
plastic processing(1)
electronics(1)
aesthetics(2)
functions(1)
safety(1)
biz project(1)
 </v>
      </c>
      <c r="DO183" s="14" t="str">
        <f t="shared" si="683"/>
        <v xml:space="preserve"> </v>
      </c>
      <c r="DP183" s="14" t="str">
        <f t="shared" si="684"/>
        <v xml:space="preserve"> </v>
      </c>
      <c r="DQ183" s="14" t="str">
        <f t="shared" si="685"/>
        <v xml:space="preserve">wood processing(2), plastic processing(2), electronics(2), aesthetics(2),  </v>
      </c>
      <c r="DR183" s="14" t="str">
        <f t="shared" si="686"/>
        <v xml:space="preserve"> </v>
      </c>
      <c r="DS183" s="27" t="str">
        <f t="shared" si="651"/>
        <v xml:space="preserve"> </v>
      </c>
      <c r="DT183" s="14" t="str">
        <f t="shared" si="687"/>
        <v xml:space="preserve"> </v>
      </c>
      <c r="DU183" s="14" t="str">
        <f t="shared" si="688"/>
        <v xml:space="preserve"> </v>
      </c>
      <c r="DV183" s="14" t="str">
        <f t="shared" si="689"/>
        <v xml:space="preserve"> </v>
      </c>
      <c r="DW183" s="14" t="str">
        <f t="shared" si="690"/>
        <v xml:space="preserve"> </v>
      </c>
      <c r="DX183" s="14" t="str">
        <f t="shared" si="691"/>
        <v xml:space="preserve"> </v>
      </c>
      <c r="DY183" s="27" t="str">
        <f t="shared" si="651"/>
        <v xml:space="preserve"> </v>
      </c>
      <c r="DZ183" s="14" t="str">
        <f t="shared" si="692"/>
        <v xml:space="preserve"> </v>
      </c>
      <c r="EA183" s="14" t="str">
        <f t="shared" si="693"/>
        <v xml:space="preserve"> </v>
      </c>
      <c r="EB183" s="14" t="str">
        <f t="shared" si="694"/>
        <v xml:space="preserve"> </v>
      </c>
      <c r="EC183" s="14" t="str">
        <f t="shared" si="695"/>
        <v xml:space="preserve"> </v>
      </c>
      <c r="ED183" s="14" t="str">
        <f t="shared" si="696"/>
        <v xml:space="preserve"> </v>
      </c>
      <c r="EE183" s="27" t="str">
        <f t="shared" si="651"/>
        <v xml:space="preserve"> </v>
      </c>
      <c r="EF183" s="14" t="str">
        <f t="shared" si="697"/>
        <v xml:space="preserve"> </v>
      </c>
      <c r="EG183" s="14" t="str">
        <f t="shared" si="698"/>
        <v xml:space="preserve"> </v>
      </c>
      <c r="EH183" s="14" t="str">
        <f t="shared" si="699"/>
        <v xml:space="preserve"> </v>
      </c>
      <c r="EI183" s="14" t="str">
        <f t="shared" si="700"/>
        <v xml:space="preserve"> </v>
      </c>
      <c r="EJ183" s="14" t="str">
        <f t="shared" si="701"/>
        <v xml:space="preserve"> </v>
      </c>
      <c r="EK183" s="27" t="str">
        <f t="shared" si="651"/>
        <v xml:space="preserve"> </v>
      </c>
      <c r="EL183" s="14" t="str">
        <f t="shared" si="702"/>
        <v xml:space="preserve"> </v>
      </c>
      <c r="EM183" s="14" t="str">
        <f t="shared" si="703"/>
        <v xml:space="preserve"> </v>
      </c>
      <c r="EN183" s="14" t="str">
        <f t="shared" si="704"/>
        <v xml:space="preserve"> </v>
      </c>
      <c r="EO183" s="14" t="str">
        <f t="shared" si="705"/>
        <v xml:space="preserve"> </v>
      </c>
      <c r="EP183" s="14" t="str">
        <f t="shared" si="706"/>
        <v xml:space="preserve"> </v>
      </c>
      <c r="EQ183" s="27" t="str">
        <f t="shared" si="707"/>
        <v xml:space="preserve"> </v>
      </c>
      <c r="ER183" s="14" t="str">
        <f t="shared" si="708"/>
        <v xml:space="preserve"> </v>
      </c>
      <c r="ES183" s="14" t="str">
        <f t="shared" si="709"/>
        <v xml:space="preserve"> </v>
      </c>
      <c r="ET183" s="14" t="str">
        <f t="shared" si="710"/>
        <v xml:space="preserve"> </v>
      </c>
      <c r="EU183" s="14" t="str">
        <f t="shared" si="711"/>
        <v xml:space="preserve"> </v>
      </c>
      <c r="EV183" s="14" t="str">
        <f t="shared" si="712"/>
        <v xml:space="preserve"> </v>
      </c>
      <c r="EW183" s="27" t="str">
        <f t="shared" si="707"/>
        <v xml:space="preserve"> </v>
      </c>
      <c r="EX183" s="14" t="str">
        <f t="shared" si="713"/>
        <v xml:space="preserve"> </v>
      </c>
      <c r="EY183" s="14" t="str">
        <f t="shared" si="714"/>
        <v xml:space="preserve"> </v>
      </c>
      <c r="EZ183" s="14" t="str">
        <f t="shared" si="715"/>
        <v xml:space="preserve"> </v>
      </c>
      <c r="FA183" s="14" t="str">
        <f t="shared" si="716"/>
        <v xml:space="preserve"> </v>
      </c>
      <c r="FB183" s="14" t="str">
        <f t="shared" si="717"/>
        <v xml:space="preserve"> </v>
      </c>
      <c r="FC183" s="27" t="str">
        <f t="shared" si="707"/>
        <v xml:space="preserve"> </v>
      </c>
      <c r="FD183" s="14" t="str">
        <f t="shared" si="718"/>
        <v xml:space="preserve"> </v>
      </c>
      <c r="FE183" s="14" t="str">
        <f t="shared" si="719"/>
        <v xml:space="preserve"> </v>
      </c>
      <c r="FF183" s="14" t="str">
        <f t="shared" si="720"/>
        <v xml:space="preserve"> </v>
      </c>
      <c r="FG183" s="14" t="str">
        <f t="shared" si="721"/>
        <v xml:space="preserve"> </v>
      </c>
      <c r="FH183" s="14" t="str">
        <f t="shared" si="722"/>
        <v xml:space="preserve"> </v>
      </c>
      <c r="FI183" s="27" t="str">
        <f t="shared" si="707"/>
        <v xml:space="preserve"> </v>
      </c>
      <c r="FJ183" s="14" t="str">
        <f t="shared" si="723"/>
        <v xml:space="preserve"> </v>
      </c>
      <c r="FK183" s="14" t="str">
        <f t="shared" si="724"/>
        <v xml:space="preserve"> </v>
      </c>
      <c r="FL183" s="14" t="str">
        <f t="shared" si="725"/>
        <v xml:space="preserve"> </v>
      </c>
      <c r="FM183" s="14" t="str">
        <f t="shared" si="726"/>
        <v xml:space="preserve"> </v>
      </c>
      <c r="FN183" s="14" t="str">
        <f t="shared" si="727"/>
        <v xml:space="preserve"> </v>
      </c>
      <c r="FO183" s="27" t="str">
        <f t="shared" si="707"/>
        <v xml:space="preserve"> </v>
      </c>
      <c r="FP183" s="14" t="str">
        <f t="shared" si="728"/>
        <v xml:space="preserve"> </v>
      </c>
      <c r="FQ183" s="14" t="str">
        <f t="shared" si="729"/>
        <v xml:space="preserve"> </v>
      </c>
      <c r="FR183" s="14" t="str">
        <f t="shared" si="730"/>
        <v xml:space="preserve"> </v>
      </c>
      <c r="FS183" s="14" t="str">
        <f t="shared" si="731"/>
        <v xml:space="preserve"> </v>
      </c>
      <c r="FT183" s="14" t="str">
        <f t="shared" si="732"/>
        <v xml:space="preserve"> </v>
      </c>
      <c r="FU183" s="27" t="str">
        <f t="shared" si="707"/>
        <v xml:space="preserve"> </v>
      </c>
      <c r="FV183" s="14" t="str">
        <f t="shared" si="733"/>
        <v xml:space="preserve"> </v>
      </c>
      <c r="FW183" s="14" t="str">
        <f t="shared" si="734"/>
        <v xml:space="preserve"> </v>
      </c>
      <c r="FX183" s="14" t="str">
        <f t="shared" si="735"/>
        <v xml:space="preserve"> </v>
      </c>
      <c r="FY183" s="14" t="str">
        <f t="shared" si="736"/>
        <v xml:space="preserve"> </v>
      </c>
      <c r="FZ183" s="14" t="str">
        <f t="shared" si="737"/>
        <v xml:space="preserve"> </v>
      </c>
      <c r="GA183" s="27" t="str">
        <f t="shared" si="707"/>
        <v xml:space="preserve"> </v>
      </c>
      <c r="GB183" s="14" t="str">
        <f t="shared" si="738"/>
        <v xml:space="preserve"> </v>
      </c>
      <c r="GC183" s="14" t="str">
        <f t="shared" si="739"/>
        <v xml:space="preserve"> </v>
      </c>
      <c r="GD183" s="14" t="str">
        <f t="shared" si="740"/>
        <v xml:space="preserve"> </v>
      </c>
      <c r="GE183" s="14" t="str">
        <f t="shared" si="741"/>
        <v xml:space="preserve"> </v>
      </c>
      <c r="GF183" s="14" t="str">
        <f t="shared" si="742"/>
        <v xml:space="preserve"> </v>
      </c>
      <c r="GG183" s="27" t="str">
        <f t="shared" si="707"/>
        <v xml:space="preserve"> </v>
      </c>
      <c r="GH183" s="14" t="str">
        <f t="shared" si="743"/>
        <v xml:space="preserve"> </v>
      </c>
      <c r="GI183" s="14" t="str">
        <f t="shared" si="744"/>
        <v xml:space="preserve"> </v>
      </c>
      <c r="GJ183" s="14" t="str">
        <f t="shared" si="745"/>
        <v xml:space="preserve"> </v>
      </c>
      <c r="GK183" s="14" t="str">
        <f t="shared" si="746"/>
        <v xml:space="preserve"> </v>
      </c>
      <c r="GL183" s="14" t="str">
        <f t="shared" si="747"/>
        <v xml:space="preserve"> </v>
      </c>
      <c r="GM183" s="27" t="str">
        <f t="shared" si="707"/>
        <v xml:space="preserve"> </v>
      </c>
      <c r="GN183" s="14" t="str">
        <f t="shared" si="748"/>
        <v xml:space="preserve"> </v>
      </c>
      <c r="GO183" s="14" t="str">
        <f t="shared" si="749"/>
        <v xml:space="preserve"> </v>
      </c>
      <c r="GP183" s="14" t="str">
        <f t="shared" si="750"/>
        <v xml:space="preserve"> </v>
      </c>
      <c r="GQ183" s="14" t="str">
        <f t="shared" si="751"/>
        <v xml:space="preserve"> </v>
      </c>
      <c r="GR183" s="14" t="str">
        <f t="shared" si="752"/>
        <v xml:space="preserve"> </v>
      </c>
      <c r="GS183" s="27" t="str">
        <f t="shared" si="707"/>
        <v xml:space="preserve"> </v>
      </c>
      <c r="GT183" s="14" t="str">
        <f t="shared" si="753"/>
        <v xml:space="preserve"> </v>
      </c>
      <c r="GU183" s="14" t="str">
        <f t="shared" si="754"/>
        <v xml:space="preserve"> </v>
      </c>
      <c r="GV183" s="14" t="str">
        <f t="shared" si="755"/>
        <v xml:space="preserve"> </v>
      </c>
      <c r="GW183" s="14" t="str">
        <f t="shared" si="756"/>
        <v xml:space="preserve"> </v>
      </c>
      <c r="GX183" s="14" t="str">
        <f t="shared" si="757"/>
        <v xml:space="preserve"> </v>
      </c>
      <c r="GY183" s="27" t="str">
        <f t="shared" si="707"/>
        <v xml:space="preserve"> </v>
      </c>
      <c r="GZ183" s="14" t="str">
        <f t="shared" si="758"/>
        <v xml:space="preserve"> </v>
      </c>
      <c r="HA183" s="14" t="str">
        <f t="shared" si="759"/>
        <v xml:space="preserve"> </v>
      </c>
      <c r="HB183" s="14" t="str">
        <f t="shared" si="760"/>
        <v xml:space="preserve"> </v>
      </c>
      <c r="HC183" s="14" t="str">
        <f t="shared" si="761"/>
        <v xml:space="preserve"> </v>
      </c>
      <c r="HD183" s="14" t="str">
        <f t="shared" si="762"/>
        <v xml:space="preserve"> </v>
      </c>
      <c r="HE183" s="27" t="str">
        <f t="shared" si="763"/>
        <v xml:space="preserve"> </v>
      </c>
      <c r="HF183" s="14" t="str">
        <f t="shared" si="764"/>
        <v xml:space="preserve"> </v>
      </c>
      <c r="HG183" s="14" t="str">
        <f t="shared" si="765"/>
        <v xml:space="preserve"> </v>
      </c>
      <c r="HH183" s="14" t="str">
        <f t="shared" si="766"/>
        <v xml:space="preserve"> </v>
      </c>
      <c r="HI183" s="14" t="str">
        <f t="shared" si="767"/>
        <v xml:space="preserve"> </v>
      </c>
      <c r="HJ183" s="14" t="str">
        <f t="shared" si="768"/>
        <v xml:space="preserve"> </v>
      </c>
      <c r="HK183" s="27" t="str">
        <f t="shared" si="763"/>
        <v xml:space="preserve"> </v>
      </c>
      <c r="HL183" s="14" t="str">
        <f t="shared" si="769"/>
        <v xml:space="preserve"> </v>
      </c>
      <c r="HM183" s="14" t="str">
        <f t="shared" si="770"/>
        <v xml:space="preserve"> </v>
      </c>
      <c r="HN183" s="14" t="str">
        <f t="shared" si="771"/>
        <v xml:space="preserve"> </v>
      </c>
      <c r="HO183" s="14" t="str">
        <f t="shared" si="772"/>
        <v xml:space="preserve"> </v>
      </c>
      <c r="HP183" s="14" t="str">
        <f t="shared" si="773"/>
        <v xml:space="preserve"> </v>
      </c>
      <c r="HQ183" s="27" t="str">
        <f t="shared" si="763"/>
        <v xml:space="preserve"> </v>
      </c>
    </row>
    <row r="184" spans="1:225" ht="15.75" customHeight="1">
      <c r="A184" s="7">
        <f t="shared" ref="A184:C184" si="791">A76</f>
        <v>0</v>
      </c>
      <c r="B184" s="7">
        <f t="shared" si="791"/>
        <v>0</v>
      </c>
      <c r="C184" s="7" t="str">
        <f t="shared" si="791"/>
        <v>security</v>
      </c>
      <c r="D184" s="14" t="str">
        <f t="shared" si="775"/>
        <v xml:space="preserve"> </v>
      </c>
      <c r="E184" s="14" t="str">
        <f t="shared" si="776"/>
        <v xml:space="preserve"> </v>
      </c>
      <c r="F184" s="14" t="str">
        <f t="shared" si="777"/>
        <v xml:space="preserve"> </v>
      </c>
      <c r="G184" s="14" t="str">
        <f t="shared" si="778"/>
        <v xml:space="preserve"> </v>
      </c>
      <c r="H184" s="14" t="str">
        <f t="shared" si="779"/>
        <v xml:space="preserve"> </v>
      </c>
      <c r="I184" s="27" t="str">
        <f t="shared" ref="I184" si="792">IF(I76="",I185,$C184&amp;"("&amp;I76&amp;"),"&amp;I185)</f>
        <v xml:space="preserve"> </v>
      </c>
      <c r="J184" s="14" t="str">
        <f t="shared" si="590"/>
        <v xml:space="preserve"> </v>
      </c>
      <c r="K184" s="14" t="str">
        <f t="shared" si="591"/>
        <v xml:space="preserve"> </v>
      </c>
      <c r="L184" s="14" t="str">
        <f t="shared" si="592"/>
        <v xml:space="preserve"> </v>
      </c>
      <c r="M184" s="14" t="str">
        <f t="shared" si="593"/>
        <v xml:space="preserve"> </v>
      </c>
      <c r="N184" s="14" t="str">
        <f t="shared" si="594"/>
        <v xml:space="preserve"> </v>
      </c>
      <c r="O184" s="27" t="str">
        <f t="shared" si="595"/>
        <v xml:space="preserve"> </v>
      </c>
      <c r="P184" s="14" t="str">
        <f t="shared" si="596"/>
        <v xml:space="preserve"> </v>
      </c>
      <c r="Q184" s="14" t="str">
        <f t="shared" si="597"/>
        <v xml:space="preserve"> </v>
      </c>
      <c r="R184" s="14" t="str">
        <f t="shared" si="598"/>
        <v xml:space="preserve"> </v>
      </c>
      <c r="S184" s="14" t="str">
        <f t="shared" si="599"/>
        <v xml:space="preserve"> </v>
      </c>
      <c r="T184" s="14" t="str">
        <f t="shared" si="600"/>
        <v xml:space="preserve">aesthetics(-1,6.25%),  </v>
      </c>
      <c r="U184" s="27" t="str">
        <f t="shared" si="595"/>
        <v xml:space="preserve">aesthetics(6.25), </v>
      </c>
      <c r="V184" s="14" t="str">
        <f t="shared" si="601"/>
        <v xml:space="preserve"> </v>
      </c>
      <c r="W184" s="14" t="str">
        <f t="shared" si="602"/>
        <v xml:space="preserve"> </v>
      </c>
      <c r="X184" s="14" t="str">
        <f t="shared" si="603"/>
        <v xml:space="preserve"> </v>
      </c>
      <c r="Y184" s="14" t="str">
        <f t="shared" si="604"/>
        <v xml:space="preserve"> </v>
      </c>
      <c r="Z184" s="14" t="str">
        <f t="shared" si="605"/>
        <v xml:space="preserve"> </v>
      </c>
      <c r="AA184" s="27" t="str">
        <f t="shared" si="595"/>
        <v xml:space="preserve"> </v>
      </c>
      <c r="AB184" s="14" t="str">
        <f t="shared" si="606"/>
        <v xml:space="preserve"> </v>
      </c>
      <c r="AC184" s="14" t="str">
        <f t="shared" si="607"/>
        <v xml:space="preserve"> </v>
      </c>
      <c r="AD184" s="14" t="str">
        <f t="shared" si="608"/>
        <v xml:space="preserve"> </v>
      </c>
      <c r="AE184" s="14" t="str">
        <f t="shared" si="609"/>
        <v xml:space="preserve"> </v>
      </c>
      <c r="AF184" s="14" t="str">
        <f t="shared" si="610"/>
        <v xml:space="preserve"> </v>
      </c>
      <c r="AG184" s="27" t="str">
        <f t="shared" si="595"/>
        <v xml:space="preserve"> </v>
      </c>
      <c r="AH184" s="14" t="str">
        <f t="shared" si="611"/>
        <v xml:space="preserve"> </v>
      </c>
      <c r="AI184" s="14" t="str">
        <f t="shared" si="612"/>
        <v xml:space="preserve"> </v>
      </c>
      <c r="AJ184" s="14" t="str">
        <f t="shared" si="613"/>
        <v xml:space="preserve"> </v>
      </c>
      <c r="AK184" s="14" t="str">
        <f t="shared" si="614"/>
        <v xml:space="preserve"> </v>
      </c>
      <c r="AL184" s="14" t="str">
        <f t="shared" si="615"/>
        <v xml:space="preserve"> </v>
      </c>
      <c r="AM184" s="27" t="str">
        <f t="shared" si="595"/>
        <v xml:space="preserve"> </v>
      </c>
      <c r="AN184" s="14" t="str">
        <f t="shared" si="616"/>
        <v xml:space="preserve"> </v>
      </c>
      <c r="AO184" s="14" t="str">
        <f t="shared" si="617"/>
        <v xml:space="preserve"> </v>
      </c>
      <c r="AP184" s="14" t="str">
        <f t="shared" si="618"/>
        <v xml:space="preserve"> </v>
      </c>
      <c r="AQ184" s="14" t="str">
        <f t="shared" si="619"/>
        <v xml:space="preserve"> </v>
      </c>
      <c r="AR184" s="14" t="str">
        <f t="shared" si="620"/>
        <v xml:space="preserve"> </v>
      </c>
      <c r="AS184" s="27" t="str">
        <f t="shared" si="595"/>
        <v xml:space="preserve"> </v>
      </c>
      <c r="AT184" s="14" t="str">
        <f t="shared" si="621"/>
        <v xml:space="preserve"> </v>
      </c>
      <c r="AU184" s="14" t="str">
        <f t="shared" si="622"/>
        <v xml:space="preserve"> </v>
      </c>
      <c r="AV184" s="14" t="str">
        <f t="shared" si="623"/>
        <v xml:space="preserve"> </v>
      </c>
      <c r="AW184" s="14" t="str">
        <f t="shared" si="624"/>
        <v xml:space="preserve"> </v>
      </c>
      <c r="AX184" s="14" t="str">
        <f t="shared" si="625"/>
        <v xml:space="preserve"> </v>
      </c>
      <c r="AY184" s="27" t="str">
        <f t="shared" si="595"/>
        <v xml:space="preserve"> </v>
      </c>
      <c r="AZ184" s="14" t="str">
        <f t="shared" si="626"/>
        <v xml:space="preserve"> </v>
      </c>
      <c r="BA184" s="14" t="str">
        <f t="shared" si="627"/>
        <v xml:space="preserve"> </v>
      </c>
      <c r="BB184" s="14" t="str">
        <f t="shared" si="628"/>
        <v xml:space="preserve"> </v>
      </c>
      <c r="BC184" s="14" t="str">
        <f t="shared" si="629"/>
        <v xml:space="preserve"> </v>
      </c>
      <c r="BD184" s="14" t="str">
        <f t="shared" si="630"/>
        <v xml:space="preserve"> </v>
      </c>
      <c r="BE184" s="27" t="str">
        <f t="shared" si="595"/>
        <v xml:space="preserve"> </v>
      </c>
      <c r="BF184" s="14" t="str">
        <f t="shared" si="631"/>
        <v xml:space="preserve"> </v>
      </c>
      <c r="BG184" s="14" t="str">
        <f t="shared" si="632"/>
        <v xml:space="preserve"> </v>
      </c>
      <c r="BH184" s="14" t="str">
        <f t="shared" si="633"/>
        <v xml:space="preserve"> </v>
      </c>
      <c r="BI184" s="14" t="str">
        <f t="shared" si="634"/>
        <v xml:space="preserve"> </v>
      </c>
      <c r="BJ184" s="14" t="str">
        <f t="shared" si="635"/>
        <v xml:space="preserve"> </v>
      </c>
      <c r="BK184" s="27" t="str">
        <f t="shared" si="595"/>
        <v xml:space="preserve"> </v>
      </c>
      <c r="BL184" s="14" t="str">
        <f t="shared" si="636"/>
        <v xml:space="preserve">aesthetics(1)
 </v>
      </c>
      <c r="BM184" s="14" t="str">
        <f t="shared" si="637"/>
        <v xml:space="preserve">biz enhancement(1,%),  </v>
      </c>
      <c r="BN184" s="14" t="str">
        <f t="shared" si="638"/>
        <v xml:space="preserve"> </v>
      </c>
      <c r="BO184" s="14" t="str">
        <f t="shared" si="639"/>
        <v xml:space="preserve">aesthetics(2), functions(1), safety(1),  </v>
      </c>
      <c r="BP184" s="14" t="str">
        <f t="shared" si="640"/>
        <v xml:space="preserve"> </v>
      </c>
      <c r="BQ184" s="27" t="str">
        <f t="shared" si="595"/>
        <v xml:space="preserve"> </v>
      </c>
      <c r="BR184" s="14" t="str">
        <f t="shared" si="641"/>
        <v xml:space="preserve">aesthetics(1)
 </v>
      </c>
      <c r="BS184" s="14" t="str">
        <f t="shared" si="642"/>
        <v xml:space="preserve">biz project(1,%),  </v>
      </c>
      <c r="BT184" s="14" t="str">
        <f t="shared" si="643"/>
        <v xml:space="preserve"> </v>
      </c>
      <c r="BU184" s="14" t="str">
        <f t="shared" si="644"/>
        <v xml:space="preserve">wood processing(1), aesthetics(2),  </v>
      </c>
      <c r="BV184" s="14" t="str">
        <f t="shared" si="645"/>
        <v xml:space="preserve"> </v>
      </c>
      <c r="BW184" s="27" t="str">
        <f t="shared" si="595"/>
        <v xml:space="preserve"> </v>
      </c>
      <c r="BX184" s="14" t="str">
        <f t="shared" si="646"/>
        <v xml:space="preserve">aesthetics(1)
interaction(1)
 </v>
      </c>
      <c r="BY184" s="14" t="str">
        <f t="shared" si="647"/>
        <v xml:space="preserve">biz project(1,%),  </v>
      </c>
      <c r="BZ184" s="14" t="str">
        <f t="shared" si="648"/>
        <v xml:space="preserve"> </v>
      </c>
      <c r="CA184" s="14" t="str">
        <f t="shared" si="649"/>
        <v xml:space="preserve">security(3), aesthetics(2), functions(1), interaction(2),  </v>
      </c>
      <c r="CB184" s="14" t="str">
        <f t="shared" si="650"/>
        <v xml:space="preserve"> </v>
      </c>
      <c r="CC184" s="27" t="str">
        <f t="shared" si="651"/>
        <v xml:space="preserve"> </v>
      </c>
      <c r="CD184" s="14" t="str">
        <f t="shared" si="652"/>
        <v xml:space="preserve">aesthetics(1)
 </v>
      </c>
      <c r="CE184" s="14" t="str">
        <f t="shared" si="653"/>
        <v xml:space="preserve">biz project(1,%),  </v>
      </c>
      <c r="CF184" s="14" t="str">
        <f t="shared" si="654"/>
        <v xml:space="preserve"> </v>
      </c>
      <c r="CG184" s="14" t="str">
        <f t="shared" si="655"/>
        <v xml:space="preserve">security(3), aesthetics(2), functions(1), interaction(2),  </v>
      </c>
      <c r="CH184" s="14" t="str">
        <f t="shared" si="656"/>
        <v xml:space="preserve"> </v>
      </c>
      <c r="CI184" s="27" t="str">
        <f t="shared" si="651"/>
        <v xml:space="preserve"> </v>
      </c>
      <c r="CJ184" s="14" t="str">
        <f t="shared" si="657"/>
        <v xml:space="preserve">aesthetics(1)
 </v>
      </c>
      <c r="CK184" s="14" t="str">
        <f t="shared" si="658"/>
        <v xml:space="preserve">biz project(1,%),  </v>
      </c>
      <c r="CL184" s="14" t="str">
        <f t="shared" si="659"/>
        <v xml:space="preserve"> </v>
      </c>
      <c r="CM184" s="14" t="str">
        <f t="shared" si="660"/>
        <v xml:space="preserve">security(2), aesthetics(2), functions(1), interaction(2),  </v>
      </c>
      <c r="CN184" s="14" t="str">
        <f t="shared" si="661"/>
        <v xml:space="preserve"> </v>
      </c>
      <c r="CO184" s="27" t="str">
        <f t="shared" si="651"/>
        <v xml:space="preserve"> </v>
      </c>
      <c r="CP184" s="14" t="str">
        <f t="shared" si="662"/>
        <v xml:space="preserve">metal processing(1)
functions(1)
 </v>
      </c>
      <c r="CQ184" s="14" t="str">
        <f t="shared" si="663"/>
        <v xml:space="preserve">biz enhancement(1,50%),  </v>
      </c>
      <c r="CR184" s="14" t="str">
        <f t="shared" si="664"/>
        <v xml:space="preserve">biz enhancement(50)
 </v>
      </c>
      <c r="CS184" s="14" t="str">
        <f t="shared" si="665"/>
        <v xml:space="preserve">metal processing(2), electronics(2), aesthetics(2), functions(2), safety(2),  </v>
      </c>
      <c r="CT184" s="14" t="str">
        <f t="shared" si="666"/>
        <v xml:space="preserve"> </v>
      </c>
      <c r="CU184" s="27" t="str">
        <f t="shared" si="651"/>
        <v xml:space="preserve"> </v>
      </c>
      <c r="CV184" s="14" t="str">
        <f t="shared" si="667"/>
        <v xml:space="preserve">wood processing(1)
aesthetics(1)
interaction(1)
 </v>
      </c>
      <c r="CW184" s="14" t="str">
        <f t="shared" si="668"/>
        <v xml:space="preserve">social project(1,50%),  </v>
      </c>
      <c r="CX184" s="14" t="str">
        <f t="shared" si="669"/>
        <v xml:space="preserve">social project(50)
 </v>
      </c>
      <c r="CY184" s="14" t="str">
        <f t="shared" si="670"/>
        <v xml:space="preserve">wood processing(2), plastic processing(2), electronics(2), aesthetics(2), functions(1), safety(1), interaction(2),  </v>
      </c>
      <c r="CZ184" s="14" t="str">
        <f t="shared" si="671"/>
        <v xml:space="preserve"> </v>
      </c>
      <c r="DA184" s="27" t="str">
        <f t="shared" si="651"/>
        <v xml:space="preserve"> </v>
      </c>
      <c r="DB184" s="14" t="str">
        <f t="shared" si="672"/>
        <v xml:space="preserve">aesthetics(1)
interaction(1)
 </v>
      </c>
      <c r="DC184" s="14" t="str">
        <f t="shared" si="673"/>
        <v xml:space="preserve">social project(1,50%),  </v>
      </c>
      <c r="DD184" s="14" t="str">
        <f t="shared" si="674"/>
        <v xml:space="preserve">social project(50)
 </v>
      </c>
      <c r="DE184" s="14" t="str">
        <f t="shared" si="675"/>
        <v xml:space="preserve">VR&amp;AR(2),  </v>
      </c>
      <c r="DF184" s="14" t="str">
        <f t="shared" si="676"/>
        <v xml:space="preserve"> </v>
      </c>
      <c r="DG184" s="27" t="str">
        <f t="shared" si="651"/>
        <v xml:space="preserve"> </v>
      </c>
      <c r="DH184" s="14" t="str">
        <f t="shared" si="677"/>
        <v xml:space="preserve">wood processing(1)
aesthetics(1)
safety(1)
 </v>
      </c>
      <c r="DI184" s="14" t="str">
        <f t="shared" si="678"/>
        <v xml:space="preserve">social project(1,100%),  </v>
      </c>
      <c r="DJ184" s="14" t="str">
        <f t="shared" si="679"/>
        <v xml:space="preserve">social project(100)
 </v>
      </c>
      <c r="DK184" s="14" t="str">
        <f t="shared" si="680"/>
        <v xml:space="preserve">wood processing(2), metal processing(2), plastic processing(2), electronics(2), fabric(1), aesthetics(1), functions(2), safety(2), interaction(2),  </v>
      </c>
      <c r="DL184" s="14" t="str">
        <f t="shared" si="681"/>
        <v xml:space="preserve"> </v>
      </c>
      <c r="DM184" s="27" t="str">
        <f t="shared" si="651"/>
        <v xml:space="preserve"> </v>
      </c>
      <c r="DN184" s="14" t="str">
        <f t="shared" si="682"/>
        <v xml:space="preserve">wood processing(1)
plastic processing(1)
electronics(1)
aesthetics(2)
functions(1)
safety(1)
biz project(1)
 </v>
      </c>
      <c r="DO184" s="14" t="str">
        <f t="shared" si="683"/>
        <v xml:space="preserve"> </v>
      </c>
      <c r="DP184" s="14" t="str">
        <f t="shared" si="684"/>
        <v xml:space="preserve"> </v>
      </c>
      <c r="DQ184" s="14" t="str">
        <f t="shared" si="685"/>
        <v xml:space="preserve">wood processing(2), plastic processing(2), electronics(2), aesthetics(2),  </v>
      </c>
      <c r="DR184" s="14" t="str">
        <f t="shared" si="686"/>
        <v xml:space="preserve"> </v>
      </c>
      <c r="DS184" s="27" t="str">
        <f t="shared" si="651"/>
        <v xml:space="preserve"> </v>
      </c>
      <c r="DT184" s="14" t="str">
        <f t="shared" si="687"/>
        <v xml:space="preserve"> </v>
      </c>
      <c r="DU184" s="14" t="str">
        <f t="shared" si="688"/>
        <v xml:space="preserve"> </v>
      </c>
      <c r="DV184" s="14" t="str">
        <f t="shared" si="689"/>
        <v xml:space="preserve"> </v>
      </c>
      <c r="DW184" s="14" t="str">
        <f t="shared" si="690"/>
        <v xml:space="preserve"> </v>
      </c>
      <c r="DX184" s="14" t="str">
        <f t="shared" si="691"/>
        <v xml:space="preserve"> </v>
      </c>
      <c r="DY184" s="27" t="str">
        <f t="shared" si="651"/>
        <v xml:space="preserve"> </v>
      </c>
      <c r="DZ184" s="14" t="str">
        <f t="shared" si="692"/>
        <v xml:space="preserve"> </v>
      </c>
      <c r="EA184" s="14" t="str">
        <f t="shared" si="693"/>
        <v xml:space="preserve"> </v>
      </c>
      <c r="EB184" s="14" t="str">
        <f t="shared" si="694"/>
        <v xml:space="preserve"> </v>
      </c>
      <c r="EC184" s="14" t="str">
        <f t="shared" si="695"/>
        <v xml:space="preserve"> </v>
      </c>
      <c r="ED184" s="14" t="str">
        <f t="shared" si="696"/>
        <v xml:space="preserve"> </v>
      </c>
      <c r="EE184" s="27" t="str">
        <f t="shared" si="651"/>
        <v xml:space="preserve"> </v>
      </c>
      <c r="EF184" s="14" t="str">
        <f t="shared" si="697"/>
        <v xml:space="preserve"> </v>
      </c>
      <c r="EG184" s="14" t="str">
        <f t="shared" si="698"/>
        <v xml:space="preserve"> </v>
      </c>
      <c r="EH184" s="14" t="str">
        <f t="shared" si="699"/>
        <v xml:space="preserve"> </v>
      </c>
      <c r="EI184" s="14" t="str">
        <f t="shared" si="700"/>
        <v xml:space="preserve"> </v>
      </c>
      <c r="EJ184" s="14" t="str">
        <f t="shared" si="701"/>
        <v xml:space="preserve"> </v>
      </c>
      <c r="EK184" s="27" t="str">
        <f t="shared" si="651"/>
        <v xml:space="preserve"> </v>
      </c>
      <c r="EL184" s="14" t="str">
        <f t="shared" si="702"/>
        <v xml:space="preserve"> </v>
      </c>
      <c r="EM184" s="14" t="str">
        <f t="shared" si="703"/>
        <v xml:space="preserve"> </v>
      </c>
      <c r="EN184" s="14" t="str">
        <f t="shared" si="704"/>
        <v xml:space="preserve"> </v>
      </c>
      <c r="EO184" s="14" t="str">
        <f t="shared" si="705"/>
        <v xml:space="preserve"> </v>
      </c>
      <c r="EP184" s="14" t="str">
        <f t="shared" si="706"/>
        <v xml:space="preserve"> </v>
      </c>
      <c r="EQ184" s="27" t="str">
        <f t="shared" si="707"/>
        <v xml:space="preserve"> </v>
      </c>
      <c r="ER184" s="14" t="str">
        <f t="shared" si="708"/>
        <v xml:space="preserve"> </v>
      </c>
      <c r="ES184" s="14" t="str">
        <f t="shared" si="709"/>
        <v xml:space="preserve"> </v>
      </c>
      <c r="ET184" s="14" t="str">
        <f t="shared" si="710"/>
        <v xml:space="preserve"> </v>
      </c>
      <c r="EU184" s="14" t="str">
        <f t="shared" si="711"/>
        <v xml:space="preserve"> </v>
      </c>
      <c r="EV184" s="14" t="str">
        <f t="shared" si="712"/>
        <v xml:space="preserve"> </v>
      </c>
      <c r="EW184" s="27" t="str">
        <f t="shared" si="707"/>
        <v xml:space="preserve"> </v>
      </c>
      <c r="EX184" s="14" t="str">
        <f t="shared" si="713"/>
        <v xml:space="preserve"> </v>
      </c>
      <c r="EY184" s="14" t="str">
        <f t="shared" si="714"/>
        <v xml:space="preserve"> </v>
      </c>
      <c r="EZ184" s="14" t="str">
        <f t="shared" si="715"/>
        <v xml:space="preserve"> </v>
      </c>
      <c r="FA184" s="14" t="str">
        <f t="shared" si="716"/>
        <v xml:space="preserve"> </v>
      </c>
      <c r="FB184" s="14" t="str">
        <f t="shared" si="717"/>
        <v xml:space="preserve"> </v>
      </c>
      <c r="FC184" s="27" t="str">
        <f t="shared" si="707"/>
        <v xml:space="preserve"> </v>
      </c>
      <c r="FD184" s="14" t="str">
        <f t="shared" si="718"/>
        <v xml:space="preserve"> </v>
      </c>
      <c r="FE184" s="14" t="str">
        <f t="shared" si="719"/>
        <v xml:space="preserve"> </v>
      </c>
      <c r="FF184" s="14" t="str">
        <f t="shared" si="720"/>
        <v xml:space="preserve"> </v>
      </c>
      <c r="FG184" s="14" t="str">
        <f t="shared" si="721"/>
        <v xml:space="preserve"> </v>
      </c>
      <c r="FH184" s="14" t="str">
        <f t="shared" si="722"/>
        <v xml:space="preserve"> </v>
      </c>
      <c r="FI184" s="27" t="str">
        <f t="shared" si="707"/>
        <v xml:space="preserve"> </v>
      </c>
      <c r="FJ184" s="14" t="str">
        <f t="shared" si="723"/>
        <v xml:space="preserve"> </v>
      </c>
      <c r="FK184" s="14" t="str">
        <f t="shared" si="724"/>
        <v xml:space="preserve"> </v>
      </c>
      <c r="FL184" s="14" t="str">
        <f t="shared" si="725"/>
        <v xml:space="preserve"> </v>
      </c>
      <c r="FM184" s="14" t="str">
        <f t="shared" si="726"/>
        <v xml:space="preserve"> </v>
      </c>
      <c r="FN184" s="14" t="str">
        <f t="shared" si="727"/>
        <v xml:space="preserve"> </v>
      </c>
      <c r="FO184" s="27" t="str">
        <f t="shared" si="707"/>
        <v xml:space="preserve"> </v>
      </c>
      <c r="FP184" s="14" t="str">
        <f t="shared" si="728"/>
        <v xml:space="preserve"> </v>
      </c>
      <c r="FQ184" s="14" t="str">
        <f t="shared" si="729"/>
        <v xml:space="preserve"> </v>
      </c>
      <c r="FR184" s="14" t="str">
        <f t="shared" si="730"/>
        <v xml:space="preserve"> </v>
      </c>
      <c r="FS184" s="14" t="str">
        <f t="shared" si="731"/>
        <v xml:space="preserve"> </v>
      </c>
      <c r="FT184" s="14" t="str">
        <f t="shared" si="732"/>
        <v xml:space="preserve"> </v>
      </c>
      <c r="FU184" s="27" t="str">
        <f t="shared" si="707"/>
        <v xml:space="preserve"> </v>
      </c>
      <c r="FV184" s="14" t="str">
        <f t="shared" si="733"/>
        <v xml:space="preserve"> </v>
      </c>
      <c r="FW184" s="14" t="str">
        <f t="shared" si="734"/>
        <v xml:space="preserve"> </v>
      </c>
      <c r="FX184" s="14" t="str">
        <f t="shared" si="735"/>
        <v xml:space="preserve"> </v>
      </c>
      <c r="FY184" s="14" t="str">
        <f t="shared" si="736"/>
        <v xml:space="preserve"> </v>
      </c>
      <c r="FZ184" s="14" t="str">
        <f t="shared" si="737"/>
        <v xml:space="preserve"> </v>
      </c>
      <c r="GA184" s="27" t="str">
        <f t="shared" si="707"/>
        <v xml:space="preserve"> </v>
      </c>
      <c r="GB184" s="14" t="str">
        <f t="shared" si="738"/>
        <v xml:space="preserve"> </v>
      </c>
      <c r="GC184" s="14" t="str">
        <f t="shared" si="739"/>
        <v xml:space="preserve"> </v>
      </c>
      <c r="GD184" s="14" t="str">
        <f t="shared" si="740"/>
        <v xml:space="preserve"> </v>
      </c>
      <c r="GE184" s="14" t="str">
        <f t="shared" si="741"/>
        <v xml:space="preserve"> </v>
      </c>
      <c r="GF184" s="14" t="str">
        <f t="shared" si="742"/>
        <v xml:space="preserve"> </v>
      </c>
      <c r="GG184" s="27" t="str">
        <f t="shared" si="707"/>
        <v xml:space="preserve"> </v>
      </c>
      <c r="GH184" s="14" t="str">
        <f t="shared" si="743"/>
        <v xml:space="preserve"> </v>
      </c>
      <c r="GI184" s="14" t="str">
        <f t="shared" si="744"/>
        <v xml:space="preserve"> </v>
      </c>
      <c r="GJ184" s="14" t="str">
        <f t="shared" si="745"/>
        <v xml:space="preserve"> </v>
      </c>
      <c r="GK184" s="14" t="str">
        <f t="shared" si="746"/>
        <v xml:space="preserve"> </v>
      </c>
      <c r="GL184" s="14" t="str">
        <f t="shared" si="747"/>
        <v xml:space="preserve"> </v>
      </c>
      <c r="GM184" s="27" t="str">
        <f t="shared" si="707"/>
        <v xml:space="preserve"> </v>
      </c>
      <c r="GN184" s="14" t="str">
        <f t="shared" si="748"/>
        <v xml:space="preserve"> </v>
      </c>
      <c r="GO184" s="14" t="str">
        <f t="shared" si="749"/>
        <v xml:space="preserve"> </v>
      </c>
      <c r="GP184" s="14" t="str">
        <f t="shared" si="750"/>
        <v xml:space="preserve"> </v>
      </c>
      <c r="GQ184" s="14" t="str">
        <f t="shared" si="751"/>
        <v xml:space="preserve"> </v>
      </c>
      <c r="GR184" s="14" t="str">
        <f t="shared" si="752"/>
        <v xml:space="preserve"> </v>
      </c>
      <c r="GS184" s="27" t="str">
        <f t="shared" si="707"/>
        <v xml:space="preserve"> </v>
      </c>
      <c r="GT184" s="14" t="str">
        <f t="shared" si="753"/>
        <v xml:space="preserve"> </v>
      </c>
      <c r="GU184" s="14" t="str">
        <f t="shared" si="754"/>
        <v xml:space="preserve"> </v>
      </c>
      <c r="GV184" s="14" t="str">
        <f t="shared" si="755"/>
        <v xml:space="preserve"> </v>
      </c>
      <c r="GW184" s="14" t="str">
        <f t="shared" si="756"/>
        <v xml:space="preserve"> </v>
      </c>
      <c r="GX184" s="14" t="str">
        <f t="shared" si="757"/>
        <v xml:space="preserve"> </v>
      </c>
      <c r="GY184" s="27" t="str">
        <f t="shared" si="707"/>
        <v xml:space="preserve"> </v>
      </c>
      <c r="GZ184" s="14" t="str">
        <f t="shared" si="758"/>
        <v xml:space="preserve"> </v>
      </c>
      <c r="HA184" s="14" t="str">
        <f t="shared" si="759"/>
        <v xml:space="preserve"> </v>
      </c>
      <c r="HB184" s="14" t="str">
        <f t="shared" si="760"/>
        <v xml:space="preserve"> </v>
      </c>
      <c r="HC184" s="14" t="str">
        <f t="shared" si="761"/>
        <v xml:space="preserve"> </v>
      </c>
      <c r="HD184" s="14" t="str">
        <f t="shared" si="762"/>
        <v xml:space="preserve"> </v>
      </c>
      <c r="HE184" s="27" t="str">
        <f t="shared" si="763"/>
        <v xml:space="preserve"> </v>
      </c>
      <c r="HF184" s="14" t="str">
        <f t="shared" si="764"/>
        <v xml:space="preserve"> </v>
      </c>
      <c r="HG184" s="14" t="str">
        <f t="shared" si="765"/>
        <v xml:space="preserve"> </v>
      </c>
      <c r="HH184" s="14" t="str">
        <f t="shared" si="766"/>
        <v xml:space="preserve"> </v>
      </c>
      <c r="HI184" s="14" t="str">
        <f t="shared" si="767"/>
        <v xml:space="preserve"> </v>
      </c>
      <c r="HJ184" s="14" t="str">
        <f t="shared" si="768"/>
        <v xml:space="preserve"> </v>
      </c>
      <c r="HK184" s="27" t="str">
        <f t="shared" si="763"/>
        <v xml:space="preserve"> </v>
      </c>
      <c r="HL184" s="14" t="str">
        <f t="shared" si="769"/>
        <v xml:space="preserve"> </v>
      </c>
      <c r="HM184" s="14" t="str">
        <f t="shared" si="770"/>
        <v xml:space="preserve"> </v>
      </c>
      <c r="HN184" s="14" t="str">
        <f t="shared" si="771"/>
        <v xml:space="preserve"> </v>
      </c>
      <c r="HO184" s="14" t="str">
        <f t="shared" si="772"/>
        <v xml:space="preserve"> </v>
      </c>
      <c r="HP184" s="14" t="str">
        <f t="shared" si="773"/>
        <v xml:space="preserve"> </v>
      </c>
      <c r="HQ184" s="27" t="str">
        <f t="shared" si="763"/>
        <v xml:space="preserve"> </v>
      </c>
    </row>
    <row r="185" spans="1:225" ht="15.75" customHeight="1">
      <c r="A185" s="7">
        <f t="shared" ref="A185:C185" si="793">A77</f>
        <v>0</v>
      </c>
      <c r="B185" s="7">
        <f t="shared" si="793"/>
        <v>0</v>
      </c>
      <c r="C185" s="7" t="str">
        <f t="shared" si="793"/>
        <v>AI</v>
      </c>
      <c r="D185" s="14" t="str">
        <f t="shared" si="775"/>
        <v xml:space="preserve"> </v>
      </c>
      <c r="E185" s="14" t="str">
        <f t="shared" si="776"/>
        <v xml:space="preserve"> </v>
      </c>
      <c r="F185" s="14" t="str">
        <f t="shared" si="777"/>
        <v xml:space="preserve"> </v>
      </c>
      <c r="G185" s="14" t="str">
        <f t="shared" si="778"/>
        <v xml:space="preserve"> </v>
      </c>
      <c r="H185" s="14" t="str">
        <f t="shared" si="779"/>
        <v xml:space="preserve"> </v>
      </c>
      <c r="I185" s="27" t="str">
        <f t="shared" ref="I185" si="794">IF(I77="",I186,$C185&amp;"("&amp;I77&amp;"),"&amp;I186)</f>
        <v xml:space="preserve"> </v>
      </c>
      <c r="J185" s="14" t="str">
        <f t="shared" si="590"/>
        <v xml:space="preserve"> </v>
      </c>
      <c r="K185" s="14" t="str">
        <f t="shared" si="591"/>
        <v xml:space="preserve"> </v>
      </c>
      <c r="L185" s="14" t="str">
        <f t="shared" si="592"/>
        <v xml:space="preserve"> </v>
      </c>
      <c r="M185" s="14" t="str">
        <f t="shared" si="593"/>
        <v xml:space="preserve"> </v>
      </c>
      <c r="N185" s="14" t="str">
        <f t="shared" si="594"/>
        <v xml:space="preserve"> </v>
      </c>
      <c r="O185" s="27" t="str">
        <f t="shared" si="595"/>
        <v xml:space="preserve"> </v>
      </c>
      <c r="P185" s="14" t="str">
        <f t="shared" si="596"/>
        <v xml:space="preserve"> </v>
      </c>
      <c r="Q185" s="14" t="str">
        <f t="shared" si="597"/>
        <v xml:space="preserve"> </v>
      </c>
      <c r="R185" s="14" t="str">
        <f t="shared" si="598"/>
        <v xml:space="preserve"> </v>
      </c>
      <c r="S185" s="14" t="str">
        <f t="shared" si="599"/>
        <v xml:space="preserve"> </v>
      </c>
      <c r="T185" s="14" t="str">
        <f t="shared" si="600"/>
        <v xml:space="preserve">aesthetics(-1,6.25%),  </v>
      </c>
      <c r="U185" s="27" t="str">
        <f t="shared" si="595"/>
        <v xml:space="preserve">aesthetics(6.25), </v>
      </c>
      <c r="V185" s="14" t="str">
        <f t="shared" si="601"/>
        <v xml:space="preserve"> </v>
      </c>
      <c r="W185" s="14" t="str">
        <f t="shared" si="602"/>
        <v xml:space="preserve"> </v>
      </c>
      <c r="X185" s="14" t="str">
        <f t="shared" si="603"/>
        <v xml:space="preserve"> </v>
      </c>
      <c r="Y185" s="14" t="str">
        <f t="shared" si="604"/>
        <v xml:space="preserve"> </v>
      </c>
      <c r="Z185" s="14" t="str">
        <f t="shared" si="605"/>
        <v xml:space="preserve"> </v>
      </c>
      <c r="AA185" s="27" t="str">
        <f t="shared" si="595"/>
        <v xml:space="preserve"> </v>
      </c>
      <c r="AB185" s="14" t="str">
        <f t="shared" si="606"/>
        <v xml:space="preserve"> </v>
      </c>
      <c r="AC185" s="14" t="str">
        <f t="shared" si="607"/>
        <v xml:space="preserve"> </v>
      </c>
      <c r="AD185" s="14" t="str">
        <f t="shared" si="608"/>
        <v xml:space="preserve"> </v>
      </c>
      <c r="AE185" s="14" t="str">
        <f t="shared" si="609"/>
        <v xml:space="preserve"> </v>
      </c>
      <c r="AF185" s="14" t="str">
        <f t="shared" si="610"/>
        <v xml:space="preserve"> </v>
      </c>
      <c r="AG185" s="27" t="str">
        <f t="shared" si="595"/>
        <v xml:space="preserve"> </v>
      </c>
      <c r="AH185" s="14" t="str">
        <f t="shared" si="611"/>
        <v xml:space="preserve"> </v>
      </c>
      <c r="AI185" s="14" t="str">
        <f t="shared" si="612"/>
        <v xml:space="preserve"> </v>
      </c>
      <c r="AJ185" s="14" t="str">
        <f t="shared" si="613"/>
        <v xml:space="preserve"> </v>
      </c>
      <c r="AK185" s="14" t="str">
        <f t="shared" si="614"/>
        <v xml:space="preserve"> </v>
      </c>
      <c r="AL185" s="14" t="str">
        <f t="shared" si="615"/>
        <v xml:space="preserve"> </v>
      </c>
      <c r="AM185" s="27" t="str">
        <f t="shared" si="595"/>
        <v xml:space="preserve"> </v>
      </c>
      <c r="AN185" s="14" t="str">
        <f t="shared" si="616"/>
        <v xml:space="preserve"> </v>
      </c>
      <c r="AO185" s="14" t="str">
        <f t="shared" si="617"/>
        <v xml:space="preserve"> </v>
      </c>
      <c r="AP185" s="14" t="str">
        <f t="shared" si="618"/>
        <v xml:space="preserve"> </v>
      </c>
      <c r="AQ185" s="14" t="str">
        <f t="shared" si="619"/>
        <v xml:space="preserve"> </v>
      </c>
      <c r="AR185" s="14" t="str">
        <f t="shared" si="620"/>
        <v xml:space="preserve"> </v>
      </c>
      <c r="AS185" s="27" t="str">
        <f t="shared" si="595"/>
        <v xml:space="preserve"> </v>
      </c>
      <c r="AT185" s="14" t="str">
        <f t="shared" si="621"/>
        <v xml:space="preserve"> </v>
      </c>
      <c r="AU185" s="14" t="str">
        <f t="shared" si="622"/>
        <v xml:space="preserve"> </v>
      </c>
      <c r="AV185" s="14" t="str">
        <f t="shared" si="623"/>
        <v xml:space="preserve"> </v>
      </c>
      <c r="AW185" s="14" t="str">
        <f t="shared" si="624"/>
        <v xml:space="preserve"> </v>
      </c>
      <c r="AX185" s="14" t="str">
        <f t="shared" si="625"/>
        <v xml:space="preserve"> </v>
      </c>
      <c r="AY185" s="27" t="str">
        <f t="shared" si="595"/>
        <v xml:space="preserve"> </v>
      </c>
      <c r="AZ185" s="14" t="str">
        <f t="shared" si="626"/>
        <v xml:space="preserve"> </v>
      </c>
      <c r="BA185" s="14" t="str">
        <f t="shared" si="627"/>
        <v xml:space="preserve"> </v>
      </c>
      <c r="BB185" s="14" t="str">
        <f t="shared" si="628"/>
        <v xml:space="preserve"> </v>
      </c>
      <c r="BC185" s="14" t="str">
        <f t="shared" si="629"/>
        <v xml:space="preserve"> </v>
      </c>
      <c r="BD185" s="14" t="str">
        <f t="shared" si="630"/>
        <v xml:space="preserve"> </v>
      </c>
      <c r="BE185" s="27" t="str">
        <f t="shared" si="595"/>
        <v xml:space="preserve"> </v>
      </c>
      <c r="BF185" s="14" t="str">
        <f t="shared" si="631"/>
        <v xml:space="preserve"> </v>
      </c>
      <c r="BG185" s="14" t="str">
        <f t="shared" si="632"/>
        <v xml:space="preserve"> </v>
      </c>
      <c r="BH185" s="14" t="str">
        <f t="shared" si="633"/>
        <v xml:space="preserve"> </v>
      </c>
      <c r="BI185" s="14" t="str">
        <f t="shared" si="634"/>
        <v xml:space="preserve"> </v>
      </c>
      <c r="BJ185" s="14" t="str">
        <f t="shared" si="635"/>
        <v xml:space="preserve"> </v>
      </c>
      <c r="BK185" s="27" t="str">
        <f t="shared" si="595"/>
        <v xml:space="preserve"> </v>
      </c>
      <c r="BL185" s="14" t="str">
        <f t="shared" si="636"/>
        <v xml:space="preserve">aesthetics(1)
 </v>
      </c>
      <c r="BM185" s="14" t="str">
        <f t="shared" si="637"/>
        <v xml:space="preserve">biz enhancement(1,%),  </v>
      </c>
      <c r="BN185" s="14" t="str">
        <f t="shared" si="638"/>
        <v xml:space="preserve"> </v>
      </c>
      <c r="BO185" s="14" t="str">
        <f t="shared" si="639"/>
        <v xml:space="preserve">aesthetics(2), functions(1), safety(1),  </v>
      </c>
      <c r="BP185" s="14" t="str">
        <f t="shared" si="640"/>
        <v xml:space="preserve"> </v>
      </c>
      <c r="BQ185" s="27" t="str">
        <f t="shared" si="595"/>
        <v xml:space="preserve"> </v>
      </c>
      <c r="BR185" s="14" t="str">
        <f t="shared" si="641"/>
        <v xml:space="preserve">aesthetics(1)
 </v>
      </c>
      <c r="BS185" s="14" t="str">
        <f t="shared" si="642"/>
        <v xml:space="preserve">biz project(1,%),  </v>
      </c>
      <c r="BT185" s="14" t="str">
        <f t="shared" si="643"/>
        <v xml:space="preserve"> </v>
      </c>
      <c r="BU185" s="14" t="str">
        <f t="shared" si="644"/>
        <v xml:space="preserve">wood processing(1), aesthetics(2),  </v>
      </c>
      <c r="BV185" s="14" t="str">
        <f t="shared" si="645"/>
        <v xml:space="preserve"> </v>
      </c>
      <c r="BW185" s="27" t="str">
        <f t="shared" si="595"/>
        <v xml:space="preserve"> </v>
      </c>
      <c r="BX185" s="14" t="str">
        <f t="shared" si="646"/>
        <v xml:space="preserve">aesthetics(1)
interaction(1)
 </v>
      </c>
      <c r="BY185" s="14" t="str">
        <f t="shared" si="647"/>
        <v xml:space="preserve">biz project(1,%),  </v>
      </c>
      <c r="BZ185" s="14" t="str">
        <f t="shared" si="648"/>
        <v xml:space="preserve"> </v>
      </c>
      <c r="CA185" s="14" t="str">
        <f t="shared" si="649"/>
        <v xml:space="preserve">aesthetics(2), functions(1), interaction(2),  </v>
      </c>
      <c r="CB185" s="14" t="str">
        <f t="shared" si="650"/>
        <v xml:space="preserve"> </v>
      </c>
      <c r="CC185" s="27" t="str">
        <f t="shared" si="651"/>
        <v xml:space="preserve"> </v>
      </c>
      <c r="CD185" s="14" t="str">
        <f t="shared" si="652"/>
        <v xml:space="preserve">aesthetics(1)
 </v>
      </c>
      <c r="CE185" s="14" t="str">
        <f t="shared" si="653"/>
        <v xml:space="preserve">biz project(1,%),  </v>
      </c>
      <c r="CF185" s="14" t="str">
        <f t="shared" si="654"/>
        <v xml:space="preserve"> </v>
      </c>
      <c r="CG185" s="14" t="str">
        <f t="shared" si="655"/>
        <v xml:space="preserve">aesthetics(2), functions(1), interaction(2),  </v>
      </c>
      <c r="CH185" s="14" t="str">
        <f t="shared" si="656"/>
        <v xml:space="preserve"> </v>
      </c>
      <c r="CI185" s="27" t="str">
        <f t="shared" si="651"/>
        <v xml:space="preserve"> </v>
      </c>
      <c r="CJ185" s="14" t="str">
        <f t="shared" si="657"/>
        <v xml:space="preserve">aesthetics(1)
 </v>
      </c>
      <c r="CK185" s="14" t="str">
        <f t="shared" si="658"/>
        <v xml:space="preserve">biz project(1,%),  </v>
      </c>
      <c r="CL185" s="14" t="str">
        <f t="shared" si="659"/>
        <v xml:space="preserve"> </v>
      </c>
      <c r="CM185" s="14" t="str">
        <f t="shared" si="660"/>
        <v xml:space="preserve">aesthetics(2), functions(1), interaction(2),  </v>
      </c>
      <c r="CN185" s="14" t="str">
        <f t="shared" si="661"/>
        <v xml:space="preserve"> </v>
      </c>
      <c r="CO185" s="27" t="str">
        <f t="shared" si="651"/>
        <v xml:space="preserve"> </v>
      </c>
      <c r="CP185" s="14" t="str">
        <f t="shared" si="662"/>
        <v xml:space="preserve">metal processing(1)
functions(1)
 </v>
      </c>
      <c r="CQ185" s="14" t="str">
        <f t="shared" si="663"/>
        <v xml:space="preserve">biz enhancement(1,50%),  </v>
      </c>
      <c r="CR185" s="14" t="str">
        <f t="shared" si="664"/>
        <v xml:space="preserve">biz enhancement(50)
 </v>
      </c>
      <c r="CS185" s="14" t="str">
        <f t="shared" si="665"/>
        <v xml:space="preserve">metal processing(2), electronics(2), aesthetics(2), functions(2), safety(2),  </v>
      </c>
      <c r="CT185" s="14" t="str">
        <f t="shared" si="666"/>
        <v xml:space="preserve"> </v>
      </c>
      <c r="CU185" s="27" t="str">
        <f t="shared" si="651"/>
        <v xml:space="preserve"> </v>
      </c>
      <c r="CV185" s="14" t="str">
        <f t="shared" si="667"/>
        <v xml:space="preserve">wood processing(1)
aesthetics(1)
interaction(1)
 </v>
      </c>
      <c r="CW185" s="14" t="str">
        <f t="shared" si="668"/>
        <v xml:space="preserve">social project(1,50%),  </v>
      </c>
      <c r="CX185" s="14" t="str">
        <f t="shared" si="669"/>
        <v xml:space="preserve">social project(50)
 </v>
      </c>
      <c r="CY185" s="14" t="str">
        <f t="shared" si="670"/>
        <v xml:space="preserve">wood processing(2), plastic processing(2), electronics(2), aesthetics(2), functions(1), safety(1), interaction(2),  </v>
      </c>
      <c r="CZ185" s="14" t="str">
        <f t="shared" si="671"/>
        <v xml:space="preserve"> </v>
      </c>
      <c r="DA185" s="27" t="str">
        <f t="shared" si="651"/>
        <v xml:space="preserve"> </v>
      </c>
      <c r="DB185" s="14" t="str">
        <f t="shared" si="672"/>
        <v xml:space="preserve">aesthetics(1)
interaction(1)
 </v>
      </c>
      <c r="DC185" s="14" t="str">
        <f t="shared" si="673"/>
        <v xml:space="preserve">social project(1,50%),  </v>
      </c>
      <c r="DD185" s="14" t="str">
        <f t="shared" si="674"/>
        <v xml:space="preserve">social project(50)
 </v>
      </c>
      <c r="DE185" s="14" t="str">
        <f t="shared" si="675"/>
        <v xml:space="preserve">VR&amp;AR(2),  </v>
      </c>
      <c r="DF185" s="14" t="str">
        <f t="shared" si="676"/>
        <v xml:space="preserve"> </v>
      </c>
      <c r="DG185" s="27" t="str">
        <f t="shared" si="651"/>
        <v xml:space="preserve"> </v>
      </c>
      <c r="DH185" s="14" t="str">
        <f t="shared" si="677"/>
        <v xml:space="preserve">wood processing(1)
aesthetics(1)
safety(1)
 </v>
      </c>
      <c r="DI185" s="14" t="str">
        <f t="shared" si="678"/>
        <v xml:space="preserve">social project(1,100%),  </v>
      </c>
      <c r="DJ185" s="14" t="str">
        <f t="shared" si="679"/>
        <v xml:space="preserve">social project(100)
 </v>
      </c>
      <c r="DK185" s="14" t="str">
        <f t="shared" si="680"/>
        <v xml:space="preserve">wood processing(2), metal processing(2), plastic processing(2), electronics(2), fabric(1), aesthetics(1), functions(2), safety(2), interaction(2),  </v>
      </c>
      <c r="DL185" s="14" t="str">
        <f t="shared" si="681"/>
        <v xml:space="preserve"> </v>
      </c>
      <c r="DM185" s="27" t="str">
        <f t="shared" si="651"/>
        <v xml:space="preserve"> </v>
      </c>
      <c r="DN185" s="14" t="str">
        <f t="shared" si="682"/>
        <v xml:space="preserve">wood processing(1)
plastic processing(1)
electronics(1)
aesthetics(2)
functions(1)
safety(1)
biz project(1)
 </v>
      </c>
      <c r="DO185" s="14" t="str">
        <f t="shared" si="683"/>
        <v xml:space="preserve"> </v>
      </c>
      <c r="DP185" s="14" t="str">
        <f t="shared" si="684"/>
        <v xml:space="preserve"> </v>
      </c>
      <c r="DQ185" s="14" t="str">
        <f t="shared" si="685"/>
        <v xml:space="preserve">wood processing(2), plastic processing(2), electronics(2), aesthetics(2),  </v>
      </c>
      <c r="DR185" s="14" t="str">
        <f t="shared" si="686"/>
        <v xml:space="preserve"> </v>
      </c>
      <c r="DS185" s="27" t="str">
        <f t="shared" si="651"/>
        <v xml:space="preserve"> </v>
      </c>
      <c r="DT185" s="14" t="str">
        <f t="shared" si="687"/>
        <v xml:space="preserve"> </v>
      </c>
      <c r="DU185" s="14" t="str">
        <f t="shared" si="688"/>
        <v xml:space="preserve"> </v>
      </c>
      <c r="DV185" s="14" t="str">
        <f t="shared" si="689"/>
        <v xml:space="preserve"> </v>
      </c>
      <c r="DW185" s="14" t="str">
        <f t="shared" si="690"/>
        <v xml:space="preserve"> </v>
      </c>
      <c r="DX185" s="14" t="str">
        <f t="shared" si="691"/>
        <v xml:space="preserve"> </v>
      </c>
      <c r="DY185" s="27" t="str">
        <f t="shared" si="651"/>
        <v xml:space="preserve"> </v>
      </c>
      <c r="DZ185" s="14" t="str">
        <f t="shared" si="692"/>
        <v xml:space="preserve"> </v>
      </c>
      <c r="EA185" s="14" t="str">
        <f t="shared" si="693"/>
        <v xml:space="preserve"> </v>
      </c>
      <c r="EB185" s="14" t="str">
        <f t="shared" si="694"/>
        <v xml:space="preserve"> </v>
      </c>
      <c r="EC185" s="14" t="str">
        <f t="shared" si="695"/>
        <v xml:space="preserve"> </v>
      </c>
      <c r="ED185" s="14" t="str">
        <f t="shared" si="696"/>
        <v xml:space="preserve"> </v>
      </c>
      <c r="EE185" s="27" t="str">
        <f t="shared" si="651"/>
        <v xml:space="preserve"> </v>
      </c>
      <c r="EF185" s="14" t="str">
        <f t="shared" si="697"/>
        <v xml:space="preserve"> </v>
      </c>
      <c r="EG185" s="14" t="str">
        <f t="shared" si="698"/>
        <v xml:space="preserve"> </v>
      </c>
      <c r="EH185" s="14" t="str">
        <f t="shared" si="699"/>
        <v xml:space="preserve"> </v>
      </c>
      <c r="EI185" s="14" t="str">
        <f t="shared" si="700"/>
        <v xml:space="preserve"> </v>
      </c>
      <c r="EJ185" s="14" t="str">
        <f t="shared" si="701"/>
        <v xml:space="preserve"> </v>
      </c>
      <c r="EK185" s="27" t="str">
        <f t="shared" si="651"/>
        <v xml:space="preserve"> </v>
      </c>
      <c r="EL185" s="14" t="str">
        <f t="shared" si="702"/>
        <v xml:space="preserve"> </v>
      </c>
      <c r="EM185" s="14" t="str">
        <f t="shared" si="703"/>
        <v xml:space="preserve"> </v>
      </c>
      <c r="EN185" s="14" t="str">
        <f t="shared" si="704"/>
        <v xml:space="preserve"> </v>
      </c>
      <c r="EO185" s="14" t="str">
        <f t="shared" si="705"/>
        <v xml:space="preserve"> </v>
      </c>
      <c r="EP185" s="14" t="str">
        <f t="shared" si="706"/>
        <v xml:space="preserve"> </v>
      </c>
      <c r="EQ185" s="27" t="str">
        <f t="shared" si="707"/>
        <v xml:space="preserve"> </v>
      </c>
      <c r="ER185" s="14" t="str">
        <f t="shared" si="708"/>
        <v xml:space="preserve"> </v>
      </c>
      <c r="ES185" s="14" t="str">
        <f t="shared" si="709"/>
        <v xml:space="preserve"> </v>
      </c>
      <c r="ET185" s="14" t="str">
        <f t="shared" si="710"/>
        <v xml:space="preserve"> </v>
      </c>
      <c r="EU185" s="14" t="str">
        <f t="shared" si="711"/>
        <v xml:space="preserve"> </v>
      </c>
      <c r="EV185" s="14" t="str">
        <f t="shared" si="712"/>
        <v xml:space="preserve"> </v>
      </c>
      <c r="EW185" s="27" t="str">
        <f t="shared" si="707"/>
        <v xml:space="preserve"> </v>
      </c>
      <c r="EX185" s="14" t="str">
        <f t="shared" si="713"/>
        <v xml:space="preserve"> </v>
      </c>
      <c r="EY185" s="14" t="str">
        <f t="shared" si="714"/>
        <v xml:space="preserve"> </v>
      </c>
      <c r="EZ185" s="14" t="str">
        <f t="shared" si="715"/>
        <v xml:space="preserve"> </v>
      </c>
      <c r="FA185" s="14" t="str">
        <f t="shared" si="716"/>
        <v xml:space="preserve"> </v>
      </c>
      <c r="FB185" s="14" t="str">
        <f t="shared" si="717"/>
        <v xml:space="preserve"> </v>
      </c>
      <c r="FC185" s="27" t="str">
        <f t="shared" si="707"/>
        <v xml:space="preserve"> </v>
      </c>
      <c r="FD185" s="14" t="str">
        <f t="shared" si="718"/>
        <v xml:space="preserve"> </v>
      </c>
      <c r="FE185" s="14" t="str">
        <f t="shared" si="719"/>
        <v xml:space="preserve"> </v>
      </c>
      <c r="FF185" s="14" t="str">
        <f t="shared" si="720"/>
        <v xml:space="preserve"> </v>
      </c>
      <c r="FG185" s="14" t="str">
        <f t="shared" si="721"/>
        <v xml:space="preserve"> </v>
      </c>
      <c r="FH185" s="14" t="str">
        <f t="shared" si="722"/>
        <v xml:space="preserve"> </v>
      </c>
      <c r="FI185" s="27" t="str">
        <f t="shared" si="707"/>
        <v xml:space="preserve"> </v>
      </c>
      <c r="FJ185" s="14" t="str">
        <f t="shared" si="723"/>
        <v xml:space="preserve"> </v>
      </c>
      <c r="FK185" s="14" t="str">
        <f t="shared" si="724"/>
        <v xml:space="preserve"> </v>
      </c>
      <c r="FL185" s="14" t="str">
        <f t="shared" si="725"/>
        <v xml:space="preserve"> </v>
      </c>
      <c r="FM185" s="14" t="str">
        <f t="shared" si="726"/>
        <v xml:space="preserve"> </v>
      </c>
      <c r="FN185" s="14" t="str">
        <f t="shared" si="727"/>
        <v xml:space="preserve"> </v>
      </c>
      <c r="FO185" s="27" t="str">
        <f t="shared" si="707"/>
        <v xml:space="preserve"> </v>
      </c>
      <c r="FP185" s="14" t="str">
        <f t="shared" si="728"/>
        <v xml:space="preserve"> </v>
      </c>
      <c r="FQ185" s="14" t="str">
        <f t="shared" si="729"/>
        <v xml:space="preserve"> </v>
      </c>
      <c r="FR185" s="14" t="str">
        <f t="shared" si="730"/>
        <v xml:space="preserve"> </v>
      </c>
      <c r="FS185" s="14" t="str">
        <f t="shared" si="731"/>
        <v xml:space="preserve"> </v>
      </c>
      <c r="FT185" s="14" t="str">
        <f t="shared" si="732"/>
        <v xml:space="preserve"> </v>
      </c>
      <c r="FU185" s="27" t="str">
        <f t="shared" si="707"/>
        <v xml:space="preserve"> </v>
      </c>
      <c r="FV185" s="14" t="str">
        <f t="shared" si="733"/>
        <v xml:space="preserve"> </v>
      </c>
      <c r="FW185" s="14" t="str">
        <f t="shared" si="734"/>
        <v xml:space="preserve"> </v>
      </c>
      <c r="FX185" s="14" t="str">
        <f t="shared" si="735"/>
        <v xml:space="preserve"> </v>
      </c>
      <c r="FY185" s="14" t="str">
        <f t="shared" si="736"/>
        <v xml:space="preserve"> </v>
      </c>
      <c r="FZ185" s="14" t="str">
        <f t="shared" si="737"/>
        <v xml:space="preserve"> </v>
      </c>
      <c r="GA185" s="27" t="str">
        <f t="shared" si="707"/>
        <v xml:space="preserve"> </v>
      </c>
      <c r="GB185" s="14" t="str">
        <f t="shared" si="738"/>
        <v xml:space="preserve"> </v>
      </c>
      <c r="GC185" s="14" t="str">
        <f t="shared" si="739"/>
        <v xml:space="preserve"> </v>
      </c>
      <c r="GD185" s="14" t="str">
        <f t="shared" si="740"/>
        <v xml:space="preserve"> </v>
      </c>
      <c r="GE185" s="14" t="str">
        <f t="shared" si="741"/>
        <v xml:space="preserve"> </v>
      </c>
      <c r="GF185" s="14" t="str">
        <f t="shared" si="742"/>
        <v xml:space="preserve"> </v>
      </c>
      <c r="GG185" s="27" t="str">
        <f t="shared" si="707"/>
        <v xml:space="preserve"> </v>
      </c>
      <c r="GH185" s="14" t="str">
        <f t="shared" si="743"/>
        <v xml:space="preserve"> </v>
      </c>
      <c r="GI185" s="14" t="str">
        <f t="shared" si="744"/>
        <v xml:space="preserve"> </v>
      </c>
      <c r="GJ185" s="14" t="str">
        <f t="shared" si="745"/>
        <v xml:space="preserve"> </v>
      </c>
      <c r="GK185" s="14" t="str">
        <f t="shared" si="746"/>
        <v xml:space="preserve"> </v>
      </c>
      <c r="GL185" s="14" t="str">
        <f t="shared" si="747"/>
        <v xml:space="preserve"> </v>
      </c>
      <c r="GM185" s="27" t="str">
        <f t="shared" si="707"/>
        <v xml:space="preserve"> </v>
      </c>
      <c r="GN185" s="14" t="str">
        <f t="shared" si="748"/>
        <v xml:space="preserve"> </v>
      </c>
      <c r="GO185" s="14" t="str">
        <f t="shared" si="749"/>
        <v xml:space="preserve"> </v>
      </c>
      <c r="GP185" s="14" t="str">
        <f t="shared" si="750"/>
        <v xml:space="preserve"> </v>
      </c>
      <c r="GQ185" s="14" t="str">
        <f t="shared" si="751"/>
        <v xml:space="preserve"> </v>
      </c>
      <c r="GR185" s="14" t="str">
        <f t="shared" si="752"/>
        <v xml:space="preserve"> </v>
      </c>
      <c r="GS185" s="27" t="str">
        <f t="shared" si="707"/>
        <v xml:space="preserve"> </v>
      </c>
      <c r="GT185" s="14" t="str">
        <f t="shared" si="753"/>
        <v xml:space="preserve"> </v>
      </c>
      <c r="GU185" s="14" t="str">
        <f t="shared" si="754"/>
        <v xml:space="preserve"> </v>
      </c>
      <c r="GV185" s="14" t="str">
        <f t="shared" si="755"/>
        <v xml:space="preserve"> </v>
      </c>
      <c r="GW185" s="14" t="str">
        <f t="shared" si="756"/>
        <v xml:space="preserve"> </v>
      </c>
      <c r="GX185" s="14" t="str">
        <f t="shared" si="757"/>
        <v xml:space="preserve"> </v>
      </c>
      <c r="GY185" s="27" t="str">
        <f t="shared" si="707"/>
        <v xml:space="preserve"> </v>
      </c>
      <c r="GZ185" s="14" t="str">
        <f t="shared" si="758"/>
        <v xml:space="preserve"> </v>
      </c>
      <c r="HA185" s="14" t="str">
        <f t="shared" si="759"/>
        <v xml:space="preserve"> </v>
      </c>
      <c r="HB185" s="14" t="str">
        <f t="shared" si="760"/>
        <v xml:space="preserve"> </v>
      </c>
      <c r="HC185" s="14" t="str">
        <f t="shared" si="761"/>
        <v xml:space="preserve"> </v>
      </c>
      <c r="HD185" s="14" t="str">
        <f t="shared" si="762"/>
        <v xml:space="preserve"> </v>
      </c>
      <c r="HE185" s="27" t="str">
        <f t="shared" si="763"/>
        <v xml:space="preserve"> </v>
      </c>
      <c r="HF185" s="14" t="str">
        <f t="shared" si="764"/>
        <v xml:space="preserve"> </v>
      </c>
      <c r="HG185" s="14" t="str">
        <f t="shared" si="765"/>
        <v xml:space="preserve"> </v>
      </c>
      <c r="HH185" s="14" t="str">
        <f t="shared" si="766"/>
        <v xml:space="preserve"> </v>
      </c>
      <c r="HI185" s="14" t="str">
        <f t="shared" si="767"/>
        <v xml:space="preserve"> </v>
      </c>
      <c r="HJ185" s="14" t="str">
        <f t="shared" si="768"/>
        <v xml:space="preserve"> </v>
      </c>
      <c r="HK185" s="27" t="str">
        <f t="shared" si="763"/>
        <v xml:space="preserve"> </v>
      </c>
      <c r="HL185" s="14" t="str">
        <f t="shared" si="769"/>
        <v xml:space="preserve"> </v>
      </c>
      <c r="HM185" s="14" t="str">
        <f t="shared" si="770"/>
        <v xml:space="preserve"> </v>
      </c>
      <c r="HN185" s="14" t="str">
        <f t="shared" si="771"/>
        <v xml:space="preserve"> </v>
      </c>
      <c r="HO185" s="14" t="str">
        <f t="shared" si="772"/>
        <v xml:space="preserve"> </v>
      </c>
      <c r="HP185" s="14" t="str">
        <f t="shared" si="773"/>
        <v xml:space="preserve"> </v>
      </c>
      <c r="HQ185" s="27" t="str">
        <f t="shared" si="763"/>
        <v xml:space="preserve"> </v>
      </c>
    </row>
    <row r="186" spans="1:225" ht="15.75" customHeight="1">
      <c r="A186" s="7">
        <f t="shared" ref="A186:C186" si="795">A78</f>
        <v>0</v>
      </c>
      <c r="B186" s="7">
        <f t="shared" si="795"/>
        <v>0</v>
      </c>
      <c r="C186" s="7" t="str">
        <f t="shared" si="795"/>
        <v>mobile comm</v>
      </c>
      <c r="D186" s="14" t="str">
        <f t="shared" si="775"/>
        <v xml:space="preserve"> </v>
      </c>
      <c r="E186" s="14" t="str">
        <f t="shared" si="776"/>
        <v xml:space="preserve"> </v>
      </c>
      <c r="F186" s="14" t="str">
        <f t="shared" si="777"/>
        <v xml:space="preserve"> </v>
      </c>
      <c r="G186" s="14" t="str">
        <f t="shared" si="778"/>
        <v xml:space="preserve"> </v>
      </c>
      <c r="H186" s="14" t="str">
        <f t="shared" si="779"/>
        <v xml:space="preserve"> </v>
      </c>
      <c r="I186" s="27" t="str">
        <f t="shared" ref="I186" si="796">IF(I78="",I187,$C186&amp;"("&amp;I78&amp;"),"&amp;I187)</f>
        <v xml:space="preserve"> </v>
      </c>
      <c r="J186" s="14" t="str">
        <f t="shared" si="590"/>
        <v xml:space="preserve"> </v>
      </c>
      <c r="K186" s="14" t="str">
        <f t="shared" si="591"/>
        <v xml:space="preserve"> </v>
      </c>
      <c r="L186" s="14" t="str">
        <f t="shared" si="592"/>
        <v xml:space="preserve"> </v>
      </c>
      <c r="M186" s="14" t="str">
        <f t="shared" si="593"/>
        <v xml:space="preserve"> </v>
      </c>
      <c r="N186" s="14" t="str">
        <f t="shared" si="594"/>
        <v xml:space="preserve"> </v>
      </c>
      <c r="O186" s="27" t="str">
        <f t="shared" si="595"/>
        <v xml:space="preserve"> </v>
      </c>
      <c r="P186" s="14" t="str">
        <f t="shared" si="596"/>
        <v xml:space="preserve"> </v>
      </c>
      <c r="Q186" s="14" t="str">
        <f t="shared" si="597"/>
        <v xml:space="preserve"> </v>
      </c>
      <c r="R186" s="14" t="str">
        <f t="shared" si="598"/>
        <v xml:space="preserve"> </v>
      </c>
      <c r="S186" s="14" t="str">
        <f t="shared" si="599"/>
        <v xml:space="preserve"> </v>
      </c>
      <c r="T186" s="14" t="str">
        <f t="shared" si="600"/>
        <v xml:space="preserve">aesthetics(-1,6.25%),  </v>
      </c>
      <c r="U186" s="27" t="str">
        <f t="shared" si="595"/>
        <v xml:space="preserve">aesthetics(6.25), </v>
      </c>
      <c r="V186" s="14" t="str">
        <f t="shared" si="601"/>
        <v xml:space="preserve"> </v>
      </c>
      <c r="W186" s="14" t="str">
        <f t="shared" si="602"/>
        <v xml:space="preserve"> </v>
      </c>
      <c r="X186" s="14" t="str">
        <f t="shared" si="603"/>
        <v xml:space="preserve"> </v>
      </c>
      <c r="Y186" s="14" t="str">
        <f t="shared" si="604"/>
        <v xml:space="preserve"> </v>
      </c>
      <c r="Z186" s="14" t="str">
        <f t="shared" si="605"/>
        <v xml:space="preserve"> </v>
      </c>
      <c r="AA186" s="27" t="str">
        <f t="shared" si="595"/>
        <v xml:space="preserve"> </v>
      </c>
      <c r="AB186" s="14" t="str">
        <f t="shared" si="606"/>
        <v xml:space="preserve"> </v>
      </c>
      <c r="AC186" s="14" t="str">
        <f t="shared" si="607"/>
        <v xml:space="preserve"> </v>
      </c>
      <c r="AD186" s="14" t="str">
        <f t="shared" si="608"/>
        <v xml:space="preserve"> </v>
      </c>
      <c r="AE186" s="14" t="str">
        <f t="shared" si="609"/>
        <v xml:space="preserve"> </v>
      </c>
      <c r="AF186" s="14" t="str">
        <f t="shared" si="610"/>
        <v xml:space="preserve"> </v>
      </c>
      <c r="AG186" s="27" t="str">
        <f t="shared" si="595"/>
        <v xml:space="preserve"> </v>
      </c>
      <c r="AH186" s="14" t="str">
        <f t="shared" si="611"/>
        <v xml:space="preserve"> </v>
      </c>
      <c r="AI186" s="14" t="str">
        <f t="shared" si="612"/>
        <v xml:space="preserve"> </v>
      </c>
      <c r="AJ186" s="14" t="str">
        <f t="shared" si="613"/>
        <v xml:space="preserve"> </v>
      </c>
      <c r="AK186" s="14" t="str">
        <f t="shared" si="614"/>
        <v xml:space="preserve"> </v>
      </c>
      <c r="AL186" s="14" t="str">
        <f t="shared" si="615"/>
        <v xml:space="preserve"> </v>
      </c>
      <c r="AM186" s="27" t="str">
        <f t="shared" si="595"/>
        <v xml:space="preserve"> </v>
      </c>
      <c r="AN186" s="14" t="str">
        <f t="shared" si="616"/>
        <v xml:space="preserve"> </v>
      </c>
      <c r="AO186" s="14" t="str">
        <f t="shared" si="617"/>
        <v xml:space="preserve"> </v>
      </c>
      <c r="AP186" s="14" t="str">
        <f t="shared" si="618"/>
        <v xml:space="preserve"> </v>
      </c>
      <c r="AQ186" s="14" t="str">
        <f t="shared" si="619"/>
        <v xml:space="preserve"> </v>
      </c>
      <c r="AR186" s="14" t="str">
        <f t="shared" si="620"/>
        <v xml:space="preserve"> </v>
      </c>
      <c r="AS186" s="27" t="str">
        <f t="shared" si="595"/>
        <v xml:space="preserve"> </v>
      </c>
      <c r="AT186" s="14" t="str">
        <f t="shared" si="621"/>
        <v xml:space="preserve"> </v>
      </c>
      <c r="AU186" s="14" t="str">
        <f t="shared" si="622"/>
        <v xml:space="preserve"> </v>
      </c>
      <c r="AV186" s="14" t="str">
        <f t="shared" si="623"/>
        <v xml:space="preserve"> </v>
      </c>
      <c r="AW186" s="14" t="str">
        <f t="shared" si="624"/>
        <v xml:space="preserve"> </v>
      </c>
      <c r="AX186" s="14" t="str">
        <f t="shared" si="625"/>
        <v xml:space="preserve"> </v>
      </c>
      <c r="AY186" s="27" t="str">
        <f t="shared" si="595"/>
        <v xml:space="preserve"> </v>
      </c>
      <c r="AZ186" s="14" t="str">
        <f t="shared" si="626"/>
        <v xml:space="preserve"> </v>
      </c>
      <c r="BA186" s="14" t="str">
        <f t="shared" si="627"/>
        <v xml:space="preserve"> </v>
      </c>
      <c r="BB186" s="14" t="str">
        <f t="shared" si="628"/>
        <v xml:space="preserve"> </v>
      </c>
      <c r="BC186" s="14" t="str">
        <f t="shared" si="629"/>
        <v xml:space="preserve"> </v>
      </c>
      <c r="BD186" s="14" t="str">
        <f t="shared" si="630"/>
        <v xml:space="preserve"> </v>
      </c>
      <c r="BE186" s="27" t="str">
        <f t="shared" si="595"/>
        <v xml:space="preserve"> </v>
      </c>
      <c r="BF186" s="14" t="str">
        <f t="shared" si="631"/>
        <v xml:space="preserve"> </v>
      </c>
      <c r="BG186" s="14" t="str">
        <f t="shared" si="632"/>
        <v xml:space="preserve"> </v>
      </c>
      <c r="BH186" s="14" t="str">
        <f t="shared" si="633"/>
        <v xml:space="preserve"> </v>
      </c>
      <c r="BI186" s="14" t="str">
        <f t="shared" si="634"/>
        <v xml:space="preserve"> </v>
      </c>
      <c r="BJ186" s="14" t="str">
        <f t="shared" si="635"/>
        <v xml:space="preserve"> </v>
      </c>
      <c r="BK186" s="27" t="str">
        <f t="shared" si="595"/>
        <v xml:space="preserve"> </v>
      </c>
      <c r="BL186" s="14" t="str">
        <f t="shared" si="636"/>
        <v xml:space="preserve">aesthetics(1)
 </v>
      </c>
      <c r="BM186" s="14" t="str">
        <f t="shared" si="637"/>
        <v xml:space="preserve">biz enhancement(1,%),  </v>
      </c>
      <c r="BN186" s="14" t="str">
        <f t="shared" si="638"/>
        <v xml:space="preserve"> </v>
      </c>
      <c r="BO186" s="14" t="str">
        <f t="shared" si="639"/>
        <v xml:space="preserve">aesthetics(2), functions(1), safety(1),  </v>
      </c>
      <c r="BP186" s="14" t="str">
        <f t="shared" si="640"/>
        <v xml:space="preserve"> </v>
      </c>
      <c r="BQ186" s="27" t="str">
        <f t="shared" si="595"/>
        <v xml:space="preserve"> </v>
      </c>
      <c r="BR186" s="14" t="str">
        <f t="shared" si="641"/>
        <v xml:space="preserve">aesthetics(1)
 </v>
      </c>
      <c r="BS186" s="14" t="str">
        <f t="shared" si="642"/>
        <v xml:space="preserve">biz project(1,%),  </v>
      </c>
      <c r="BT186" s="14" t="str">
        <f t="shared" si="643"/>
        <v xml:space="preserve"> </v>
      </c>
      <c r="BU186" s="14" t="str">
        <f t="shared" si="644"/>
        <v xml:space="preserve">wood processing(1), aesthetics(2),  </v>
      </c>
      <c r="BV186" s="14" t="str">
        <f t="shared" si="645"/>
        <v xml:space="preserve"> </v>
      </c>
      <c r="BW186" s="27" t="str">
        <f t="shared" si="595"/>
        <v xml:space="preserve"> </v>
      </c>
      <c r="BX186" s="14" t="str">
        <f t="shared" si="646"/>
        <v xml:space="preserve">aesthetics(1)
interaction(1)
 </v>
      </c>
      <c r="BY186" s="14" t="str">
        <f t="shared" si="647"/>
        <v xml:space="preserve">biz project(1,%),  </v>
      </c>
      <c r="BZ186" s="14" t="str">
        <f t="shared" si="648"/>
        <v xml:space="preserve"> </v>
      </c>
      <c r="CA186" s="14" t="str">
        <f t="shared" si="649"/>
        <v xml:space="preserve">aesthetics(2), functions(1), interaction(2),  </v>
      </c>
      <c r="CB186" s="14" t="str">
        <f t="shared" si="650"/>
        <v xml:space="preserve"> </v>
      </c>
      <c r="CC186" s="27" t="str">
        <f t="shared" si="651"/>
        <v xml:space="preserve"> </v>
      </c>
      <c r="CD186" s="14" t="str">
        <f t="shared" si="652"/>
        <v xml:space="preserve">aesthetics(1)
 </v>
      </c>
      <c r="CE186" s="14" t="str">
        <f t="shared" si="653"/>
        <v xml:space="preserve">biz project(1,%),  </v>
      </c>
      <c r="CF186" s="14" t="str">
        <f t="shared" si="654"/>
        <v xml:space="preserve"> </v>
      </c>
      <c r="CG186" s="14" t="str">
        <f t="shared" si="655"/>
        <v xml:space="preserve">aesthetics(2), functions(1), interaction(2),  </v>
      </c>
      <c r="CH186" s="14" t="str">
        <f t="shared" si="656"/>
        <v xml:space="preserve"> </v>
      </c>
      <c r="CI186" s="27" t="str">
        <f t="shared" si="651"/>
        <v xml:space="preserve"> </v>
      </c>
      <c r="CJ186" s="14" t="str">
        <f t="shared" si="657"/>
        <v xml:space="preserve">aesthetics(1)
 </v>
      </c>
      <c r="CK186" s="14" t="str">
        <f t="shared" si="658"/>
        <v xml:space="preserve">biz project(1,%),  </v>
      </c>
      <c r="CL186" s="14" t="str">
        <f t="shared" si="659"/>
        <v xml:space="preserve"> </v>
      </c>
      <c r="CM186" s="14" t="str">
        <f t="shared" si="660"/>
        <v xml:space="preserve">aesthetics(2), functions(1), interaction(2),  </v>
      </c>
      <c r="CN186" s="14" t="str">
        <f t="shared" si="661"/>
        <v xml:space="preserve"> </v>
      </c>
      <c r="CO186" s="27" t="str">
        <f t="shared" si="651"/>
        <v xml:space="preserve"> </v>
      </c>
      <c r="CP186" s="14" t="str">
        <f t="shared" si="662"/>
        <v xml:space="preserve">metal processing(1)
functions(1)
 </v>
      </c>
      <c r="CQ186" s="14" t="str">
        <f t="shared" si="663"/>
        <v xml:space="preserve">biz enhancement(1,50%),  </v>
      </c>
      <c r="CR186" s="14" t="str">
        <f t="shared" si="664"/>
        <v xml:space="preserve">biz enhancement(50)
 </v>
      </c>
      <c r="CS186" s="14" t="str">
        <f t="shared" si="665"/>
        <v xml:space="preserve">metal processing(2), electronics(2), aesthetics(2), functions(2), safety(2),  </v>
      </c>
      <c r="CT186" s="14" t="str">
        <f t="shared" si="666"/>
        <v xml:space="preserve"> </v>
      </c>
      <c r="CU186" s="27" t="str">
        <f t="shared" si="651"/>
        <v xml:space="preserve"> </v>
      </c>
      <c r="CV186" s="14" t="str">
        <f t="shared" si="667"/>
        <v xml:space="preserve">wood processing(1)
aesthetics(1)
interaction(1)
 </v>
      </c>
      <c r="CW186" s="14" t="str">
        <f t="shared" si="668"/>
        <v xml:space="preserve">social project(1,50%),  </v>
      </c>
      <c r="CX186" s="14" t="str">
        <f t="shared" si="669"/>
        <v xml:space="preserve">social project(50)
 </v>
      </c>
      <c r="CY186" s="14" t="str">
        <f t="shared" si="670"/>
        <v xml:space="preserve">wood processing(2), plastic processing(2), electronics(2), aesthetics(2), functions(1), safety(1), interaction(2),  </v>
      </c>
      <c r="CZ186" s="14" t="str">
        <f t="shared" si="671"/>
        <v xml:space="preserve"> </v>
      </c>
      <c r="DA186" s="27" t="str">
        <f t="shared" si="651"/>
        <v xml:space="preserve"> </v>
      </c>
      <c r="DB186" s="14" t="str">
        <f t="shared" si="672"/>
        <v xml:space="preserve">aesthetics(1)
interaction(1)
 </v>
      </c>
      <c r="DC186" s="14" t="str">
        <f t="shared" si="673"/>
        <v xml:space="preserve">social project(1,50%),  </v>
      </c>
      <c r="DD186" s="14" t="str">
        <f t="shared" si="674"/>
        <v xml:space="preserve">social project(50)
 </v>
      </c>
      <c r="DE186" s="14" t="str">
        <f t="shared" si="675"/>
        <v xml:space="preserve">VR&amp;AR(2),  </v>
      </c>
      <c r="DF186" s="14" t="str">
        <f t="shared" si="676"/>
        <v xml:space="preserve"> </v>
      </c>
      <c r="DG186" s="27" t="str">
        <f t="shared" si="651"/>
        <v xml:space="preserve"> </v>
      </c>
      <c r="DH186" s="14" t="str">
        <f t="shared" si="677"/>
        <v xml:space="preserve">wood processing(1)
aesthetics(1)
safety(1)
 </v>
      </c>
      <c r="DI186" s="14" t="str">
        <f t="shared" si="678"/>
        <v xml:space="preserve">social project(1,100%),  </v>
      </c>
      <c r="DJ186" s="14" t="str">
        <f t="shared" si="679"/>
        <v xml:space="preserve">social project(100)
 </v>
      </c>
      <c r="DK186" s="14" t="str">
        <f t="shared" si="680"/>
        <v xml:space="preserve">wood processing(2), metal processing(2), plastic processing(2), electronics(2), fabric(1), aesthetics(1), functions(2), safety(2), interaction(2),  </v>
      </c>
      <c r="DL186" s="14" t="str">
        <f t="shared" si="681"/>
        <v xml:space="preserve"> </v>
      </c>
      <c r="DM186" s="27" t="str">
        <f t="shared" si="651"/>
        <v xml:space="preserve"> </v>
      </c>
      <c r="DN186" s="14" t="str">
        <f t="shared" si="682"/>
        <v xml:space="preserve">wood processing(1)
plastic processing(1)
electronics(1)
aesthetics(2)
functions(1)
safety(1)
biz project(1)
 </v>
      </c>
      <c r="DO186" s="14" t="str">
        <f t="shared" si="683"/>
        <v xml:space="preserve"> </v>
      </c>
      <c r="DP186" s="14" t="str">
        <f t="shared" si="684"/>
        <v xml:space="preserve"> </v>
      </c>
      <c r="DQ186" s="14" t="str">
        <f t="shared" si="685"/>
        <v xml:space="preserve">wood processing(2), plastic processing(2), electronics(2), aesthetics(2),  </v>
      </c>
      <c r="DR186" s="14" t="str">
        <f t="shared" si="686"/>
        <v xml:space="preserve"> </v>
      </c>
      <c r="DS186" s="27" t="str">
        <f t="shared" si="651"/>
        <v xml:space="preserve"> </v>
      </c>
      <c r="DT186" s="14" t="str">
        <f t="shared" si="687"/>
        <v xml:space="preserve"> </v>
      </c>
      <c r="DU186" s="14" t="str">
        <f t="shared" si="688"/>
        <v xml:space="preserve"> </v>
      </c>
      <c r="DV186" s="14" t="str">
        <f t="shared" si="689"/>
        <v xml:space="preserve"> </v>
      </c>
      <c r="DW186" s="14" t="str">
        <f t="shared" si="690"/>
        <v xml:space="preserve"> </v>
      </c>
      <c r="DX186" s="14" t="str">
        <f t="shared" si="691"/>
        <v xml:space="preserve"> </v>
      </c>
      <c r="DY186" s="27" t="str">
        <f t="shared" si="651"/>
        <v xml:space="preserve"> </v>
      </c>
      <c r="DZ186" s="14" t="str">
        <f t="shared" si="692"/>
        <v xml:space="preserve"> </v>
      </c>
      <c r="EA186" s="14" t="str">
        <f t="shared" si="693"/>
        <v xml:space="preserve"> </v>
      </c>
      <c r="EB186" s="14" t="str">
        <f t="shared" si="694"/>
        <v xml:space="preserve"> </v>
      </c>
      <c r="EC186" s="14" t="str">
        <f t="shared" si="695"/>
        <v xml:space="preserve"> </v>
      </c>
      <c r="ED186" s="14" t="str">
        <f t="shared" si="696"/>
        <v xml:space="preserve"> </v>
      </c>
      <c r="EE186" s="27" t="str">
        <f t="shared" si="651"/>
        <v xml:space="preserve"> </v>
      </c>
      <c r="EF186" s="14" t="str">
        <f t="shared" si="697"/>
        <v xml:space="preserve"> </v>
      </c>
      <c r="EG186" s="14" t="str">
        <f t="shared" si="698"/>
        <v xml:space="preserve"> </v>
      </c>
      <c r="EH186" s="14" t="str">
        <f t="shared" si="699"/>
        <v xml:space="preserve"> </v>
      </c>
      <c r="EI186" s="14" t="str">
        <f t="shared" si="700"/>
        <v xml:space="preserve"> </v>
      </c>
      <c r="EJ186" s="14" t="str">
        <f t="shared" si="701"/>
        <v xml:space="preserve"> </v>
      </c>
      <c r="EK186" s="27" t="str">
        <f t="shared" si="651"/>
        <v xml:space="preserve"> </v>
      </c>
      <c r="EL186" s="14" t="str">
        <f t="shared" si="702"/>
        <v xml:space="preserve"> </v>
      </c>
      <c r="EM186" s="14" t="str">
        <f t="shared" si="703"/>
        <v xml:space="preserve"> </v>
      </c>
      <c r="EN186" s="14" t="str">
        <f t="shared" si="704"/>
        <v xml:space="preserve"> </v>
      </c>
      <c r="EO186" s="14" t="str">
        <f t="shared" si="705"/>
        <v xml:space="preserve"> </v>
      </c>
      <c r="EP186" s="14" t="str">
        <f t="shared" si="706"/>
        <v xml:space="preserve"> </v>
      </c>
      <c r="EQ186" s="27" t="str">
        <f t="shared" si="707"/>
        <v xml:space="preserve"> </v>
      </c>
      <c r="ER186" s="14" t="str">
        <f t="shared" si="708"/>
        <v xml:space="preserve"> </v>
      </c>
      <c r="ES186" s="14" t="str">
        <f t="shared" si="709"/>
        <v xml:space="preserve"> </v>
      </c>
      <c r="ET186" s="14" t="str">
        <f t="shared" si="710"/>
        <v xml:space="preserve"> </v>
      </c>
      <c r="EU186" s="14" t="str">
        <f t="shared" si="711"/>
        <v xml:space="preserve"> </v>
      </c>
      <c r="EV186" s="14" t="str">
        <f t="shared" si="712"/>
        <v xml:space="preserve"> </v>
      </c>
      <c r="EW186" s="27" t="str">
        <f t="shared" si="707"/>
        <v xml:space="preserve"> </v>
      </c>
      <c r="EX186" s="14" t="str">
        <f t="shared" si="713"/>
        <v xml:space="preserve"> </v>
      </c>
      <c r="EY186" s="14" t="str">
        <f t="shared" si="714"/>
        <v xml:space="preserve"> </v>
      </c>
      <c r="EZ186" s="14" t="str">
        <f t="shared" si="715"/>
        <v xml:space="preserve"> </v>
      </c>
      <c r="FA186" s="14" t="str">
        <f t="shared" si="716"/>
        <v xml:space="preserve"> </v>
      </c>
      <c r="FB186" s="14" t="str">
        <f t="shared" si="717"/>
        <v xml:space="preserve"> </v>
      </c>
      <c r="FC186" s="27" t="str">
        <f t="shared" si="707"/>
        <v xml:space="preserve"> </v>
      </c>
      <c r="FD186" s="14" t="str">
        <f t="shared" si="718"/>
        <v xml:space="preserve"> </v>
      </c>
      <c r="FE186" s="14" t="str">
        <f t="shared" si="719"/>
        <v xml:space="preserve"> </v>
      </c>
      <c r="FF186" s="14" t="str">
        <f t="shared" si="720"/>
        <v xml:space="preserve"> </v>
      </c>
      <c r="FG186" s="14" t="str">
        <f t="shared" si="721"/>
        <v xml:space="preserve"> </v>
      </c>
      <c r="FH186" s="14" t="str">
        <f t="shared" si="722"/>
        <v xml:space="preserve"> </v>
      </c>
      <c r="FI186" s="27" t="str">
        <f t="shared" si="707"/>
        <v xml:space="preserve"> </v>
      </c>
      <c r="FJ186" s="14" t="str">
        <f t="shared" si="723"/>
        <v xml:space="preserve"> </v>
      </c>
      <c r="FK186" s="14" t="str">
        <f t="shared" si="724"/>
        <v xml:space="preserve"> </v>
      </c>
      <c r="FL186" s="14" t="str">
        <f t="shared" si="725"/>
        <v xml:space="preserve"> </v>
      </c>
      <c r="FM186" s="14" t="str">
        <f t="shared" si="726"/>
        <v xml:space="preserve"> </v>
      </c>
      <c r="FN186" s="14" t="str">
        <f t="shared" si="727"/>
        <v xml:space="preserve"> </v>
      </c>
      <c r="FO186" s="27" t="str">
        <f t="shared" si="707"/>
        <v xml:space="preserve"> </v>
      </c>
      <c r="FP186" s="14" t="str">
        <f t="shared" si="728"/>
        <v xml:space="preserve"> </v>
      </c>
      <c r="FQ186" s="14" t="str">
        <f t="shared" si="729"/>
        <v xml:space="preserve"> </v>
      </c>
      <c r="FR186" s="14" t="str">
        <f t="shared" si="730"/>
        <v xml:space="preserve"> </v>
      </c>
      <c r="FS186" s="14" t="str">
        <f t="shared" si="731"/>
        <v xml:space="preserve"> </v>
      </c>
      <c r="FT186" s="14" t="str">
        <f t="shared" si="732"/>
        <v xml:space="preserve"> </v>
      </c>
      <c r="FU186" s="27" t="str">
        <f t="shared" si="707"/>
        <v xml:space="preserve"> </v>
      </c>
      <c r="FV186" s="14" t="str">
        <f t="shared" si="733"/>
        <v xml:space="preserve"> </v>
      </c>
      <c r="FW186" s="14" t="str">
        <f t="shared" si="734"/>
        <v xml:space="preserve"> </v>
      </c>
      <c r="FX186" s="14" t="str">
        <f t="shared" si="735"/>
        <v xml:space="preserve"> </v>
      </c>
      <c r="FY186" s="14" t="str">
        <f t="shared" si="736"/>
        <v xml:space="preserve"> </v>
      </c>
      <c r="FZ186" s="14" t="str">
        <f t="shared" si="737"/>
        <v xml:space="preserve"> </v>
      </c>
      <c r="GA186" s="27" t="str">
        <f t="shared" si="707"/>
        <v xml:space="preserve"> </v>
      </c>
      <c r="GB186" s="14" t="str">
        <f t="shared" si="738"/>
        <v xml:space="preserve"> </v>
      </c>
      <c r="GC186" s="14" t="str">
        <f t="shared" si="739"/>
        <v xml:space="preserve"> </v>
      </c>
      <c r="GD186" s="14" t="str">
        <f t="shared" si="740"/>
        <v xml:space="preserve"> </v>
      </c>
      <c r="GE186" s="14" t="str">
        <f t="shared" si="741"/>
        <v xml:space="preserve"> </v>
      </c>
      <c r="GF186" s="14" t="str">
        <f t="shared" si="742"/>
        <v xml:space="preserve"> </v>
      </c>
      <c r="GG186" s="27" t="str">
        <f t="shared" si="707"/>
        <v xml:space="preserve"> </v>
      </c>
      <c r="GH186" s="14" t="str">
        <f t="shared" si="743"/>
        <v xml:space="preserve"> </v>
      </c>
      <c r="GI186" s="14" t="str">
        <f t="shared" si="744"/>
        <v xml:space="preserve"> </v>
      </c>
      <c r="GJ186" s="14" t="str">
        <f t="shared" si="745"/>
        <v xml:space="preserve"> </v>
      </c>
      <c r="GK186" s="14" t="str">
        <f t="shared" si="746"/>
        <v xml:space="preserve"> </v>
      </c>
      <c r="GL186" s="14" t="str">
        <f t="shared" si="747"/>
        <v xml:space="preserve"> </v>
      </c>
      <c r="GM186" s="27" t="str">
        <f t="shared" si="707"/>
        <v xml:space="preserve"> </v>
      </c>
      <c r="GN186" s="14" t="str">
        <f t="shared" si="748"/>
        <v xml:space="preserve"> </v>
      </c>
      <c r="GO186" s="14" t="str">
        <f t="shared" si="749"/>
        <v xml:space="preserve"> </v>
      </c>
      <c r="GP186" s="14" t="str">
        <f t="shared" si="750"/>
        <v xml:space="preserve"> </v>
      </c>
      <c r="GQ186" s="14" t="str">
        <f t="shared" si="751"/>
        <v xml:space="preserve"> </v>
      </c>
      <c r="GR186" s="14" t="str">
        <f t="shared" si="752"/>
        <v xml:space="preserve"> </v>
      </c>
      <c r="GS186" s="27" t="str">
        <f t="shared" si="707"/>
        <v xml:space="preserve"> </v>
      </c>
      <c r="GT186" s="14" t="str">
        <f t="shared" si="753"/>
        <v xml:space="preserve"> </v>
      </c>
      <c r="GU186" s="14" t="str">
        <f t="shared" si="754"/>
        <v xml:space="preserve"> </v>
      </c>
      <c r="GV186" s="14" t="str">
        <f t="shared" si="755"/>
        <v xml:space="preserve"> </v>
      </c>
      <c r="GW186" s="14" t="str">
        <f t="shared" si="756"/>
        <v xml:space="preserve"> </v>
      </c>
      <c r="GX186" s="14" t="str">
        <f t="shared" si="757"/>
        <v xml:space="preserve"> </v>
      </c>
      <c r="GY186" s="27" t="str">
        <f t="shared" si="707"/>
        <v xml:space="preserve"> </v>
      </c>
      <c r="GZ186" s="14" t="str">
        <f t="shared" si="758"/>
        <v xml:space="preserve"> </v>
      </c>
      <c r="HA186" s="14" t="str">
        <f t="shared" si="759"/>
        <v xml:space="preserve"> </v>
      </c>
      <c r="HB186" s="14" t="str">
        <f t="shared" si="760"/>
        <v xml:space="preserve"> </v>
      </c>
      <c r="HC186" s="14" t="str">
        <f t="shared" si="761"/>
        <v xml:space="preserve"> </v>
      </c>
      <c r="HD186" s="14" t="str">
        <f t="shared" si="762"/>
        <v xml:space="preserve"> </v>
      </c>
      <c r="HE186" s="27" t="str">
        <f t="shared" si="763"/>
        <v xml:space="preserve"> </v>
      </c>
      <c r="HF186" s="14" t="str">
        <f t="shared" si="764"/>
        <v xml:space="preserve"> </v>
      </c>
      <c r="HG186" s="14" t="str">
        <f t="shared" si="765"/>
        <v xml:space="preserve"> </v>
      </c>
      <c r="HH186" s="14" t="str">
        <f t="shared" si="766"/>
        <v xml:space="preserve"> </v>
      </c>
      <c r="HI186" s="14" t="str">
        <f t="shared" si="767"/>
        <v xml:space="preserve"> </v>
      </c>
      <c r="HJ186" s="14" t="str">
        <f t="shared" si="768"/>
        <v xml:space="preserve"> </v>
      </c>
      <c r="HK186" s="27" t="str">
        <f t="shared" si="763"/>
        <v xml:space="preserve"> </v>
      </c>
      <c r="HL186" s="14" t="str">
        <f t="shared" si="769"/>
        <v xml:space="preserve"> </v>
      </c>
      <c r="HM186" s="14" t="str">
        <f t="shared" si="770"/>
        <v xml:space="preserve"> </v>
      </c>
      <c r="HN186" s="14" t="str">
        <f t="shared" si="771"/>
        <v xml:space="preserve"> </v>
      </c>
      <c r="HO186" s="14" t="str">
        <f t="shared" si="772"/>
        <v xml:space="preserve"> </v>
      </c>
      <c r="HP186" s="14" t="str">
        <f t="shared" si="773"/>
        <v xml:space="preserve"> </v>
      </c>
      <c r="HQ186" s="27" t="str">
        <f t="shared" si="763"/>
        <v xml:space="preserve"> </v>
      </c>
    </row>
    <row r="187" spans="1:225" ht="15.75" customHeight="1">
      <c r="A187" s="7">
        <f t="shared" ref="A187:C187" si="797">A79</f>
        <v>0</v>
      </c>
      <c r="B187" s="7">
        <f t="shared" si="797"/>
        <v>0</v>
      </c>
      <c r="C187" s="7" t="str">
        <f t="shared" si="797"/>
        <v>VR&amp;AR</v>
      </c>
      <c r="D187" s="14" t="str">
        <f t="shared" si="775"/>
        <v xml:space="preserve"> </v>
      </c>
      <c r="E187" s="14" t="str">
        <f t="shared" si="776"/>
        <v xml:space="preserve"> </v>
      </c>
      <c r="F187" s="14" t="str">
        <f t="shared" si="777"/>
        <v xml:space="preserve"> </v>
      </c>
      <c r="G187" s="14" t="str">
        <f t="shared" si="778"/>
        <v xml:space="preserve"> </v>
      </c>
      <c r="H187" s="14" t="str">
        <f t="shared" si="779"/>
        <v xml:space="preserve"> </v>
      </c>
      <c r="I187" s="27" t="str">
        <f t="shared" ref="I187" si="798">IF(I79="",I188,$C187&amp;"("&amp;I79&amp;"),"&amp;I188)</f>
        <v xml:space="preserve"> </v>
      </c>
      <c r="J187" s="14" t="str">
        <f t="shared" si="590"/>
        <v xml:space="preserve"> </v>
      </c>
      <c r="K187" s="14" t="str">
        <f t="shared" si="591"/>
        <v xml:space="preserve"> </v>
      </c>
      <c r="L187" s="14" t="str">
        <f t="shared" si="592"/>
        <v xml:space="preserve"> </v>
      </c>
      <c r="M187" s="14" t="str">
        <f t="shared" si="593"/>
        <v xml:space="preserve"> </v>
      </c>
      <c r="N187" s="14" t="str">
        <f t="shared" si="594"/>
        <v xml:space="preserve"> </v>
      </c>
      <c r="O187" s="27" t="str">
        <f t="shared" si="595"/>
        <v xml:space="preserve"> </v>
      </c>
      <c r="P187" s="14" t="str">
        <f t="shared" si="596"/>
        <v xml:space="preserve"> </v>
      </c>
      <c r="Q187" s="14" t="str">
        <f t="shared" si="597"/>
        <v xml:space="preserve"> </v>
      </c>
      <c r="R187" s="14" t="str">
        <f t="shared" si="598"/>
        <v xml:space="preserve"> </v>
      </c>
      <c r="S187" s="14" t="str">
        <f t="shared" si="599"/>
        <v xml:space="preserve"> </v>
      </c>
      <c r="T187" s="14" t="str">
        <f t="shared" si="600"/>
        <v xml:space="preserve">aesthetics(-1,6.25%),  </v>
      </c>
      <c r="U187" s="27" t="str">
        <f t="shared" si="595"/>
        <v xml:space="preserve">aesthetics(6.25), </v>
      </c>
      <c r="V187" s="14" t="str">
        <f t="shared" si="601"/>
        <v xml:space="preserve"> </v>
      </c>
      <c r="W187" s="14" t="str">
        <f t="shared" si="602"/>
        <v xml:space="preserve"> </v>
      </c>
      <c r="X187" s="14" t="str">
        <f t="shared" si="603"/>
        <v xml:space="preserve"> </v>
      </c>
      <c r="Y187" s="14" t="str">
        <f t="shared" si="604"/>
        <v xml:space="preserve"> </v>
      </c>
      <c r="Z187" s="14" t="str">
        <f t="shared" si="605"/>
        <v xml:space="preserve"> </v>
      </c>
      <c r="AA187" s="27" t="str">
        <f t="shared" si="595"/>
        <v xml:space="preserve"> </v>
      </c>
      <c r="AB187" s="14" t="str">
        <f t="shared" si="606"/>
        <v xml:space="preserve"> </v>
      </c>
      <c r="AC187" s="14" t="str">
        <f t="shared" si="607"/>
        <v xml:space="preserve"> </v>
      </c>
      <c r="AD187" s="14" t="str">
        <f t="shared" si="608"/>
        <v xml:space="preserve"> </v>
      </c>
      <c r="AE187" s="14" t="str">
        <f t="shared" si="609"/>
        <v xml:space="preserve"> </v>
      </c>
      <c r="AF187" s="14" t="str">
        <f t="shared" si="610"/>
        <v xml:space="preserve"> </v>
      </c>
      <c r="AG187" s="27" t="str">
        <f t="shared" si="595"/>
        <v xml:space="preserve"> </v>
      </c>
      <c r="AH187" s="14" t="str">
        <f t="shared" si="611"/>
        <v xml:space="preserve"> </v>
      </c>
      <c r="AI187" s="14" t="str">
        <f t="shared" si="612"/>
        <v xml:space="preserve"> </v>
      </c>
      <c r="AJ187" s="14" t="str">
        <f t="shared" si="613"/>
        <v xml:space="preserve"> </v>
      </c>
      <c r="AK187" s="14" t="str">
        <f t="shared" si="614"/>
        <v xml:space="preserve"> </v>
      </c>
      <c r="AL187" s="14" t="str">
        <f t="shared" si="615"/>
        <v xml:space="preserve"> </v>
      </c>
      <c r="AM187" s="27" t="str">
        <f t="shared" si="595"/>
        <v xml:space="preserve"> </v>
      </c>
      <c r="AN187" s="14" t="str">
        <f t="shared" si="616"/>
        <v xml:space="preserve"> </v>
      </c>
      <c r="AO187" s="14" t="str">
        <f t="shared" si="617"/>
        <v xml:space="preserve"> </v>
      </c>
      <c r="AP187" s="14" t="str">
        <f t="shared" si="618"/>
        <v xml:space="preserve"> </v>
      </c>
      <c r="AQ187" s="14" t="str">
        <f t="shared" si="619"/>
        <v xml:space="preserve"> </v>
      </c>
      <c r="AR187" s="14" t="str">
        <f t="shared" si="620"/>
        <v xml:space="preserve"> </v>
      </c>
      <c r="AS187" s="27" t="str">
        <f t="shared" si="595"/>
        <v xml:space="preserve"> </v>
      </c>
      <c r="AT187" s="14" t="str">
        <f t="shared" si="621"/>
        <v xml:space="preserve"> </v>
      </c>
      <c r="AU187" s="14" t="str">
        <f t="shared" si="622"/>
        <v xml:space="preserve"> </v>
      </c>
      <c r="AV187" s="14" t="str">
        <f t="shared" si="623"/>
        <v xml:space="preserve"> </v>
      </c>
      <c r="AW187" s="14" t="str">
        <f t="shared" si="624"/>
        <v xml:space="preserve"> </v>
      </c>
      <c r="AX187" s="14" t="str">
        <f t="shared" si="625"/>
        <v xml:space="preserve"> </v>
      </c>
      <c r="AY187" s="27" t="str">
        <f t="shared" si="595"/>
        <v xml:space="preserve"> </v>
      </c>
      <c r="AZ187" s="14" t="str">
        <f t="shared" si="626"/>
        <v xml:space="preserve"> </v>
      </c>
      <c r="BA187" s="14" t="str">
        <f t="shared" si="627"/>
        <v xml:space="preserve"> </v>
      </c>
      <c r="BB187" s="14" t="str">
        <f t="shared" si="628"/>
        <v xml:space="preserve"> </v>
      </c>
      <c r="BC187" s="14" t="str">
        <f t="shared" si="629"/>
        <v xml:space="preserve"> </v>
      </c>
      <c r="BD187" s="14" t="str">
        <f t="shared" si="630"/>
        <v xml:space="preserve"> </v>
      </c>
      <c r="BE187" s="27" t="str">
        <f t="shared" si="595"/>
        <v xml:space="preserve"> </v>
      </c>
      <c r="BF187" s="14" t="str">
        <f t="shared" si="631"/>
        <v xml:space="preserve"> </v>
      </c>
      <c r="BG187" s="14" t="str">
        <f t="shared" si="632"/>
        <v xml:space="preserve"> </v>
      </c>
      <c r="BH187" s="14" t="str">
        <f t="shared" si="633"/>
        <v xml:space="preserve"> </v>
      </c>
      <c r="BI187" s="14" t="str">
        <f t="shared" si="634"/>
        <v xml:space="preserve"> </v>
      </c>
      <c r="BJ187" s="14" t="str">
        <f t="shared" si="635"/>
        <v xml:space="preserve"> </v>
      </c>
      <c r="BK187" s="27" t="str">
        <f t="shared" si="595"/>
        <v xml:space="preserve"> </v>
      </c>
      <c r="BL187" s="14" t="str">
        <f t="shared" si="636"/>
        <v xml:space="preserve">aesthetics(1)
 </v>
      </c>
      <c r="BM187" s="14" t="str">
        <f t="shared" si="637"/>
        <v xml:space="preserve">biz enhancement(1,%),  </v>
      </c>
      <c r="BN187" s="14" t="str">
        <f t="shared" si="638"/>
        <v xml:space="preserve"> </v>
      </c>
      <c r="BO187" s="14" t="str">
        <f t="shared" si="639"/>
        <v xml:space="preserve">aesthetics(2), functions(1), safety(1),  </v>
      </c>
      <c r="BP187" s="14" t="str">
        <f t="shared" si="640"/>
        <v xml:space="preserve"> </v>
      </c>
      <c r="BQ187" s="27" t="str">
        <f t="shared" si="595"/>
        <v xml:space="preserve"> </v>
      </c>
      <c r="BR187" s="14" t="str">
        <f t="shared" si="641"/>
        <v xml:space="preserve">aesthetics(1)
 </v>
      </c>
      <c r="BS187" s="14" t="str">
        <f t="shared" si="642"/>
        <v xml:space="preserve">biz project(1,%),  </v>
      </c>
      <c r="BT187" s="14" t="str">
        <f t="shared" si="643"/>
        <v xml:space="preserve"> </v>
      </c>
      <c r="BU187" s="14" t="str">
        <f t="shared" si="644"/>
        <v xml:space="preserve">wood processing(1), aesthetics(2),  </v>
      </c>
      <c r="BV187" s="14" t="str">
        <f t="shared" si="645"/>
        <v xml:space="preserve"> </v>
      </c>
      <c r="BW187" s="27" t="str">
        <f t="shared" si="595"/>
        <v xml:space="preserve"> </v>
      </c>
      <c r="BX187" s="14" t="str">
        <f t="shared" si="646"/>
        <v xml:space="preserve">aesthetics(1)
interaction(1)
 </v>
      </c>
      <c r="BY187" s="14" t="str">
        <f t="shared" si="647"/>
        <v xml:space="preserve">biz project(1,%),  </v>
      </c>
      <c r="BZ187" s="14" t="str">
        <f t="shared" si="648"/>
        <v xml:space="preserve"> </v>
      </c>
      <c r="CA187" s="14" t="str">
        <f t="shared" si="649"/>
        <v xml:space="preserve">aesthetics(2), functions(1), interaction(2),  </v>
      </c>
      <c r="CB187" s="14" t="str">
        <f t="shared" si="650"/>
        <v xml:space="preserve"> </v>
      </c>
      <c r="CC187" s="27" t="str">
        <f t="shared" si="651"/>
        <v xml:space="preserve"> </v>
      </c>
      <c r="CD187" s="14" t="str">
        <f t="shared" si="652"/>
        <v xml:space="preserve">aesthetics(1)
 </v>
      </c>
      <c r="CE187" s="14" t="str">
        <f t="shared" si="653"/>
        <v xml:space="preserve">biz project(1,%),  </v>
      </c>
      <c r="CF187" s="14" t="str">
        <f t="shared" si="654"/>
        <v xml:space="preserve"> </v>
      </c>
      <c r="CG187" s="14" t="str">
        <f t="shared" si="655"/>
        <v xml:space="preserve">aesthetics(2), functions(1), interaction(2),  </v>
      </c>
      <c r="CH187" s="14" t="str">
        <f t="shared" si="656"/>
        <v xml:space="preserve"> </v>
      </c>
      <c r="CI187" s="27" t="str">
        <f t="shared" si="651"/>
        <v xml:space="preserve"> </v>
      </c>
      <c r="CJ187" s="14" t="str">
        <f t="shared" si="657"/>
        <v xml:space="preserve">aesthetics(1)
 </v>
      </c>
      <c r="CK187" s="14" t="str">
        <f t="shared" si="658"/>
        <v xml:space="preserve">biz project(1,%),  </v>
      </c>
      <c r="CL187" s="14" t="str">
        <f t="shared" si="659"/>
        <v xml:space="preserve"> </v>
      </c>
      <c r="CM187" s="14" t="str">
        <f t="shared" si="660"/>
        <v xml:space="preserve">aesthetics(2), functions(1), interaction(2),  </v>
      </c>
      <c r="CN187" s="14" t="str">
        <f t="shared" si="661"/>
        <v xml:space="preserve"> </v>
      </c>
      <c r="CO187" s="27" t="str">
        <f t="shared" si="651"/>
        <v xml:space="preserve"> </v>
      </c>
      <c r="CP187" s="14" t="str">
        <f t="shared" si="662"/>
        <v xml:space="preserve">metal processing(1)
functions(1)
 </v>
      </c>
      <c r="CQ187" s="14" t="str">
        <f t="shared" si="663"/>
        <v xml:space="preserve">biz enhancement(1,50%),  </v>
      </c>
      <c r="CR187" s="14" t="str">
        <f t="shared" si="664"/>
        <v xml:space="preserve">biz enhancement(50)
 </v>
      </c>
      <c r="CS187" s="14" t="str">
        <f t="shared" si="665"/>
        <v xml:space="preserve">metal processing(2), electronics(2), aesthetics(2), functions(2), safety(2),  </v>
      </c>
      <c r="CT187" s="14" t="str">
        <f t="shared" si="666"/>
        <v xml:space="preserve"> </v>
      </c>
      <c r="CU187" s="27" t="str">
        <f t="shared" si="651"/>
        <v xml:space="preserve"> </v>
      </c>
      <c r="CV187" s="14" t="str">
        <f t="shared" si="667"/>
        <v xml:space="preserve">wood processing(1)
aesthetics(1)
interaction(1)
 </v>
      </c>
      <c r="CW187" s="14" t="str">
        <f t="shared" si="668"/>
        <v xml:space="preserve">social project(1,50%),  </v>
      </c>
      <c r="CX187" s="14" t="str">
        <f t="shared" si="669"/>
        <v xml:space="preserve">social project(50)
 </v>
      </c>
      <c r="CY187" s="14" t="str">
        <f t="shared" si="670"/>
        <v xml:space="preserve">wood processing(2), plastic processing(2), electronics(2), aesthetics(2), functions(1), safety(1), interaction(2),  </v>
      </c>
      <c r="CZ187" s="14" t="str">
        <f t="shared" si="671"/>
        <v xml:space="preserve"> </v>
      </c>
      <c r="DA187" s="27" t="str">
        <f t="shared" si="651"/>
        <v xml:space="preserve"> </v>
      </c>
      <c r="DB187" s="14" t="str">
        <f t="shared" si="672"/>
        <v xml:space="preserve">aesthetics(1)
interaction(1)
 </v>
      </c>
      <c r="DC187" s="14" t="str">
        <f t="shared" si="673"/>
        <v xml:space="preserve">social project(1,50%),  </v>
      </c>
      <c r="DD187" s="14" t="str">
        <f t="shared" si="674"/>
        <v xml:space="preserve">social project(50)
 </v>
      </c>
      <c r="DE187" s="14" t="str">
        <f t="shared" si="675"/>
        <v xml:space="preserve">VR&amp;AR(2),  </v>
      </c>
      <c r="DF187" s="14" t="str">
        <f t="shared" si="676"/>
        <v xml:space="preserve"> </v>
      </c>
      <c r="DG187" s="27" t="str">
        <f t="shared" si="651"/>
        <v xml:space="preserve"> </v>
      </c>
      <c r="DH187" s="14" t="str">
        <f t="shared" si="677"/>
        <v xml:space="preserve">wood processing(1)
aesthetics(1)
safety(1)
 </v>
      </c>
      <c r="DI187" s="14" t="str">
        <f t="shared" si="678"/>
        <v xml:space="preserve">social project(1,100%),  </v>
      </c>
      <c r="DJ187" s="14" t="str">
        <f t="shared" si="679"/>
        <v xml:space="preserve">social project(100)
 </v>
      </c>
      <c r="DK187" s="14" t="str">
        <f t="shared" si="680"/>
        <v xml:space="preserve">wood processing(2), metal processing(2), plastic processing(2), electronics(2), fabric(1), aesthetics(1), functions(2), safety(2), interaction(2),  </v>
      </c>
      <c r="DL187" s="14" t="str">
        <f t="shared" si="681"/>
        <v xml:space="preserve"> </v>
      </c>
      <c r="DM187" s="27" t="str">
        <f t="shared" si="651"/>
        <v xml:space="preserve"> </v>
      </c>
      <c r="DN187" s="14" t="str">
        <f t="shared" si="682"/>
        <v xml:space="preserve">wood processing(1)
plastic processing(1)
electronics(1)
aesthetics(2)
functions(1)
safety(1)
biz project(1)
 </v>
      </c>
      <c r="DO187" s="14" t="str">
        <f t="shared" si="683"/>
        <v xml:space="preserve"> </v>
      </c>
      <c r="DP187" s="14" t="str">
        <f t="shared" si="684"/>
        <v xml:space="preserve"> </v>
      </c>
      <c r="DQ187" s="14" t="str">
        <f t="shared" si="685"/>
        <v xml:space="preserve">wood processing(2), plastic processing(2), electronics(2), aesthetics(2),  </v>
      </c>
      <c r="DR187" s="14" t="str">
        <f t="shared" si="686"/>
        <v xml:space="preserve"> </v>
      </c>
      <c r="DS187" s="27" t="str">
        <f t="shared" si="651"/>
        <v xml:space="preserve"> </v>
      </c>
      <c r="DT187" s="14" t="str">
        <f t="shared" si="687"/>
        <v xml:space="preserve"> </v>
      </c>
      <c r="DU187" s="14" t="str">
        <f t="shared" si="688"/>
        <v xml:space="preserve"> </v>
      </c>
      <c r="DV187" s="14" t="str">
        <f t="shared" si="689"/>
        <v xml:space="preserve"> </v>
      </c>
      <c r="DW187" s="14" t="str">
        <f t="shared" si="690"/>
        <v xml:space="preserve"> </v>
      </c>
      <c r="DX187" s="14" t="str">
        <f t="shared" si="691"/>
        <v xml:space="preserve"> </v>
      </c>
      <c r="DY187" s="27" t="str">
        <f t="shared" si="651"/>
        <v xml:space="preserve"> </v>
      </c>
      <c r="DZ187" s="14" t="str">
        <f t="shared" si="692"/>
        <v xml:space="preserve"> </v>
      </c>
      <c r="EA187" s="14" t="str">
        <f t="shared" si="693"/>
        <v xml:space="preserve"> </v>
      </c>
      <c r="EB187" s="14" t="str">
        <f t="shared" si="694"/>
        <v xml:space="preserve"> </v>
      </c>
      <c r="EC187" s="14" t="str">
        <f t="shared" si="695"/>
        <v xml:space="preserve"> </v>
      </c>
      <c r="ED187" s="14" t="str">
        <f t="shared" si="696"/>
        <v xml:space="preserve"> </v>
      </c>
      <c r="EE187" s="27" t="str">
        <f t="shared" si="651"/>
        <v xml:space="preserve"> </v>
      </c>
      <c r="EF187" s="14" t="str">
        <f t="shared" si="697"/>
        <v xml:space="preserve"> </v>
      </c>
      <c r="EG187" s="14" t="str">
        <f t="shared" si="698"/>
        <v xml:space="preserve"> </v>
      </c>
      <c r="EH187" s="14" t="str">
        <f t="shared" si="699"/>
        <v xml:space="preserve"> </v>
      </c>
      <c r="EI187" s="14" t="str">
        <f t="shared" si="700"/>
        <v xml:space="preserve"> </v>
      </c>
      <c r="EJ187" s="14" t="str">
        <f t="shared" si="701"/>
        <v xml:space="preserve"> </v>
      </c>
      <c r="EK187" s="27" t="str">
        <f t="shared" si="651"/>
        <v xml:space="preserve"> </v>
      </c>
      <c r="EL187" s="14" t="str">
        <f t="shared" si="702"/>
        <v xml:space="preserve"> </v>
      </c>
      <c r="EM187" s="14" t="str">
        <f t="shared" si="703"/>
        <v xml:space="preserve"> </v>
      </c>
      <c r="EN187" s="14" t="str">
        <f t="shared" si="704"/>
        <v xml:space="preserve"> </v>
      </c>
      <c r="EO187" s="14" t="str">
        <f t="shared" si="705"/>
        <v xml:space="preserve"> </v>
      </c>
      <c r="EP187" s="14" t="str">
        <f t="shared" si="706"/>
        <v xml:space="preserve"> </v>
      </c>
      <c r="EQ187" s="27" t="str">
        <f t="shared" si="707"/>
        <v xml:space="preserve"> </v>
      </c>
      <c r="ER187" s="14" t="str">
        <f t="shared" si="708"/>
        <v xml:space="preserve"> </v>
      </c>
      <c r="ES187" s="14" t="str">
        <f t="shared" si="709"/>
        <v xml:space="preserve"> </v>
      </c>
      <c r="ET187" s="14" t="str">
        <f t="shared" si="710"/>
        <v xml:space="preserve"> </v>
      </c>
      <c r="EU187" s="14" t="str">
        <f t="shared" si="711"/>
        <v xml:space="preserve"> </v>
      </c>
      <c r="EV187" s="14" t="str">
        <f t="shared" si="712"/>
        <v xml:space="preserve"> </v>
      </c>
      <c r="EW187" s="27" t="str">
        <f t="shared" si="707"/>
        <v xml:space="preserve"> </v>
      </c>
      <c r="EX187" s="14" t="str">
        <f t="shared" si="713"/>
        <v xml:space="preserve"> </v>
      </c>
      <c r="EY187" s="14" t="str">
        <f t="shared" si="714"/>
        <v xml:space="preserve"> </v>
      </c>
      <c r="EZ187" s="14" t="str">
        <f t="shared" si="715"/>
        <v xml:space="preserve"> </v>
      </c>
      <c r="FA187" s="14" t="str">
        <f t="shared" si="716"/>
        <v xml:space="preserve"> </v>
      </c>
      <c r="FB187" s="14" t="str">
        <f t="shared" si="717"/>
        <v xml:space="preserve"> </v>
      </c>
      <c r="FC187" s="27" t="str">
        <f t="shared" si="707"/>
        <v xml:space="preserve"> </v>
      </c>
      <c r="FD187" s="14" t="str">
        <f t="shared" si="718"/>
        <v xml:space="preserve"> </v>
      </c>
      <c r="FE187" s="14" t="str">
        <f t="shared" si="719"/>
        <v xml:space="preserve"> </v>
      </c>
      <c r="FF187" s="14" t="str">
        <f t="shared" si="720"/>
        <v xml:space="preserve"> </v>
      </c>
      <c r="FG187" s="14" t="str">
        <f t="shared" si="721"/>
        <v xml:space="preserve"> </v>
      </c>
      <c r="FH187" s="14" t="str">
        <f t="shared" si="722"/>
        <v xml:space="preserve"> </v>
      </c>
      <c r="FI187" s="27" t="str">
        <f t="shared" si="707"/>
        <v xml:space="preserve"> </v>
      </c>
      <c r="FJ187" s="14" t="str">
        <f t="shared" si="723"/>
        <v xml:space="preserve"> </v>
      </c>
      <c r="FK187" s="14" t="str">
        <f t="shared" si="724"/>
        <v xml:space="preserve"> </v>
      </c>
      <c r="FL187" s="14" t="str">
        <f t="shared" si="725"/>
        <v xml:space="preserve"> </v>
      </c>
      <c r="FM187" s="14" t="str">
        <f t="shared" si="726"/>
        <v xml:space="preserve"> </v>
      </c>
      <c r="FN187" s="14" t="str">
        <f t="shared" si="727"/>
        <v xml:space="preserve"> </v>
      </c>
      <c r="FO187" s="27" t="str">
        <f t="shared" si="707"/>
        <v xml:space="preserve"> </v>
      </c>
      <c r="FP187" s="14" t="str">
        <f t="shared" si="728"/>
        <v xml:space="preserve"> </v>
      </c>
      <c r="FQ187" s="14" t="str">
        <f t="shared" si="729"/>
        <v xml:space="preserve"> </v>
      </c>
      <c r="FR187" s="14" t="str">
        <f t="shared" si="730"/>
        <v xml:space="preserve"> </v>
      </c>
      <c r="FS187" s="14" t="str">
        <f t="shared" si="731"/>
        <v xml:space="preserve"> </v>
      </c>
      <c r="FT187" s="14" t="str">
        <f t="shared" si="732"/>
        <v xml:space="preserve"> </v>
      </c>
      <c r="FU187" s="27" t="str">
        <f t="shared" si="707"/>
        <v xml:space="preserve"> </v>
      </c>
      <c r="FV187" s="14" t="str">
        <f t="shared" si="733"/>
        <v xml:space="preserve"> </v>
      </c>
      <c r="FW187" s="14" t="str">
        <f t="shared" si="734"/>
        <v xml:space="preserve"> </v>
      </c>
      <c r="FX187" s="14" t="str">
        <f t="shared" si="735"/>
        <v xml:space="preserve"> </v>
      </c>
      <c r="FY187" s="14" t="str">
        <f t="shared" si="736"/>
        <v xml:space="preserve"> </v>
      </c>
      <c r="FZ187" s="14" t="str">
        <f t="shared" si="737"/>
        <v xml:space="preserve"> </v>
      </c>
      <c r="GA187" s="27" t="str">
        <f t="shared" si="707"/>
        <v xml:space="preserve"> </v>
      </c>
      <c r="GB187" s="14" t="str">
        <f t="shared" si="738"/>
        <v xml:space="preserve"> </v>
      </c>
      <c r="GC187" s="14" t="str">
        <f t="shared" si="739"/>
        <v xml:space="preserve"> </v>
      </c>
      <c r="GD187" s="14" t="str">
        <f t="shared" si="740"/>
        <v xml:space="preserve"> </v>
      </c>
      <c r="GE187" s="14" t="str">
        <f t="shared" si="741"/>
        <v xml:space="preserve"> </v>
      </c>
      <c r="GF187" s="14" t="str">
        <f t="shared" si="742"/>
        <v xml:space="preserve"> </v>
      </c>
      <c r="GG187" s="27" t="str">
        <f t="shared" si="707"/>
        <v xml:space="preserve"> </v>
      </c>
      <c r="GH187" s="14" t="str">
        <f t="shared" si="743"/>
        <v xml:space="preserve"> </v>
      </c>
      <c r="GI187" s="14" t="str">
        <f t="shared" si="744"/>
        <v xml:space="preserve"> </v>
      </c>
      <c r="GJ187" s="14" t="str">
        <f t="shared" si="745"/>
        <v xml:space="preserve"> </v>
      </c>
      <c r="GK187" s="14" t="str">
        <f t="shared" si="746"/>
        <v xml:space="preserve"> </v>
      </c>
      <c r="GL187" s="14" t="str">
        <f t="shared" si="747"/>
        <v xml:space="preserve"> </v>
      </c>
      <c r="GM187" s="27" t="str">
        <f t="shared" si="707"/>
        <v xml:space="preserve"> </v>
      </c>
      <c r="GN187" s="14" t="str">
        <f t="shared" si="748"/>
        <v xml:space="preserve"> </v>
      </c>
      <c r="GO187" s="14" t="str">
        <f t="shared" si="749"/>
        <v xml:space="preserve"> </v>
      </c>
      <c r="GP187" s="14" t="str">
        <f t="shared" si="750"/>
        <v xml:space="preserve"> </v>
      </c>
      <c r="GQ187" s="14" t="str">
        <f t="shared" si="751"/>
        <v xml:space="preserve"> </v>
      </c>
      <c r="GR187" s="14" t="str">
        <f t="shared" si="752"/>
        <v xml:space="preserve"> </v>
      </c>
      <c r="GS187" s="27" t="str">
        <f t="shared" si="707"/>
        <v xml:space="preserve"> </v>
      </c>
      <c r="GT187" s="14" t="str">
        <f t="shared" si="753"/>
        <v xml:space="preserve"> </v>
      </c>
      <c r="GU187" s="14" t="str">
        <f t="shared" si="754"/>
        <v xml:space="preserve"> </v>
      </c>
      <c r="GV187" s="14" t="str">
        <f t="shared" si="755"/>
        <v xml:space="preserve"> </v>
      </c>
      <c r="GW187" s="14" t="str">
        <f t="shared" si="756"/>
        <v xml:space="preserve"> </v>
      </c>
      <c r="GX187" s="14" t="str">
        <f t="shared" si="757"/>
        <v xml:space="preserve"> </v>
      </c>
      <c r="GY187" s="27" t="str">
        <f t="shared" si="707"/>
        <v xml:space="preserve"> </v>
      </c>
      <c r="GZ187" s="14" t="str">
        <f t="shared" si="758"/>
        <v xml:space="preserve"> </v>
      </c>
      <c r="HA187" s="14" t="str">
        <f t="shared" si="759"/>
        <v xml:space="preserve"> </v>
      </c>
      <c r="HB187" s="14" t="str">
        <f t="shared" si="760"/>
        <v xml:space="preserve"> </v>
      </c>
      <c r="HC187" s="14" t="str">
        <f t="shared" si="761"/>
        <v xml:space="preserve"> </v>
      </c>
      <c r="HD187" s="14" t="str">
        <f t="shared" si="762"/>
        <v xml:space="preserve"> </v>
      </c>
      <c r="HE187" s="27" t="str">
        <f t="shared" si="763"/>
        <v xml:space="preserve"> </v>
      </c>
      <c r="HF187" s="14" t="str">
        <f t="shared" si="764"/>
        <v xml:space="preserve"> </v>
      </c>
      <c r="HG187" s="14" t="str">
        <f t="shared" si="765"/>
        <v xml:space="preserve"> </v>
      </c>
      <c r="HH187" s="14" t="str">
        <f t="shared" si="766"/>
        <v xml:space="preserve"> </v>
      </c>
      <c r="HI187" s="14" t="str">
        <f t="shared" si="767"/>
        <v xml:space="preserve"> </v>
      </c>
      <c r="HJ187" s="14" t="str">
        <f t="shared" si="768"/>
        <v xml:space="preserve"> </v>
      </c>
      <c r="HK187" s="27" t="str">
        <f t="shared" si="763"/>
        <v xml:space="preserve"> </v>
      </c>
      <c r="HL187" s="14" t="str">
        <f t="shared" si="769"/>
        <v xml:space="preserve"> </v>
      </c>
      <c r="HM187" s="14" t="str">
        <f t="shared" si="770"/>
        <v xml:space="preserve"> </v>
      </c>
      <c r="HN187" s="14" t="str">
        <f t="shared" si="771"/>
        <v xml:space="preserve"> </v>
      </c>
      <c r="HO187" s="14" t="str">
        <f t="shared" si="772"/>
        <v xml:space="preserve"> </v>
      </c>
      <c r="HP187" s="14" t="str">
        <f t="shared" si="773"/>
        <v xml:space="preserve"> </v>
      </c>
      <c r="HQ187" s="27" t="str">
        <f t="shared" si="763"/>
        <v xml:space="preserve"> </v>
      </c>
    </row>
    <row r="188" spans="1:225" ht="15.75" customHeight="1">
      <c r="A188" s="7">
        <f t="shared" ref="A188:C188" si="799">A80</f>
        <v>0</v>
      </c>
      <c r="B188" s="7" t="str">
        <f t="shared" si="799"/>
        <v>fab</v>
      </c>
      <c r="C188" s="7" t="str">
        <f t="shared" si="799"/>
        <v>wood processing</v>
      </c>
      <c r="D188" s="14" t="str">
        <f t="shared" si="775"/>
        <v xml:space="preserve"> </v>
      </c>
      <c r="E188" s="14" t="str">
        <f t="shared" si="776"/>
        <v xml:space="preserve"> </v>
      </c>
      <c r="F188" s="14" t="str">
        <f t="shared" si="777"/>
        <v xml:space="preserve"> </v>
      </c>
      <c r="G188" s="14" t="str">
        <f t="shared" si="778"/>
        <v xml:space="preserve"> </v>
      </c>
      <c r="H188" s="14" t="str">
        <f t="shared" si="779"/>
        <v xml:space="preserve"> </v>
      </c>
      <c r="I188" s="27" t="str">
        <f t="shared" ref="I188" si="800">IF(I80="",I189,$C188&amp;"("&amp;I80&amp;"),"&amp;I189)</f>
        <v xml:space="preserve"> </v>
      </c>
      <c r="J188" s="14" t="str">
        <f t="shared" si="590"/>
        <v xml:space="preserve"> </v>
      </c>
      <c r="K188" s="14" t="str">
        <f t="shared" si="591"/>
        <v xml:space="preserve"> </v>
      </c>
      <c r="L188" s="14" t="str">
        <f t="shared" si="592"/>
        <v xml:space="preserve"> </v>
      </c>
      <c r="M188" s="14" t="str">
        <f t="shared" si="593"/>
        <v xml:space="preserve"> </v>
      </c>
      <c r="N188" s="14" t="str">
        <f t="shared" si="594"/>
        <v xml:space="preserve"> </v>
      </c>
      <c r="O188" s="27" t="str">
        <f t="shared" si="595"/>
        <v xml:space="preserve"> </v>
      </c>
      <c r="P188" s="14" t="str">
        <f t="shared" si="596"/>
        <v xml:space="preserve"> </v>
      </c>
      <c r="Q188" s="14" t="str">
        <f t="shared" si="597"/>
        <v xml:space="preserve"> </v>
      </c>
      <c r="R188" s="14" t="str">
        <f t="shared" si="598"/>
        <v xml:space="preserve"> </v>
      </c>
      <c r="S188" s="14" t="str">
        <f t="shared" si="599"/>
        <v xml:space="preserve"> </v>
      </c>
      <c r="T188" s="14" t="str">
        <f t="shared" si="600"/>
        <v xml:space="preserve">aesthetics(-1,6.25%),  </v>
      </c>
      <c r="U188" s="27" t="str">
        <f t="shared" si="595"/>
        <v xml:space="preserve">aesthetics(6.25), </v>
      </c>
      <c r="V188" s="14" t="str">
        <f t="shared" si="601"/>
        <v xml:space="preserve"> </v>
      </c>
      <c r="W188" s="14" t="str">
        <f t="shared" si="602"/>
        <v xml:space="preserve"> </v>
      </c>
      <c r="X188" s="14" t="str">
        <f t="shared" si="603"/>
        <v xml:space="preserve"> </v>
      </c>
      <c r="Y188" s="14" t="str">
        <f t="shared" si="604"/>
        <v xml:space="preserve"> </v>
      </c>
      <c r="Z188" s="14" t="str">
        <f t="shared" si="605"/>
        <v xml:space="preserve"> </v>
      </c>
      <c r="AA188" s="27" t="str">
        <f t="shared" si="595"/>
        <v xml:space="preserve"> </v>
      </c>
      <c r="AB188" s="14" t="str">
        <f t="shared" si="606"/>
        <v xml:space="preserve"> </v>
      </c>
      <c r="AC188" s="14" t="str">
        <f t="shared" si="607"/>
        <v xml:space="preserve"> </v>
      </c>
      <c r="AD188" s="14" t="str">
        <f t="shared" si="608"/>
        <v xml:space="preserve"> </v>
      </c>
      <c r="AE188" s="14" t="str">
        <f t="shared" si="609"/>
        <v xml:space="preserve"> </v>
      </c>
      <c r="AF188" s="14" t="str">
        <f t="shared" si="610"/>
        <v xml:space="preserve"> </v>
      </c>
      <c r="AG188" s="27" t="str">
        <f t="shared" si="595"/>
        <v xml:space="preserve"> </v>
      </c>
      <c r="AH188" s="14" t="str">
        <f t="shared" si="611"/>
        <v xml:space="preserve"> </v>
      </c>
      <c r="AI188" s="14" t="str">
        <f t="shared" si="612"/>
        <v xml:space="preserve"> </v>
      </c>
      <c r="AJ188" s="14" t="str">
        <f t="shared" si="613"/>
        <v xml:space="preserve"> </v>
      </c>
      <c r="AK188" s="14" t="str">
        <f t="shared" si="614"/>
        <v xml:space="preserve"> </v>
      </c>
      <c r="AL188" s="14" t="str">
        <f t="shared" si="615"/>
        <v xml:space="preserve"> </v>
      </c>
      <c r="AM188" s="27" t="str">
        <f t="shared" si="595"/>
        <v xml:space="preserve"> </v>
      </c>
      <c r="AN188" s="14" t="str">
        <f t="shared" si="616"/>
        <v xml:space="preserve"> </v>
      </c>
      <c r="AO188" s="14" t="str">
        <f t="shared" si="617"/>
        <v xml:space="preserve"> </v>
      </c>
      <c r="AP188" s="14" t="str">
        <f t="shared" si="618"/>
        <v xml:space="preserve"> </v>
      </c>
      <c r="AQ188" s="14" t="str">
        <f t="shared" si="619"/>
        <v xml:space="preserve"> </v>
      </c>
      <c r="AR188" s="14" t="str">
        <f t="shared" si="620"/>
        <v xml:space="preserve"> </v>
      </c>
      <c r="AS188" s="27" t="str">
        <f t="shared" si="595"/>
        <v xml:space="preserve"> </v>
      </c>
      <c r="AT188" s="14" t="str">
        <f t="shared" si="621"/>
        <v xml:space="preserve"> </v>
      </c>
      <c r="AU188" s="14" t="str">
        <f t="shared" si="622"/>
        <v xml:space="preserve"> </v>
      </c>
      <c r="AV188" s="14" t="str">
        <f t="shared" si="623"/>
        <v xml:space="preserve"> </v>
      </c>
      <c r="AW188" s="14" t="str">
        <f t="shared" si="624"/>
        <v xml:space="preserve"> </v>
      </c>
      <c r="AX188" s="14" t="str">
        <f t="shared" si="625"/>
        <v xml:space="preserve"> </v>
      </c>
      <c r="AY188" s="27" t="str">
        <f t="shared" si="595"/>
        <v xml:space="preserve"> </v>
      </c>
      <c r="AZ188" s="14" t="str">
        <f t="shared" si="626"/>
        <v xml:space="preserve"> </v>
      </c>
      <c r="BA188" s="14" t="str">
        <f t="shared" si="627"/>
        <v xml:space="preserve"> </v>
      </c>
      <c r="BB188" s="14" t="str">
        <f t="shared" si="628"/>
        <v xml:space="preserve"> </v>
      </c>
      <c r="BC188" s="14" t="str">
        <f t="shared" si="629"/>
        <v xml:space="preserve"> </v>
      </c>
      <c r="BD188" s="14" t="str">
        <f t="shared" si="630"/>
        <v xml:space="preserve"> </v>
      </c>
      <c r="BE188" s="27" t="str">
        <f t="shared" si="595"/>
        <v xml:space="preserve"> </v>
      </c>
      <c r="BF188" s="14" t="str">
        <f t="shared" si="631"/>
        <v xml:space="preserve"> </v>
      </c>
      <c r="BG188" s="14" t="str">
        <f t="shared" si="632"/>
        <v xml:space="preserve"> </v>
      </c>
      <c r="BH188" s="14" t="str">
        <f t="shared" si="633"/>
        <v xml:space="preserve"> </v>
      </c>
      <c r="BI188" s="14" t="str">
        <f t="shared" si="634"/>
        <v xml:space="preserve"> </v>
      </c>
      <c r="BJ188" s="14" t="str">
        <f t="shared" si="635"/>
        <v xml:space="preserve"> </v>
      </c>
      <c r="BK188" s="27" t="str">
        <f t="shared" si="595"/>
        <v xml:space="preserve"> </v>
      </c>
      <c r="BL188" s="14" t="str">
        <f t="shared" si="636"/>
        <v xml:space="preserve">aesthetics(1)
 </v>
      </c>
      <c r="BM188" s="14" t="str">
        <f t="shared" si="637"/>
        <v xml:space="preserve">biz enhancement(1,%),  </v>
      </c>
      <c r="BN188" s="14" t="str">
        <f t="shared" si="638"/>
        <v xml:space="preserve"> </v>
      </c>
      <c r="BO188" s="14" t="str">
        <f t="shared" si="639"/>
        <v xml:space="preserve">aesthetics(2), functions(1), safety(1),  </v>
      </c>
      <c r="BP188" s="14" t="str">
        <f t="shared" si="640"/>
        <v xml:space="preserve"> </v>
      </c>
      <c r="BQ188" s="27" t="str">
        <f t="shared" si="595"/>
        <v xml:space="preserve"> </v>
      </c>
      <c r="BR188" s="14" t="str">
        <f t="shared" si="641"/>
        <v xml:space="preserve">aesthetics(1)
 </v>
      </c>
      <c r="BS188" s="14" t="str">
        <f t="shared" si="642"/>
        <v xml:space="preserve">biz project(1,%),  </v>
      </c>
      <c r="BT188" s="14" t="str">
        <f t="shared" si="643"/>
        <v xml:space="preserve"> </v>
      </c>
      <c r="BU188" s="14" t="str">
        <f t="shared" si="644"/>
        <v xml:space="preserve">wood processing(1), aesthetics(2),  </v>
      </c>
      <c r="BV188" s="14" t="str">
        <f t="shared" si="645"/>
        <v xml:space="preserve"> </v>
      </c>
      <c r="BW188" s="27" t="str">
        <f t="shared" si="595"/>
        <v xml:space="preserve"> </v>
      </c>
      <c r="BX188" s="14" t="str">
        <f t="shared" si="646"/>
        <v xml:space="preserve">aesthetics(1)
interaction(1)
 </v>
      </c>
      <c r="BY188" s="14" t="str">
        <f t="shared" si="647"/>
        <v xml:space="preserve">biz project(1,%),  </v>
      </c>
      <c r="BZ188" s="14" t="str">
        <f t="shared" si="648"/>
        <v xml:space="preserve"> </v>
      </c>
      <c r="CA188" s="14" t="str">
        <f t="shared" si="649"/>
        <v xml:space="preserve">aesthetics(2), functions(1), interaction(2),  </v>
      </c>
      <c r="CB188" s="14" t="str">
        <f t="shared" si="650"/>
        <v xml:space="preserve"> </v>
      </c>
      <c r="CC188" s="27" t="str">
        <f t="shared" si="651"/>
        <v xml:space="preserve"> </v>
      </c>
      <c r="CD188" s="14" t="str">
        <f t="shared" si="652"/>
        <v xml:space="preserve">aesthetics(1)
 </v>
      </c>
      <c r="CE188" s="14" t="str">
        <f t="shared" si="653"/>
        <v xml:space="preserve">biz project(1,%),  </v>
      </c>
      <c r="CF188" s="14" t="str">
        <f t="shared" si="654"/>
        <v xml:space="preserve"> </v>
      </c>
      <c r="CG188" s="14" t="str">
        <f t="shared" si="655"/>
        <v xml:space="preserve">aesthetics(2), functions(1), interaction(2),  </v>
      </c>
      <c r="CH188" s="14" t="str">
        <f t="shared" si="656"/>
        <v xml:space="preserve"> </v>
      </c>
      <c r="CI188" s="27" t="str">
        <f t="shared" si="651"/>
        <v xml:space="preserve"> </v>
      </c>
      <c r="CJ188" s="14" t="str">
        <f t="shared" si="657"/>
        <v xml:space="preserve">aesthetics(1)
 </v>
      </c>
      <c r="CK188" s="14" t="str">
        <f t="shared" si="658"/>
        <v xml:space="preserve">biz project(1,%),  </v>
      </c>
      <c r="CL188" s="14" t="str">
        <f t="shared" si="659"/>
        <v xml:space="preserve"> </v>
      </c>
      <c r="CM188" s="14" t="str">
        <f t="shared" si="660"/>
        <v xml:space="preserve">aesthetics(2), functions(1), interaction(2),  </v>
      </c>
      <c r="CN188" s="14" t="str">
        <f t="shared" si="661"/>
        <v xml:space="preserve"> </v>
      </c>
      <c r="CO188" s="27" t="str">
        <f t="shared" si="651"/>
        <v xml:space="preserve"> </v>
      </c>
      <c r="CP188" s="14" t="str">
        <f t="shared" si="662"/>
        <v xml:space="preserve">metal processing(1)
functions(1)
 </v>
      </c>
      <c r="CQ188" s="14" t="str">
        <f t="shared" si="663"/>
        <v xml:space="preserve">biz enhancement(1,50%),  </v>
      </c>
      <c r="CR188" s="14" t="str">
        <f t="shared" si="664"/>
        <v xml:space="preserve">biz enhancement(50)
 </v>
      </c>
      <c r="CS188" s="14" t="str">
        <f t="shared" si="665"/>
        <v xml:space="preserve">metal processing(2), electronics(2), aesthetics(2), functions(2), safety(2),  </v>
      </c>
      <c r="CT188" s="14" t="str">
        <f t="shared" si="666"/>
        <v xml:space="preserve"> </v>
      </c>
      <c r="CU188" s="27" t="str">
        <f t="shared" si="651"/>
        <v xml:space="preserve"> </v>
      </c>
      <c r="CV188" s="14" t="str">
        <f t="shared" si="667"/>
        <v xml:space="preserve">wood processing(1)
aesthetics(1)
interaction(1)
 </v>
      </c>
      <c r="CW188" s="14" t="str">
        <f t="shared" si="668"/>
        <v xml:space="preserve">social project(1,50%),  </v>
      </c>
      <c r="CX188" s="14" t="str">
        <f t="shared" si="669"/>
        <v xml:space="preserve">social project(50)
 </v>
      </c>
      <c r="CY188" s="14" t="str">
        <f t="shared" si="670"/>
        <v xml:space="preserve">wood processing(2), plastic processing(2), electronics(2), aesthetics(2), functions(1), safety(1), interaction(2),  </v>
      </c>
      <c r="CZ188" s="14" t="str">
        <f t="shared" si="671"/>
        <v xml:space="preserve"> </v>
      </c>
      <c r="DA188" s="27" t="str">
        <f t="shared" si="651"/>
        <v xml:space="preserve"> </v>
      </c>
      <c r="DB188" s="14" t="str">
        <f t="shared" si="672"/>
        <v xml:space="preserve">aesthetics(1)
interaction(1)
 </v>
      </c>
      <c r="DC188" s="14" t="str">
        <f t="shared" si="673"/>
        <v xml:space="preserve">social project(1,50%),  </v>
      </c>
      <c r="DD188" s="14" t="str">
        <f t="shared" si="674"/>
        <v xml:space="preserve">social project(50)
 </v>
      </c>
      <c r="DE188" s="14" t="str">
        <f t="shared" si="675"/>
        <v xml:space="preserve"> </v>
      </c>
      <c r="DF188" s="14" t="str">
        <f t="shared" si="676"/>
        <v xml:space="preserve"> </v>
      </c>
      <c r="DG188" s="27" t="str">
        <f t="shared" si="651"/>
        <v xml:space="preserve"> </v>
      </c>
      <c r="DH188" s="14" t="str">
        <f t="shared" si="677"/>
        <v xml:space="preserve">wood processing(1)
aesthetics(1)
safety(1)
 </v>
      </c>
      <c r="DI188" s="14" t="str">
        <f t="shared" si="678"/>
        <v xml:space="preserve">social project(1,100%),  </v>
      </c>
      <c r="DJ188" s="14" t="str">
        <f t="shared" si="679"/>
        <v xml:space="preserve">social project(100)
 </v>
      </c>
      <c r="DK188" s="14" t="str">
        <f t="shared" si="680"/>
        <v xml:space="preserve">wood processing(2), metal processing(2), plastic processing(2), electronics(2), fabric(1), aesthetics(1), functions(2), safety(2), interaction(2),  </v>
      </c>
      <c r="DL188" s="14" t="str">
        <f t="shared" si="681"/>
        <v xml:space="preserve"> </v>
      </c>
      <c r="DM188" s="27" t="str">
        <f t="shared" si="651"/>
        <v xml:space="preserve"> </v>
      </c>
      <c r="DN188" s="14" t="str">
        <f t="shared" si="682"/>
        <v xml:space="preserve">wood processing(1)
plastic processing(1)
electronics(1)
aesthetics(2)
functions(1)
safety(1)
biz project(1)
 </v>
      </c>
      <c r="DO188" s="14" t="str">
        <f t="shared" si="683"/>
        <v xml:space="preserve"> </v>
      </c>
      <c r="DP188" s="14" t="str">
        <f t="shared" si="684"/>
        <v xml:space="preserve"> </v>
      </c>
      <c r="DQ188" s="14" t="str">
        <f t="shared" si="685"/>
        <v xml:space="preserve">wood processing(2), plastic processing(2), electronics(2), aesthetics(2),  </v>
      </c>
      <c r="DR188" s="14" t="str">
        <f t="shared" si="686"/>
        <v xml:space="preserve"> </v>
      </c>
      <c r="DS188" s="27" t="str">
        <f t="shared" si="651"/>
        <v xml:space="preserve"> </v>
      </c>
      <c r="DT188" s="14" t="str">
        <f t="shared" si="687"/>
        <v xml:space="preserve"> </v>
      </c>
      <c r="DU188" s="14" t="str">
        <f t="shared" si="688"/>
        <v xml:space="preserve"> </v>
      </c>
      <c r="DV188" s="14" t="str">
        <f t="shared" si="689"/>
        <v xml:space="preserve"> </v>
      </c>
      <c r="DW188" s="14" t="str">
        <f t="shared" si="690"/>
        <v xml:space="preserve"> </v>
      </c>
      <c r="DX188" s="14" t="str">
        <f t="shared" si="691"/>
        <v xml:space="preserve"> </v>
      </c>
      <c r="DY188" s="27" t="str">
        <f t="shared" si="651"/>
        <v xml:space="preserve"> </v>
      </c>
      <c r="DZ188" s="14" t="str">
        <f t="shared" si="692"/>
        <v xml:space="preserve"> </v>
      </c>
      <c r="EA188" s="14" t="str">
        <f t="shared" si="693"/>
        <v xml:space="preserve"> </v>
      </c>
      <c r="EB188" s="14" t="str">
        <f t="shared" si="694"/>
        <v xml:space="preserve"> </v>
      </c>
      <c r="EC188" s="14" t="str">
        <f t="shared" si="695"/>
        <v xml:space="preserve"> </v>
      </c>
      <c r="ED188" s="14" t="str">
        <f t="shared" si="696"/>
        <v xml:space="preserve"> </v>
      </c>
      <c r="EE188" s="27" t="str">
        <f t="shared" si="651"/>
        <v xml:space="preserve"> </v>
      </c>
      <c r="EF188" s="14" t="str">
        <f t="shared" si="697"/>
        <v xml:space="preserve"> </v>
      </c>
      <c r="EG188" s="14" t="str">
        <f t="shared" si="698"/>
        <v xml:space="preserve"> </v>
      </c>
      <c r="EH188" s="14" t="str">
        <f t="shared" si="699"/>
        <v xml:space="preserve"> </v>
      </c>
      <c r="EI188" s="14" t="str">
        <f t="shared" si="700"/>
        <v xml:space="preserve"> </v>
      </c>
      <c r="EJ188" s="14" t="str">
        <f t="shared" si="701"/>
        <v xml:space="preserve"> </v>
      </c>
      <c r="EK188" s="27" t="str">
        <f t="shared" si="651"/>
        <v xml:space="preserve"> </v>
      </c>
      <c r="EL188" s="14" t="str">
        <f t="shared" si="702"/>
        <v xml:space="preserve"> </v>
      </c>
      <c r="EM188" s="14" t="str">
        <f t="shared" si="703"/>
        <v xml:space="preserve"> </v>
      </c>
      <c r="EN188" s="14" t="str">
        <f t="shared" si="704"/>
        <v xml:space="preserve"> </v>
      </c>
      <c r="EO188" s="14" t="str">
        <f t="shared" si="705"/>
        <v xml:space="preserve"> </v>
      </c>
      <c r="EP188" s="14" t="str">
        <f t="shared" si="706"/>
        <v xml:space="preserve"> </v>
      </c>
      <c r="EQ188" s="27" t="str">
        <f t="shared" si="707"/>
        <v xml:space="preserve"> </v>
      </c>
      <c r="ER188" s="14" t="str">
        <f t="shared" si="708"/>
        <v xml:space="preserve"> </v>
      </c>
      <c r="ES188" s="14" t="str">
        <f t="shared" si="709"/>
        <v xml:space="preserve"> </v>
      </c>
      <c r="ET188" s="14" t="str">
        <f t="shared" si="710"/>
        <v xml:space="preserve"> </v>
      </c>
      <c r="EU188" s="14" t="str">
        <f t="shared" si="711"/>
        <v xml:space="preserve"> </v>
      </c>
      <c r="EV188" s="14" t="str">
        <f t="shared" si="712"/>
        <v xml:space="preserve"> </v>
      </c>
      <c r="EW188" s="27" t="str">
        <f t="shared" si="707"/>
        <v xml:space="preserve"> </v>
      </c>
      <c r="EX188" s="14" t="str">
        <f t="shared" si="713"/>
        <v xml:space="preserve"> </v>
      </c>
      <c r="EY188" s="14" t="str">
        <f t="shared" si="714"/>
        <v xml:space="preserve"> </v>
      </c>
      <c r="EZ188" s="14" t="str">
        <f t="shared" si="715"/>
        <v xml:space="preserve"> </v>
      </c>
      <c r="FA188" s="14" t="str">
        <f t="shared" si="716"/>
        <v xml:space="preserve"> </v>
      </c>
      <c r="FB188" s="14" t="str">
        <f t="shared" si="717"/>
        <v xml:space="preserve"> </v>
      </c>
      <c r="FC188" s="27" t="str">
        <f t="shared" si="707"/>
        <v xml:space="preserve"> </v>
      </c>
      <c r="FD188" s="14" t="str">
        <f t="shared" si="718"/>
        <v xml:space="preserve"> </v>
      </c>
      <c r="FE188" s="14" t="str">
        <f t="shared" si="719"/>
        <v xml:space="preserve"> </v>
      </c>
      <c r="FF188" s="14" t="str">
        <f t="shared" si="720"/>
        <v xml:space="preserve"> </v>
      </c>
      <c r="FG188" s="14" t="str">
        <f t="shared" si="721"/>
        <v xml:space="preserve"> </v>
      </c>
      <c r="FH188" s="14" t="str">
        <f t="shared" si="722"/>
        <v xml:space="preserve"> </v>
      </c>
      <c r="FI188" s="27" t="str">
        <f t="shared" si="707"/>
        <v xml:space="preserve"> </v>
      </c>
      <c r="FJ188" s="14" t="str">
        <f t="shared" si="723"/>
        <v xml:space="preserve"> </v>
      </c>
      <c r="FK188" s="14" t="str">
        <f t="shared" si="724"/>
        <v xml:space="preserve"> </v>
      </c>
      <c r="FL188" s="14" t="str">
        <f t="shared" si="725"/>
        <v xml:space="preserve"> </v>
      </c>
      <c r="FM188" s="14" t="str">
        <f t="shared" si="726"/>
        <v xml:space="preserve"> </v>
      </c>
      <c r="FN188" s="14" t="str">
        <f t="shared" si="727"/>
        <v xml:space="preserve"> </v>
      </c>
      <c r="FO188" s="27" t="str">
        <f t="shared" si="707"/>
        <v xml:space="preserve"> </v>
      </c>
      <c r="FP188" s="14" t="str">
        <f t="shared" si="728"/>
        <v xml:space="preserve"> </v>
      </c>
      <c r="FQ188" s="14" t="str">
        <f t="shared" si="729"/>
        <v xml:space="preserve"> </v>
      </c>
      <c r="FR188" s="14" t="str">
        <f t="shared" si="730"/>
        <v xml:space="preserve"> </v>
      </c>
      <c r="FS188" s="14" t="str">
        <f t="shared" si="731"/>
        <v xml:space="preserve"> </v>
      </c>
      <c r="FT188" s="14" t="str">
        <f t="shared" si="732"/>
        <v xml:space="preserve"> </v>
      </c>
      <c r="FU188" s="27" t="str">
        <f t="shared" si="707"/>
        <v xml:space="preserve"> </v>
      </c>
      <c r="FV188" s="14" t="str">
        <f t="shared" si="733"/>
        <v xml:space="preserve"> </v>
      </c>
      <c r="FW188" s="14" t="str">
        <f t="shared" si="734"/>
        <v xml:space="preserve"> </v>
      </c>
      <c r="FX188" s="14" t="str">
        <f t="shared" si="735"/>
        <v xml:space="preserve"> </v>
      </c>
      <c r="FY188" s="14" t="str">
        <f t="shared" si="736"/>
        <v xml:space="preserve"> </v>
      </c>
      <c r="FZ188" s="14" t="str">
        <f t="shared" si="737"/>
        <v xml:space="preserve"> </v>
      </c>
      <c r="GA188" s="27" t="str">
        <f t="shared" si="707"/>
        <v xml:space="preserve"> </v>
      </c>
      <c r="GB188" s="14" t="str">
        <f t="shared" si="738"/>
        <v xml:space="preserve"> </v>
      </c>
      <c r="GC188" s="14" t="str">
        <f t="shared" si="739"/>
        <v xml:space="preserve"> </v>
      </c>
      <c r="GD188" s="14" t="str">
        <f t="shared" si="740"/>
        <v xml:space="preserve"> </v>
      </c>
      <c r="GE188" s="14" t="str">
        <f t="shared" si="741"/>
        <v xml:space="preserve"> </v>
      </c>
      <c r="GF188" s="14" t="str">
        <f t="shared" si="742"/>
        <v xml:space="preserve"> </v>
      </c>
      <c r="GG188" s="27" t="str">
        <f t="shared" si="707"/>
        <v xml:space="preserve"> </v>
      </c>
      <c r="GH188" s="14" t="str">
        <f t="shared" si="743"/>
        <v xml:space="preserve"> </v>
      </c>
      <c r="GI188" s="14" t="str">
        <f t="shared" si="744"/>
        <v xml:space="preserve"> </v>
      </c>
      <c r="GJ188" s="14" t="str">
        <f t="shared" si="745"/>
        <v xml:space="preserve"> </v>
      </c>
      <c r="GK188" s="14" t="str">
        <f t="shared" si="746"/>
        <v xml:space="preserve"> </v>
      </c>
      <c r="GL188" s="14" t="str">
        <f t="shared" si="747"/>
        <v xml:space="preserve"> </v>
      </c>
      <c r="GM188" s="27" t="str">
        <f t="shared" si="707"/>
        <v xml:space="preserve"> </v>
      </c>
      <c r="GN188" s="14" t="str">
        <f t="shared" si="748"/>
        <v xml:space="preserve"> </v>
      </c>
      <c r="GO188" s="14" t="str">
        <f t="shared" si="749"/>
        <v xml:space="preserve"> </v>
      </c>
      <c r="GP188" s="14" t="str">
        <f t="shared" si="750"/>
        <v xml:space="preserve"> </v>
      </c>
      <c r="GQ188" s="14" t="str">
        <f t="shared" si="751"/>
        <v xml:space="preserve"> </v>
      </c>
      <c r="GR188" s="14" t="str">
        <f t="shared" si="752"/>
        <v xml:space="preserve"> </v>
      </c>
      <c r="GS188" s="27" t="str">
        <f t="shared" si="707"/>
        <v xml:space="preserve"> </v>
      </c>
      <c r="GT188" s="14" t="str">
        <f t="shared" si="753"/>
        <v xml:space="preserve"> </v>
      </c>
      <c r="GU188" s="14" t="str">
        <f t="shared" si="754"/>
        <v xml:space="preserve"> </v>
      </c>
      <c r="GV188" s="14" t="str">
        <f t="shared" si="755"/>
        <v xml:space="preserve"> </v>
      </c>
      <c r="GW188" s="14" t="str">
        <f t="shared" si="756"/>
        <v xml:space="preserve"> </v>
      </c>
      <c r="GX188" s="14" t="str">
        <f t="shared" si="757"/>
        <v xml:space="preserve"> </v>
      </c>
      <c r="GY188" s="27" t="str">
        <f t="shared" si="707"/>
        <v xml:space="preserve"> </v>
      </c>
      <c r="GZ188" s="14" t="str">
        <f t="shared" si="758"/>
        <v xml:space="preserve"> </v>
      </c>
      <c r="HA188" s="14" t="str">
        <f t="shared" si="759"/>
        <v xml:space="preserve"> </v>
      </c>
      <c r="HB188" s="14" t="str">
        <f t="shared" si="760"/>
        <v xml:space="preserve"> </v>
      </c>
      <c r="HC188" s="14" t="str">
        <f t="shared" si="761"/>
        <v xml:space="preserve"> </v>
      </c>
      <c r="HD188" s="14" t="str">
        <f t="shared" si="762"/>
        <v xml:space="preserve"> </v>
      </c>
      <c r="HE188" s="27" t="str">
        <f t="shared" si="763"/>
        <v xml:space="preserve"> </v>
      </c>
      <c r="HF188" s="14" t="str">
        <f t="shared" si="764"/>
        <v xml:space="preserve"> </v>
      </c>
      <c r="HG188" s="14" t="str">
        <f t="shared" si="765"/>
        <v xml:space="preserve"> </v>
      </c>
      <c r="HH188" s="14" t="str">
        <f t="shared" si="766"/>
        <v xml:space="preserve"> </v>
      </c>
      <c r="HI188" s="14" t="str">
        <f t="shared" si="767"/>
        <v xml:space="preserve"> </v>
      </c>
      <c r="HJ188" s="14" t="str">
        <f t="shared" si="768"/>
        <v xml:space="preserve"> </v>
      </c>
      <c r="HK188" s="27" t="str">
        <f t="shared" si="763"/>
        <v xml:space="preserve"> </v>
      </c>
      <c r="HL188" s="14" t="str">
        <f t="shared" si="769"/>
        <v xml:space="preserve"> </v>
      </c>
      <c r="HM188" s="14" t="str">
        <f t="shared" si="770"/>
        <v xml:space="preserve"> </v>
      </c>
      <c r="HN188" s="14" t="str">
        <f t="shared" si="771"/>
        <v xml:space="preserve"> </v>
      </c>
      <c r="HO188" s="14" t="str">
        <f t="shared" si="772"/>
        <v xml:space="preserve"> </v>
      </c>
      <c r="HP188" s="14" t="str">
        <f t="shared" si="773"/>
        <v xml:space="preserve"> </v>
      </c>
      <c r="HQ188" s="27" t="str">
        <f t="shared" si="763"/>
        <v xml:space="preserve"> </v>
      </c>
    </row>
    <row r="189" spans="1:225" ht="15.75" customHeight="1">
      <c r="A189" s="7">
        <f t="shared" ref="A189:C189" si="801">A81</f>
        <v>0</v>
      </c>
      <c r="B189" s="7">
        <f t="shared" si="801"/>
        <v>0</v>
      </c>
      <c r="C189" s="7" t="str">
        <f t="shared" si="801"/>
        <v>metal processing</v>
      </c>
      <c r="D189" s="14" t="str">
        <f t="shared" si="775"/>
        <v xml:space="preserve"> </v>
      </c>
      <c r="E189" s="14" t="str">
        <f t="shared" si="776"/>
        <v xml:space="preserve"> </v>
      </c>
      <c r="F189" s="14" t="str">
        <f t="shared" si="777"/>
        <v xml:space="preserve"> </v>
      </c>
      <c r="G189" s="14" t="str">
        <f t="shared" si="778"/>
        <v xml:space="preserve"> </v>
      </c>
      <c r="H189" s="14" t="str">
        <f t="shared" si="779"/>
        <v xml:space="preserve"> </v>
      </c>
      <c r="I189" s="27" t="str">
        <f t="shared" ref="I189" si="802">IF(I81="",I190,$C189&amp;"("&amp;I81&amp;"),"&amp;I190)</f>
        <v xml:space="preserve"> </v>
      </c>
      <c r="J189" s="14" t="str">
        <f t="shared" si="590"/>
        <v xml:space="preserve"> </v>
      </c>
      <c r="K189" s="14" t="str">
        <f t="shared" si="591"/>
        <v xml:space="preserve"> </v>
      </c>
      <c r="L189" s="14" t="str">
        <f t="shared" si="592"/>
        <v xml:space="preserve"> </v>
      </c>
      <c r="M189" s="14" t="str">
        <f t="shared" si="593"/>
        <v xml:space="preserve"> </v>
      </c>
      <c r="N189" s="14" t="str">
        <f t="shared" si="594"/>
        <v xml:space="preserve"> </v>
      </c>
      <c r="O189" s="27" t="str">
        <f t="shared" si="595"/>
        <v xml:space="preserve"> </v>
      </c>
      <c r="P189" s="14" t="str">
        <f t="shared" si="596"/>
        <v xml:space="preserve"> </v>
      </c>
      <c r="Q189" s="14" t="str">
        <f t="shared" si="597"/>
        <v xml:space="preserve"> </v>
      </c>
      <c r="R189" s="14" t="str">
        <f t="shared" si="598"/>
        <v xml:space="preserve"> </v>
      </c>
      <c r="S189" s="14" t="str">
        <f t="shared" si="599"/>
        <v xml:space="preserve"> </v>
      </c>
      <c r="T189" s="14" t="str">
        <f t="shared" si="600"/>
        <v xml:space="preserve">aesthetics(-1,6.25%),  </v>
      </c>
      <c r="U189" s="27" t="str">
        <f t="shared" si="595"/>
        <v xml:space="preserve">aesthetics(6.25), </v>
      </c>
      <c r="V189" s="14" t="str">
        <f t="shared" si="601"/>
        <v xml:space="preserve"> </v>
      </c>
      <c r="W189" s="14" t="str">
        <f t="shared" si="602"/>
        <v xml:space="preserve"> </v>
      </c>
      <c r="X189" s="14" t="str">
        <f t="shared" si="603"/>
        <v xml:space="preserve"> </v>
      </c>
      <c r="Y189" s="14" t="str">
        <f t="shared" si="604"/>
        <v xml:space="preserve"> </v>
      </c>
      <c r="Z189" s="14" t="str">
        <f t="shared" si="605"/>
        <v xml:space="preserve"> </v>
      </c>
      <c r="AA189" s="27" t="str">
        <f t="shared" si="595"/>
        <v xml:space="preserve"> </v>
      </c>
      <c r="AB189" s="14" t="str">
        <f t="shared" si="606"/>
        <v xml:space="preserve"> </v>
      </c>
      <c r="AC189" s="14" t="str">
        <f t="shared" si="607"/>
        <v xml:space="preserve"> </v>
      </c>
      <c r="AD189" s="14" t="str">
        <f t="shared" si="608"/>
        <v xml:space="preserve"> </v>
      </c>
      <c r="AE189" s="14" t="str">
        <f t="shared" si="609"/>
        <v xml:space="preserve"> </v>
      </c>
      <c r="AF189" s="14" t="str">
        <f t="shared" si="610"/>
        <v xml:space="preserve"> </v>
      </c>
      <c r="AG189" s="27" t="str">
        <f t="shared" si="595"/>
        <v xml:space="preserve"> </v>
      </c>
      <c r="AH189" s="14" t="str">
        <f t="shared" si="611"/>
        <v xml:space="preserve"> </v>
      </c>
      <c r="AI189" s="14" t="str">
        <f t="shared" si="612"/>
        <v xml:space="preserve"> </v>
      </c>
      <c r="AJ189" s="14" t="str">
        <f t="shared" si="613"/>
        <v xml:space="preserve"> </v>
      </c>
      <c r="AK189" s="14" t="str">
        <f t="shared" si="614"/>
        <v xml:space="preserve"> </v>
      </c>
      <c r="AL189" s="14" t="str">
        <f t="shared" si="615"/>
        <v xml:space="preserve"> </v>
      </c>
      <c r="AM189" s="27" t="str">
        <f t="shared" si="595"/>
        <v xml:space="preserve"> </v>
      </c>
      <c r="AN189" s="14" t="str">
        <f t="shared" si="616"/>
        <v xml:space="preserve"> </v>
      </c>
      <c r="AO189" s="14" t="str">
        <f t="shared" si="617"/>
        <v xml:space="preserve"> </v>
      </c>
      <c r="AP189" s="14" t="str">
        <f t="shared" si="618"/>
        <v xml:space="preserve"> </v>
      </c>
      <c r="AQ189" s="14" t="str">
        <f t="shared" si="619"/>
        <v xml:space="preserve"> </v>
      </c>
      <c r="AR189" s="14" t="str">
        <f t="shared" si="620"/>
        <v xml:space="preserve"> </v>
      </c>
      <c r="AS189" s="27" t="str">
        <f t="shared" si="595"/>
        <v xml:space="preserve"> </v>
      </c>
      <c r="AT189" s="14" t="str">
        <f t="shared" si="621"/>
        <v xml:space="preserve"> </v>
      </c>
      <c r="AU189" s="14" t="str">
        <f t="shared" si="622"/>
        <v xml:space="preserve"> </v>
      </c>
      <c r="AV189" s="14" t="str">
        <f t="shared" si="623"/>
        <v xml:space="preserve"> </v>
      </c>
      <c r="AW189" s="14" t="str">
        <f t="shared" si="624"/>
        <v xml:space="preserve"> </v>
      </c>
      <c r="AX189" s="14" t="str">
        <f t="shared" si="625"/>
        <v xml:space="preserve"> </v>
      </c>
      <c r="AY189" s="27" t="str">
        <f t="shared" si="595"/>
        <v xml:space="preserve"> </v>
      </c>
      <c r="AZ189" s="14" t="str">
        <f t="shared" si="626"/>
        <v xml:space="preserve"> </v>
      </c>
      <c r="BA189" s="14" t="str">
        <f t="shared" si="627"/>
        <v xml:space="preserve"> </v>
      </c>
      <c r="BB189" s="14" t="str">
        <f t="shared" si="628"/>
        <v xml:space="preserve"> </v>
      </c>
      <c r="BC189" s="14" t="str">
        <f t="shared" si="629"/>
        <v xml:space="preserve"> </v>
      </c>
      <c r="BD189" s="14" t="str">
        <f t="shared" si="630"/>
        <v xml:space="preserve"> </v>
      </c>
      <c r="BE189" s="27" t="str">
        <f t="shared" si="595"/>
        <v xml:space="preserve"> </v>
      </c>
      <c r="BF189" s="14" t="str">
        <f t="shared" si="631"/>
        <v xml:space="preserve"> </v>
      </c>
      <c r="BG189" s="14" t="str">
        <f t="shared" si="632"/>
        <v xml:space="preserve"> </v>
      </c>
      <c r="BH189" s="14" t="str">
        <f t="shared" si="633"/>
        <v xml:space="preserve"> </v>
      </c>
      <c r="BI189" s="14" t="str">
        <f t="shared" si="634"/>
        <v xml:space="preserve"> </v>
      </c>
      <c r="BJ189" s="14" t="str">
        <f t="shared" si="635"/>
        <v xml:space="preserve"> </v>
      </c>
      <c r="BK189" s="27" t="str">
        <f t="shared" si="595"/>
        <v xml:space="preserve"> </v>
      </c>
      <c r="BL189" s="14" t="str">
        <f t="shared" si="636"/>
        <v xml:space="preserve">aesthetics(1)
 </v>
      </c>
      <c r="BM189" s="14" t="str">
        <f t="shared" si="637"/>
        <v xml:space="preserve">biz enhancement(1,%),  </v>
      </c>
      <c r="BN189" s="14" t="str">
        <f t="shared" si="638"/>
        <v xml:space="preserve"> </v>
      </c>
      <c r="BO189" s="14" t="str">
        <f t="shared" si="639"/>
        <v xml:space="preserve">aesthetics(2), functions(1), safety(1),  </v>
      </c>
      <c r="BP189" s="14" t="str">
        <f t="shared" si="640"/>
        <v xml:space="preserve"> </v>
      </c>
      <c r="BQ189" s="27" t="str">
        <f t="shared" si="595"/>
        <v xml:space="preserve"> </v>
      </c>
      <c r="BR189" s="14" t="str">
        <f t="shared" si="641"/>
        <v xml:space="preserve">aesthetics(1)
 </v>
      </c>
      <c r="BS189" s="14" t="str">
        <f t="shared" si="642"/>
        <v xml:space="preserve">biz project(1,%),  </v>
      </c>
      <c r="BT189" s="14" t="str">
        <f t="shared" si="643"/>
        <v xml:space="preserve"> </v>
      </c>
      <c r="BU189" s="14" t="str">
        <f t="shared" si="644"/>
        <v xml:space="preserve">aesthetics(2),  </v>
      </c>
      <c r="BV189" s="14" t="str">
        <f t="shared" si="645"/>
        <v xml:space="preserve"> </v>
      </c>
      <c r="BW189" s="27" t="str">
        <f t="shared" si="595"/>
        <v xml:space="preserve"> </v>
      </c>
      <c r="BX189" s="14" t="str">
        <f t="shared" si="646"/>
        <v xml:space="preserve">aesthetics(1)
interaction(1)
 </v>
      </c>
      <c r="BY189" s="14" t="str">
        <f t="shared" si="647"/>
        <v xml:space="preserve">biz project(1,%),  </v>
      </c>
      <c r="BZ189" s="14" t="str">
        <f t="shared" si="648"/>
        <v xml:space="preserve"> </v>
      </c>
      <c r="CA189" s="14" t="str">
        <f t="shared" si="649"/>
        <v xml:space="preserve">aesthetics(2), functions(1), interaction(2),  </v>
      </c>
      <c r="CB189" s="14" t="str">
        <f t="shared" si="650"/>
        <v xml:space="preserve"> </v>
      </c>
      <c r="CC189" s="27" t="str">
        <f t="shared" si="651"/>
        <v xml:space="preserve"> </v>
      </c>
      <c r="CD189" s="14" t="str">
        <f t="shared" si="652"/>
        <v xml:space="preserve">aesthetics(1)
 </v>
      </c>
      <c r="CE189" s="14" t="str">
        <f t="shared" si="653"/>
        <v xml:space="preserve">biz project(1,%),  </v>
      </c>
      <c r="CF189" s="14" t="str">
        <f t="shared" si="654"/>
        <v xml:space="preserve"> </v>
      </c>
      <c r="CG189" s="14" t="str">
        <f t="shared" si="655"/>
        <v xml:space="preserve">aesthetics(2), functions(1), interaction(2),  </v>
      </c>
      <c r="CH189" s="14" t="str">
        <f t="shared" si="656"/>
        <v xml:space="preserve"> </v>
      </c>
      <c r="CI189" s="27" t="str">
        <f t="shared" si="651"/>
        <v xml:space="preserve"> </v>
      </c>
      <c r="CJ189" s="14" t="str">
        <f t="shared" si="657"/>
        <v xml:space="preserve">aesthetics(1)
 </v>
      </c>
      <c r="CK189" s="14" t="str">
        <f t="shared" si="658"/>
        <v xml:space="preserve">biz project(1,%),  </v>
      </c>
      <c r="CL189" s="14" t="str">
        <f t="shared" si="659"/>
        <v xml:space="preserve"> </v>
      </c>
      <c r="CM189" s="14" t="str">
        <f t="shared" si="660"/>
        <v xml:space="preserve">aesthetics(2), functions(1), interaction(2),  </v>
      </c>
      <c r="CN189" s="14" t="str">
        <f t="shared" si="661"/>
        <v xml:space="preserve"> </v>
      </c>
      <c r="CO189" s="27" t="str">
        <f t="shared" si="651"/>
        <v xml:space="preserve"> </v>
      </c>
      <c r="CP189" s="14" t="str">
        <f t="shared" si="662"/>
        <v xml:space="preserve">metal processing(1)
functions(1)
 </v>
      </c>
      <c r="CQ189" s="14" t="str">
        <f t="shared" si="663"/>
        <v xml:space="preserve">biz enhancement(1,50%),  </v>
      </c>
      <c r="CR189" s="14" t="str">
        <f t="shared" si="664"/>
        <v xml:space="preserve">biz enhancement(50)
 </v>
      </c>
      <c r="CS189" s="14" t="str">
        <f t="shared" si="665"/>
        <v xml:space="preserve">metal processing(2), electronics(2), aesthetics(2), functions(2), safety(2),  </v>
      </c>
      <c r="CT189" s="14" t="str">
        <f t="shared" si="666"/>
        <v xml:space="preserve"> </v>
      </c>
      <c r="CU189" s="27" t="str">
        <f t="shared" si="651"/>
        <v xml:space="preserve"> </v>
      </c>
      <c r="CV189" s="14" t="str">
        <f t="shared" si="667"/>
        <v xml:space="preserve">aesthetics(1)
interaction(1)
 </v>
      </c>
      <c r="CW189" s="14" t="str">
        <f t="shared" si="668"/>
        <v xml:space="preserve">social project(1,50%),  </v>
      </c>
      <c r="CX189" s="14" t="str">
        <f t="shared" si="669"/>
        <v xml:space="preserve">social project(50)
 </v>
      </c>
      <c r="CY189" s="14" t="str">
        <f t="shared" si="670"/>
        <v xml:space="preserve">plastic processing(2), electronics(2), aesthetics(2), functions(1), safety(1), interaction(2),  </v>
      </c>
      <c r="CZ189" s="14" t="str">
        <f t="shared" si="671"/>
        <v xml:space="preserve"> </v>
      </c>
      <c r="DA189" s="27" t="str">
        <f t="shared" si="651"/>
        <v xml:space="preserve"> </v>
      </c>
      <c r="DB189" s="14" t="str">
        <f t="shared" si="672"/>
        <v xml:space="preserve">aesthetics(1)
interaction(1)
 </v>
      </c>
      <c r="DC189" s="14" t="str">
        <f t="shared" si="673"/>
        <v xml:space="preserve">social project(1,50%),  </v>
      </c>
      <c r="DD189" s="14" t="str">
        <f t="shared" si="674"/>
        <v xml:space="preserve">social project(50)
 </v>
      </c>
      <c r="DE189" s="14" t="str">
        <f t="shared" si="675"/>
        <v xml:space="preserve"> </v>
      </c>
      <c r="DF189" s="14" t="str">
        <f t="shared" si="676"/>
        <v xml:space="preserve"> </v>
      </c>
      <c r="DG189" s="27" t="str">
        <f t="shared" si="651"/>
        <v xml:space="preserve"> </v>
      </c>
      <c r="DH189" s="14" t="str">
        <f t="shared" si="677"/>
        <v xml:space="preserve">aesthetics(1)
safety(1)
 </v>
      </c>
      <c r="DI189" s="14" t="str">
        <f t="shared" si="678"/>
        <v xml:space="preserve">social project(1,100%),  </v>
      </c>
      <c r="DJ189" s="14" t="str">
        <f t="shared" si="679"/>
        <v xml:space="preserve">social project(100)
 </v>
      </c>
      <c r="DK189" s="14" t="str">
        <f t="shared" si="680"/>
        <v xml:space="preserve">metal processing(2), plastic processing(2), electronics(2), fabric(1), aesthetics(1), functions(2), safety(2), interaction(2),  </v>
      </c>
      <c r="DL189" s="14" t="str">
        <f t="shared" si="681"/>
        <v xml:space="preserve"> </v>
      </c>
      <c r="DM189" s="27" t="str">
        <f t="shared" si="651"/>
        <v xml:space="preserve"> </v>
      </c>
      <c r="DN189" s="14" t="str">
        <f t="shared" si="682"/>
        <v xml:space="preserve">plastic processing(1)
electronics(1)
aesthetics(2)
functions(1)
safety(1)
biz project(1)
 </v>
      </c>
      <c r="DO189" s="14" t="str">
        <f t="shared" si="683"/>
        <v xml:space="preserve"> </v>
      </c>
      <c r="DP189" s="14" t="str">
        <f t="shared" si="684"/>
        <v xml:space="preserve"> </v>
      </c>
      <c r="DQ189" s="14" t="str">
        <f t="shared" si="685"/>
        <v xml:space="preserve">plastic processing(2), electronics(2), aesthetics(2),  </v>
      </c>
      <c r="DR189" s="14" t="str">
        <f t="shared" si="686"/>
        <v xml:space="preserve"> </v>
      </c>
      <c r="DS189" s="27" t="str">
        <f t="shared" si="651"/>
        <v xml:space="preserve"> </v>
      </c>
      <c r="DT189" s="14" t="str">
        <f t="shared" si="687"/>
        <v xml:space="preserve"> </v>
      </c>
      <c r="DU189" s="14" t="str">
        <f t="shared" si="688"/>
        <v xml:space="preserve"> </v>
      </c>
      <c r="DV189" s="14" t="str">
        <f t="shared" si="689"/>
        <v xml:space="preserve"> </v>
      </c>
      <c r="DW189" s="14" t="str">
        <f t="shared" si="690"/>
        <v xml:space="preserve"> </v>
      </c>
      <c r="DX189" s="14" t="str">
        <f t="shared" si="691"/>
        <v xml:space="preserve"> </v>
      </c>
      <c r="DY189" s="27" t="str">
        <f t="shared" si="651"/>
        <v xml:space="preserve"> </v>
      </c>
      <c r="DZ189" s="14" t="str">
        <f t="shared" si="692"/>
        <v xml:space="preserve"> </v>
      </c>
      <c r="EA189" s="14" t="str">
        <f t="shared" si="693"/>
        <v xml:space="preserve"> </v>
      </c>
      <c r="EB189" s="14" t="str">
        <f t="shared" si="694"/>
        <v xml:space="preserve"> </v>
      </c>
      <c r="EC189" s="14" t="str">
        <f t="shared" si="695"/>
        <v xml:space="preserve"> </v>
      </c>
      <c r="ED189" s="14" t="str">
        <f t="shared" si="696"/>
        <v xml:space="preserve"> </v>
      </c>
      <c r="EE189" s="27" t="str">
        <f t="shared" si="651"/>
        <v xml:space="preserve"> </v>
      </c>
      <c r="EF189" s="14" t="str">
        <f t="shared" si="697"/>
        <v xml:space="preserve"> </v>
      </c>
      <c r="EG189" s="14" t="str">
        <f t="shared" si="698"/>
        <v xml:space="preserve"> </v>
      </c>
      <c r="EH189" s="14" t="str">
        <f t="shared" si="699"/>
        <v xml:space="preserve"> </v>
      </c>
      <c r="EI189" s="14" t="str">
        <f t="shared" si="700"/>
        <v xml:space="preserve"> </v>
      </c>
      <c r="EJ189" s="14" t="str">
        <f t="shared" si="701"/>
        <v xml:space="preserve"> </v>
      </c>
      <c r="EK189" s="27" t="str">
        <f t="shared" si="651"/>
        <v xml:space="preserve"> </v>
      </c>
      <c r="EL189" s="14" t="str">
        <f t="shared" si="702"/>
        <v xml:space="preserve"> </v>
      </c>
      <c r="EM189" s="14" t="str">
        <f t="shared" si="703"/>
        <v xml:space="preserve"> </v>
      </c>
      <c r="EN189" s="14" t="str">
        <f t="shared" si="704"/>
        <v xml:space="preserve"> </v>
      </c>
      <c r="EO189" s="14" t="str">
        <f t="shared" si="705"/>
        <v xml:space="preserve"> </v>
      </c>
      <c r="EP189" s="14" t="str">
        <f t="shared" si="706"/>
        <v xml:space="preserve"> </v>
      </c>
      <c r="EQ189" s="27" t="str">
        <f t="shared" si="707"/>
        <v xml:space="preserve"> </v>
      </c>
      <c r="ER189" s="14" t="str">
        <f t="shared" si="708"/>
        <v xml:space="preserve"> </v>
      </c>
      <c r="ES189" s="14" t="str">
        <f t="shared" si="709"/>
        <v xml:space="preserve"> </v>
      </c>
      <c r="ET189" s="14" t="str">
        <f t="shared" si="710"/>
        <v xml:space="preserve"> </v>
      </c>
      <c r="EU189" s="14" t="str">
        <f t="shared" si="711"/>
        <v xml:space="preserve"> </v>
      </c>
      <c r="EV189" s="14" t="str">
        <f t="shared" si="712"/>
        <v xml:space="preserve"> </v>
      </c>
      <c r="EW189" s="27" t="str">
        <f t="shared" si="707"/>
        <v xml:space="preserve"> </v>
      </c>
      <c r="EX189" s="14" t="str">
        <f t="shared" si="713"/>
        <v xml:space="preserve"> </v>
      </c>
      <c r="EY189" s="14" t="str">
        <f t="shared" si="714"/>
        <v xml:space="preserve"> </v>
      </c>
      <c r="EZ189" s="14" t="str">
        <f t="shared" si="715"/>
        <v xml:space="preserve"> </v>
      </c>
      <c r="FA189" s="14" t="str">
        <f t="shared" si="716"/>
        <v xml:space="preserve"> </v>
      </c>
      <c r="FB189" s="14" t="str">
        <f t="shared" si="717"/>
        <v xml:space="preserve"> </v>
      </c>
      <c r="FC189" s="27" t="str">
        <f t="shared" si="707"/>
        <v xml:space="preserve"> </v>
      </c>
      <c r="FD189" s="14" t="str">
        <f t="shared" si="718"/>
        <v xml:space="preserve"> </v>
      </c>
      <c r="FE189" s="14" t="str">
        <f t="shared" si="719"/>
        <v xml:space="preserve"> </v>
      </c>
      <c r="FF189" s="14" t="str">
        <f t="shared" si="720"/>
        <v xml:space="preserve"> </v>
      </c>
      <c r="FG189" s="14" t="str">
        <f t="shared" si="721"/>
        <v xml:space="preserve"> </v>
      </c>
      <c r="FH189" s="14" t="str">
        <f t="shared" si="722"/>
        <v xml:space="preserve"> </v>
      </c>
      <c r="FI189" s="27" t="str">
        <f t="shared" si="707"/>
        <v xml:space="preserve"> </v>
      </c>
      <c r="FJ189" s="14" t="str">
        <f t="shared" si="723"/>
        <v xml:space="preserve"> </v>
      </c>
      <c r="FK189" s="14" t="str">
        <f t="shared" si="724"/>
        <v xml:space="preserve"> </v>
      </c>
      <c r="FL189" s="14" t="str">
        <f t="shared" si="725"/>
        <v xml:space="preserve"> </v>
      </c>
      <c r="FM189" s="14" t="str">
        <f t="shared" si="726"/>
        <v xml:space="preserve"> </v>
      </c>
      <c r="FN189" s="14" t="str">
        <f t="shared" si="727"/>
        <v xml:space="preserve"> </v>
      </c>
      <c r="FO189" s="27" t="str">
        <f t="shared" si="707"/>
        <v xml:space="preserve"> </v>
      </c>
      <c r="FP189" s="14" t="str">
        <f t="shared" si="728"/>
        <v xml:space="preserve"> </v>
      </c>
      <c r="FQ189" s="14" t="str">
        <f t="shared" si="729"/>
        <v xml:space="preserve"> </v>
      </c>
      <c r="FR189" s="14" t="str">
        <f t="shared" si="730"/>
        <v xml:space="preserve"> </v>
      </c>
      <c r="FS189" s="14" t="str">
        <f t="shared" si="731"/>
        <v xml:space="preserve"> </v>
      </c>
      <c r="FT189" s="14" t="str">
        <f t="shared" si="732"/>
        <v xml:space="preserve"> </v>
      </c>
      <c r="FU189" s="27" t="str">
        <f t="shared" si="707"/>
        <v xml:space="preserve"> </v>
      </c>
      <c r="FV189" s="14" t="str">
        <f t="shared" si="733"/>
        <v xml:space="preserve"> </v>
      </c>
      <c r="FW189" s="14" t="str">
        <f t="shared" si="734"/>
        <v xml:space="preserve"> </v>
      </c>
      <c r="FX189" s="14" t="str">
        <f t="shared" si="735"/>
        <v xml:space="preserve"> </v>
      </c>
      <c r="FY189" s="14" t="str">
        <f t="shared" si="736"/>
        <v xml:space="preserve"> </v>
      </c>
      <c r="FZ189" s="14" t="str">
        <f t="shared" si="737"/>
        <v xml:space="preserve"> </v>
      </c>
      <c r="GA189" s="27" t="str">
        <f t="shared" si="707"/>
        <v xml:space="preserve"> </v>
      </c>
      <c r="GB189" s="14" t="str">
        <f t="shared" si="738"/>
        <v xml:space="preserve"> </v>
      </c>
      <c r="GC189" s="14" t="str">
        <f t="shared" si="739"/>
        <v xml:space="preserve"> </v>
      </c>
      <c r="GD189" s="14" t="str">
        <f t="shared" si="740"/>
        <v xml:space="preserve"> </v>
      </c>
      <c r="GE189" s="14" t="str">
        <f t="shared" si="741"/>
        <v xml:space="preserve"> </v>
      </c>
      <c r="GF189" s="14" t="str">
        <f t="shared" si="742"/>
        <v xml:space="preserve"> </v>
      </c>
      <c r="GG189" s="27" t="str">
        <f t="shared" si="707"/>
        <v xml:space="preserve"> </v>
      </c>
      <c r="GH189" s="14" t="str">
        <f t="shared" si="743"/>
        <v xml:space="preserve"> </v>
      </c>
      <c r="GI189" s="14" t="str">
        <f t="shared" si="744"/>
        <v xml:space="preserve"> </v>
      </c>
      <c r="GJ189" s="14" t="str">
        <f t="shared" si="745"/>
        <v xml:space="preserve"> </v>
      </c>
      <c r="GK189" s="14" t="str">
        <f t="shared" si="746"/>
        <v xml:space="preserve"> </v>
      </c>
      <c r="GL189" s="14" t="str">
        <f t="shared" si="747"/>
        <v xml:space="preserve"> </v>
      </c>
      <c r="GM189" s="27" t="str">
        <f t="shared" si="707"/>
        <v xml:space="preserve"> </v>
      </c>
      <c r="GN189" s="14" t="str">
        <f t="shared" si="748"/>
        <v xml:space="preserve"> </v>
      </c>
      <c r="GO189" s="14" t="str">
        <f t="shared" si="749"/>
        <v xml:space="preserve"> </v>
      </c>
      <c r="GP189" s="14" t="str">
        <f t="shared" si="750"/>
        <v xml:space="preserve"> </v>
      </c>
      <c r="GQ189" s="14" t="str">
        <f t="shared" si="751"/>
        <v xml:space="preserve"> </v>
      </c>
      <c r="GR189" s="14" t="str">
        <f t="shared" si="752"/>
        <v xml:space="preserve"> </v>
      </c>
      <c r="GS189" s="27" t="str">
        <f t="shared" si="707"/>
        <v xml:space="preserve"> </v>
      </c>
      <c r="GT189" s="14" t="str">
        <f t="shared" si="753"/>
        <v xml:space="preserve"> </v>
      </c>
      <c r="GU189" s="14" t="str">
        <f t="shared" si="754"/>
        <v xml:space="preserve"> </v>
      </c>
      <c r="GV189" s="14" t="str">
        <f t="shared" si="755"/>
        <v xml:space="preserve"> </v>
      </c>
      <c r="GW189" s="14" t="str">
        <f t="shared" si="756"/>
        <v xml:space="preserve"> </v>
      </c>
      <c r="GX189" s="14" t="str">
        <f t="shared" si="757"/>
        <v xml:space="preserve"> </v>
      </c>
      <c r="GY189" s="27" t="str">
        <f t="shared" si="707"/>
        <v xml:space="preserve"> </v>
      </c>
      <c r="GZ189" s="14" t="str">
        <f t="shared" si="758"/>
        <v xml:space="preserve"> </v>
      </c>
      <c r="HA189" s="14" t="str">
        <f t="shared" si="759"/>
        <v xml:space="preserve"> </v>
      </c>
      <c r="HB189" s="14" t="str">
        <f t="shared" si="760"/>
        <v xml:space="preserve"> </v>
      </c>
      <c r="HC189" s="14" t="str">
        <f t="shared" si="761"/>
        <v xml:space="preserve"> </v>
      </c>
      <c r="HD189" s="14" t="str">
        <f t="shared" si="762"/>
        <v xml:space="preserve"> </v>
      </c>
      <c r="HE189" s="27" t="str">
        <f t="shared" si="763"/>
        <v xml:space="preserve"> </v>
      </c>
      <c r="HF189" s="14" t="str">
        <f t="shared" si="764"/>
        <v xml:space="preserve"> </v>
      </c>
      <c r="HG189" s="14" t="str">
        <f t="shared" si="765"/>
        <v xml:space="preserve"> </v>
      </c>
      <c r="HH189" s="14" t="str">
        <f t="shared" si="766"/>
        <v xml:space="preserve"> </v>
      </c>
      <c r="HI189" s="14" t="str">
        <f t="shared" si="767"/>
        <v xml:space="preserve"> </v>
      </c>
      <c r="HJ189" s="14" t="str">
        <f t="shared" si="768"/>
        <v xml:space="preserve"> </v>
      </c>
      <c r="HK189" s="27" t="str">
        <f t="shared" si="763"/>
        <v xml:space="preserve"> </v>
      </c>
      <c r="HL189" s="14" t="str">
        <f t="shared" si="769"/>
        <v xml:space="preserve"> </v>
      </c>
      <c r="HM189" s="14" t="str">
        <f t="shared" si="770"/>
        <v xml:space="preserve"> </v>
      </c>
      <c r="HN189" s="14" t="str">
        <f t="shared" si="771"/>
        <v xml:space="preserve"> </v>
      </c>
      <c r="HO189" s="14" t="str">
        <f t="shared" si="772"/>
        <v xml:space="preserve"> </v>
      </c>
      <c r="HP189" s="14" t="str">
        <f t="shared" si="773"/>
        <v xml:space="preserve"> </v>
      </c>
      <c r="HQ189" s="27" t="str">
        <f t="shared" si="763"/>
        <v xml:space="preserve"> </v>
      </c>
    </row>
    <row r="190" spans="1:225" ht="15.75" customHeight="1">
      <c r="A190" s="7">
        <f t="shared" ref="A190:C190" si="803">A82</f>
        <v>0</v>
      </c>
      <c r="B190" s="7">
        <f t="shared" si="803"/>
        <v>0</v>
      </c>
      <c r="C190" s="7" t="str">
        <f t="shared" si="803"/>
        <v>plastic processing</v>
      </c>
      <c r="D190" s="14" t="str">
        <f t="shared" si="775"/>
        <v xml:space="preserve"> </v>
      </c>
      <c r="E190" s="14" t="str">
        <f t="shared" si="776"/>
        <v xml:space="preserve"> </v>
      </c>
      <c r="F190" s="14" t="str">
        <f t="shared" si="777"/>
        <v xml:space="preserve"> </v>
      </c>
      <c r="G190" s="14" t="str">
        <f t="shared" si="778"/>
        <v xml:space="preserve"> </v>
      </c>
      <c r="H190" s="14" t="str">
        <f t="shared" si="779"/>
        <v xml:space="preserve"> </v>
      </c>
      <c r="I190" s="27" t="str">
        <f t="shared" ref="I190" si="804">IF(I82="",I191,$C190&amp;"("&amp;I82&amp;"),"&amp;I191)</f>
        <v xml:space="preserve"> </v>
      </c>
      <c r="J190" s="14" t="str">
        <f t="shared" si="590"/>
        <v xml:space="preserve"> </v>
      </c>
      <c r="K190" s="14" t="str">
        <f t="shared" si="591"/>
        <v xml:space="preserve"> </v>
      </c>
      <c r="L190" s="14" t="str">
        <f t="shared" si="592"/>
        <v xml:space="preserve"> </v>
      </c>
      <c r="M190" s="14" t="str">
        <f t="shared" si="593"/>
        <v xml:space="preserve"> </v>
      </c>
      <c r="N190" s="14" t="str">
        <f t="shared" si="594"/>
        <v xml:space="preserve"> </v>
      </c>
      <c r="O190" s="27" t="str">
        <f t="shared" si="595"/>
        <v xml:space="preserve"> </v>
      </c>
      <c r="P190" s="14" t="str">
        <f t="shared" si="596"/>
        <v xml:space="preserve"> </v>
      </c>
      <c r="Q190" s="14" t="str">
        <f t="shared" si="597"/>
        <v xml:space="preserve"> </v>
      </c>
      <c r="R190" s="14" t="str">
        <f t="shared" si="598"/>
        <v xml:space="preserve"> </v>
      </c>
      <c r="S190" s="14" t="str">
        <f t="shared" si="599"/>
        <v xml:space="preserve"> </v>
      </c>
      <c r="T190" s="14" t="str">
        <f t="shared" si="600"/>
        <v xml:space="preserve">aesthetics(-1,6.25%),  </v>
      </c>
      <c r="U190" s="27" t="str">
        <f t="shared" si="595"/>
        <v xml:space="preserve">aesthetics(6.25), </v>
      </c>
      <c r="V190" s="14" t="str">
        <f t="shared" si="601"/>
        <v xml:space="preserve"> </v>
      </c>
      <c r="W190" s="14" t="str">
        <f t="shared" si="602"/>
        <v xml:space="preserve"> </v>
      </c>
      <c r="X190" s="14" t="str">
        <f t="shared" si="603"/>
        <v xml:space="preserve"> </v>
      </c>
      <c r="Y190" s="14" t="str">
        <f t="shared" si="604"/>
        <v xml:space="preserve"> </v>
      </c>
      <c r="Z190" s="14" t="str">
        <f t="shared" si="605"/>
        <v xml:space="preserve"> </v>
      </c>
      <c r="AA190" s="27" t="str">
        <f t="shared" si="595"/>
        <v xml:space="preserve"> </v>
      </c>
      <c r="AB190" s="14" t="str">
        <f t="shared" si="606"/>
        <v xml:space="preserve"> </v>
      </c>
      <c r="AC190" s="14" t="str">
        <f t="shared" si="607"/>
        <v xml:space="preserve"> </v>
      </c>
      <c r="AD190" s="14" t="str">
        <f t="shared" si="608"/>
        <v xml:space="preserve"> </v>
      </c>
      <c r="AE190" s="14" t="str">
        <f t="shared" si="609"/>
        <v xml:space="preserve"> </v>
      </c>
      <c r="AF190" s="14" t="str">
        <f t="shared" si="610"/>
        <v xml:space="preserve"> </v>
      </c>
      <c r="AG190" s="27" t="str">
        <f t="shared" si="595"/>
        <v xml:space="preserve"> </v>
      </c>
      <c r="AH190" s="14" t="str">
        <f t="shared" si="611"/>
        <v xml:space="preserve"> </v>
      </c>
      <c r="AI190" s="14" t="str">
        <f t="shared" si="612"/>
        <v xml:space="preserve"> </v>
      </c>
      <c r="AJ190" s="14" t="str">
        <f t="shared" si="613"/>
        <v xml:space="preserve"> </v>
      </c>
      <c r="AK190" s="14" t="str">
        <f t="shared" si="614"/>
        <v xml:space="preserve"> </v>
      </c>
      <c r="AL190" s="14" t="str">
        <f t="shared" si="615"/>
        <v xml:space="preserve"> </v>
      </c>
      <c r="AM190" s="27" t="str">
        <f t="shared" si="595"/>
        <v xml:space="preserve"> </v>
      </c>
      <c r="AN190" s="14" t="str">
        <f t="shared" si="616"/>
        <v xml:space="preserve"> </v>
      </c>
      <c r="AO190" s="14" t="str">
        <f t="shared" si="617"/>
        <v xml:space="preserve"> </v>
      </c>
      <c r="AP190" s="14" t="str">
        <f t="shared" si="618"/>
        <v xml:space="preserve"> </v>
      </c>
      <c r="AQ190" s="14" t="str">
        <f t="shared" si="619"/>
        <v xml:space="preserve"> </v>
      </c>
      <c r="AR190" s="14" t="str">
        <f t="shared" si="620"/>
        <v xml:space="preserve"> </v>
      </c>
      <c r="AS190" s="27" t="str">
        <f t="shared" si="595"/>
        <v xml:space="preserve"> </v>
      </c>
      <c r="AT190" s="14" t="str">
        <f t="shared" si="621"/>
        <v xml:space="preserve"> </v>
      </c>
      <c r="AU190" s="14" t="str">
        <f t="shared" si="622"/>
        <v xml:space="preserve"> </v>
      </c>
      <c r="AV190" s="14" t="str">
        <f t="shared" si="623"/>
        <v xml:space="preserve"> </v>
      </c>
      <c r="AW190" s="14" t="str">
        <f t="shared" si="624"/>
        <v xml:space="preserve"> </v>
      </c>
      <c r="AX190" s="14" t="str">
        <f t="shared" si="625"/>
        <v xml:space="preserve"> </v>
      </c>
      <c r="AY190" s="27" t="str">
        <f t="shared" si="595"/>
        <v xml:space="preserve"> </v>
      </c>
      <c r="AZ190" s="14" t="str">
        <f t="shared" si="626"/>
        <v xml:space="preserve"> </v>
      </c>
      <c r="BA190" s="14" t="str">
        <f t="shared" si="627"/>
        <v xml:space="preserve"> </v>
      </c>
      <c r="BB190" s="14" t="str">
        <f t="shared" si="628"/>
        <v xml:space="preserve"> </v>
      </c>
      <c r="BC190" s="14" t="str">
        <f t="shared" si="629"/>
        <v xml:space="preserve"> </v>
      </c>
      <c r="BD190" s="14" t="str">
        <f t="shared" si="630"/>
        <v xml:space="preserve"> </v>
      </c>
      <c r="BE190" s="27" t="str">
        <f t="shared" si="595"/>
        <v xml:space="preserve"> </v>
      </c>
      <c r="BF190" s="14" t="str">
        <f t="shared" si="631"/>
        <v xml:space="preserve"> </v>
      </c>
      <c r="BG190" s="14" t="str">
        <f t="shared" si="632"/>
        <v xml:space="preserve"> </v>
      </c>
      <c r="BH190" s="14" t="str">
        <f t="shared" si="633"/>
        <v xml:space="preserve"> </v>
      </c>
      <c r="BI190" s="14" t="str">
        <f t="shared" si="634"/>
        <v xml:space="preserve"> </v>
      </c>
      <c r="BJ190" s="14" t="str">
        <f t="shared" si="635"/>
        <v xml:space="preserve"> </v>
      </c>
      <c r="BK190" s="27" t="str">
        <f t="shared" si="595"/>
        <v xml:space="preserve"> </v>
      </c>
      <c r="BL190" s="14" t="str">
        <f t="shared" si="636"/>
        <v xml:space="preserve">aesthetics(1)
 </v>
      </c>
      <c r="BM190" s="14" t="str">
        <f t="shared" si="637"/>
        <v xml:space="preserve">biz enhancement(1,%),  </v>
      </c>
      <c r="BN190" s="14" t="str">
        <f t="shared" si="638"/>
        <v xml:space="preserve"> </v>
      </c>
      <c r="BO190" s="14" t="str">
        <f t="shared" si="639"/>
        <v xml:space="preserve">aesthetics(2), functions(1), safety(1),  </v>
      </c>
      <c r="BP190" s="14" t="str">
        <f t="shared" si="640"/>
        <v xml:space="preserve"> </v>
      </c>
      <c r="BQ190" s="27" t="str">
        <f t="shared" si="595"/>
        <v xml:space="preserve"> </v>
      </c>
      <c r="BR190" s="14" t="str">
        <f t="shared" si="641"/>
        <v xml:space="preserve">aesthetics(1)
 </v>
      </c>
      <c r="BS190" s="14" t="str">
        <f t="shared" si="642"/>
        <v xml:space="preserve">biz project(1,%),  </v>
      </c>
      <c r="BT190" s="14" t="str">
        <f t="shared" si="643"/>
        <v xml:space="preserve"> </v>
      </c>
      <c r="BU190" s="14" t="str">
        <f t="shared" si="644"/>
        <v xml:space="preserve">aesthetics(2),  </v>
      </c>
      <c r="BV190" s="14" t="str">
        <f t="shared" si="645"/>
        <v xml:space="preserve"> </v>
      </c>
      <c r="BW190" s="27" t="str">
        <f t="shared" si="595"/>
        <v xml:space="preserve"> </v>
      </c>
      <c r="BX190" s="14" t="str">
        <f t="shared" si="646"/>
        <v xml:space="preserve">aesthetics(1)
interaction(1)
 </v>
      </c>
      <c r="BY190" s="14" t="str">
        <f t="shared" si="647"/>
        <v xml:space="preserve">biz project(1,%),  </v>
      </c>
      <c r="BZ190" s="14" t="str">
        <f t="shared" si="648"/>
        <v xml:space="preserve"> </v>
      </c>
      <c r="CA190" s="14" t="str">
        <f t="shared" si="649"/>
        <v xml:space="preserve">aesthetics(2), functions(1), interaction(2),  </v>
      </c>
      <c r="CB190" s="14" t="str">
        <f t="shared" si="650"/>
        <v xml:space="preserve"> </v>
      </c>
      <c r="CC190" s="27" t="str">
        <f t="shared" si="651"/>
        <v xml:space="preserve"> </v>
      </c>
      <c r="CD190" s="14" t="str">
        <f t="shared" si="652"/>
        <v xml:space="preserve">aesthetics(1)
 </v>
      </c>
      <c r="CE190" s="14" t="str">
        <f t="shared" si="653"/>
        <v xml:space="preserve">biz project(1,%),  </v>
      </c>
      <c r="CF190" s="14" t="str">
        <f t="shared" si="654"/>
        <v xml:space="preserve"> </v>
      </c>
      <c r="CG190" s="14" t="str">
        <f t="shared" si="655"/>
        <v xml:space="preserve">aesthetics(2), functions(1), interaction(2),  </v>
      </c>
      <c r="CH190" s="14" t="str">
        <f t="shared" si="656"/>
        <v xml:space="preserve"> </v>
      </c>
      <c r="CI190" s="27" t="str">
        <f t="shared" si="651"/>
        <v xml:space="preserve"> </v>
      </c>
      <c r="CJ190" s="14" t="str">
        <f t="shared" si="657"/>
        <v xml:space="preserve">aesthetics(1)
 </v>
      </c>
      <c r="CK190" s="14" t="str">
        <f t="shared" si="658"/>
        <v xml:space="preserve">biz project(1,%),  </v>
      </c>
      <c r="CL190" s="14" t="str">
        <f t="shared" si="659"/>
        <v xml:space="preserve"> </v>
      </c>
      <c r="CM190" s="14" t="str">
        <f t="shared" si="660"/>
        <v xml:space="preserve">aesthetics(2), functions(1), interaction(2),  </v>
      </c>
      <c r="CN190" s="14" t="str">
        <f t="shared" si="661"/>
        <v xml:space="preserve"> </v>
      </c>
      <c r="CO190" s="27" t="str">
        <f t="shared" si="651"/>
        <v xml:space="preserve"> </v>
      </c>
      <c r="CP190" s="14" t="str">
        <f t="shared" si="662"/>
        <v xml:space="preserve">functions(1)
 </v>
      </c>
      <c r="CQ190" s="14" t="str">
        <f t="shared" si="663"/>
        <v xml:space="preserve">biz enhancement(1,50%),  </v>
      </c>
      <c r="CR190" s="14" t="str">
        <f t="shared" si="664"/>
        <v xml:space="preserve">biz enhancement(50)
 </v>
      </c>
      <c r="CS190" s="14" t="str">
        <f t="shared" si="665"/>
        <v xml:space="preserve">electronics(2), aesthetics(2), functions(2), safety(2),  </v>
      </c>
      <c r="CT190" s="14" t="str">
        <f t="shared" si="666"/>
        <v xml:space="preserve"> </v>
      </c>
      <c r="CU190" s="27" t="str">
        <f t="shared" si="651"/>
        <v xml:space="preserve"> </v>
      </c>
      <c r="CV190" s="14" t="str">
        <f t="shared" si="667"/>
        <v xml:space="preserve">aesthetics(1)
interaction(1)
 </v>
      </c>
      <c r="CW190" s="14" t="str">
        <f t="shared" si="668"/>
        <v xml:space="preserve">social project(1,50%),  </v>
      </c>
      <c r="CX190" s="14" t="str">
        <f t="shared" si="669"/>
        <v xml:space="preserve">social project(50)
 </v>
      </c>
      <c r="CY190" s="14" t="str">
        <f t="shared" si="670"/>
        <v xml:space="preserve">plastic processing(2), electronics(2), aesthetics(2), functions(1), safety(1), interaction(2),  </v>
      </c>
      <c r="CZ190" s="14" t="str">
        <f t="shared" si="671"/>
        <v xml:space="preserve"> </v>
      </c>
      <c r="DA190" s="27" t="str">
        <f t="shared" si="651"/>
        <v xml:space="preserve"> </v>
      </c>
      <c r="DB190" s="14" t="str">
        <f t="shared" si="672"/>
        <v xml:space="preserve">aesthetics(1)
interaction(1)
 </v>
      </c>
      <c r="DC190" s="14" t="str">
        <f t="shared" si="673"/>
        <v xml:space="preserve">social project(1,50%),  </v>
      </c>
      <c r="DD190" s="14" t="str">
        <f t="shared" si="674"/>
        <v xml:space="preserve">social project(50)
 </v>
      </c>
      <c r="DE190" s="14" t="str">
        <f t="shared" si="675"/>
        <v xml:space="preserve"> </v>
      </c>
      <c r="DF190" s="14" t="str">
        <f t="shared" si="676"/>
        <v xml:space="preserve"> </v>
      </c>
      <c r="DG190" s="27" t="str">
        <f t="shared" si="651"/>
        <v xml:space="preserve"> </v>
      </c>
      <c r="DH190" s="14" t="str">
        <f t="shared" si="677"/>
        <v xml:space="preserve">aesthetics(1)
safety(1)
 </v>
      </c>
      <c r="DI190" s="14" t="str">
        <f t="shared" si="678"/>
        <v xml:space="preserve">social project(1,100%),  </v>
      </c>
      <c r="DJ190" s="14" t="str">
        <f t="shared" si="679"/>
        <v xml:space="preserve">social project(100)
 </v>
      </c>
      <c r="DK190" s="14" t="str">
        <f t="shared" si="680"/>
        <v xml:space="preserve">plastic processing(2), electronics(2), fabric(1), aesthetics(1), functions(2), safety(2), interaction(2),  </v>
      </c>
      <c r="DL190" s="14" t="str">
        <f t="shared" si="681"/>
        <v xml:space="preserve"> </v>
      </c>
      <c r="DM190" s="27" t="str">
        <f t="shared" si="651"/>
        <v xml:space="preserve"> </v>
      </c>
      <c r="DN190" s="14" t="str">
        <f t="shared" si="682"/>
        <v xml:space="preserve">plastic processing(1)
electronics(1)
aesthetics(2)
functions(1)
safety(1)
biz project(1)
 </v>
      </c>
      <c r="DO190" s="14" t="str">
        <f t="shared" si="683"/>
        <v xml:space="preserve"> </v>
      </c>
      <c r="DP190" s="14" t="str">
        <f t="shared" si="684"/>
        <v xml:space="preserve"> </v>
      </c>
      <c r="DQ190" s="14" t="str">
        <f t="shared" si="685"/>
        <v xml:space="preserve">plastic processing(2), electronics(2), aesthetics(2),  </v>
      </c>
      <c r="DR190" s="14" t="str">
        <f t="shared" si="686"/>
        <v xml:space="preserve"> </v>
      </c>
      <c r="DS190" s="27" t="str">
        <f t="shared" si="651"/>
        <v xml:space="preserve"> </v>
      </c>
      <c r="DT190" s="14" t="str">
        <f t="shared" si="687"/>
        <v xml:space="preserve"> </v>
      </c>
      <c r="DU190" s="14" t="str">
        <f t="shared" si="688"/>
        <v xml:space="preserve"> </v>
      </c>
      <c r="DV190" s="14" t="str">
        <f t="shared" si="689"/>
        <v xml:space="preserve"> </v>
      </c>
      <c r="DW190" s="14" t="str">
        <f t="shared" si="690"/>
        <v xml:space="preserve"> </v>
      </c>
      <c r="DX190" s="14" t="str">
        <f t="shared" si="691"/>
        <v xml:space="preserve"> </v>
      </c>
      <c r="DY190" s="27" t="str">
        <f t="shared" si="651"/>
        <v xml:space="preserve"> </v>
      </c>
      <c r="DZ190" s="14" t="str">
        <f t="shared" si="692"/>
        <v xml:space="preserve"> </v>
      </c>
      <c r="EA190" s="14" t="str">
        <f t="shared" si="693"/>
        <v xml:space="preserve"> </v>
      </c>
      <c r="EB190" s="14" t="str">
        <f t="shared" si="694"/>
        <v xml:space="preserve"> </v>
      </c>
      <c r="EC190" s="14" t="str">
        <f t="shared" si="695"/>
        <v xml:space="preserve"> </v>
      </c>
      <c r="ED190" s="14" t="str">
        <f t="shared" si="696"/>
        <v xml:space="preserve"> </v>
      </c>
      <c r="EE190" s="27" t="str">
        <f t="shared" si="651"/>
        <v xml:space="preserve"> </v>
      </c>
      <c r="EF190" s="14" t="str">
        <f t="shared" si="697"/>
        <v xml:space="preserve"> </v>
      </c>
      <c r="EG190" s="14" t="str">
        <f t="shared" si="698"/>
        <v xml:space="preserve"> </v>
      </c>
      <c r="EH190" s="14" t="str">
        <f t="shared" si="699"/>
        <v xml:space="preserve"> </v>
      </c>
      <c r="EI190" s="14" t="str">
        <f t="shared" si="700"/>
        <v xml:space="preserve"> </v>
      </c>
      <c r="EJ190" s="14" t="str">
        <f t="shared" si="701"/>
        <v xml:space="preserve"> </v>
      </c>
      <c r="EK190" s="27" t="str">
        <f t="shared" si="651"/>
        <v xml:space="preserve"> </v>
      </c>
      <c r="EL190" s="14" t="str">
        <f t="shared" si="702"/>
        <v xml:space="preserve"> </v>
      </c>
      <c r="EM190" s="14" t="str">
        <f t="shared" si="703"/>
        <v xml:space="preserve"> </v>
      </c>
      <c r="EN190" s="14" t="str">
        <f t="shared" si="704"/>
        <v xml:space="preserve"> </v>
      </c>
      <c r="EO190" s="14" t="str">
        <f t="shared" si="705"/>
        <v xml:space="preserve"> </v>
      </c>
      <c r="EP190" s="14" t="str">
        <f t="shared" si="706"/>
        <v xml:space="preserve"> </v>
      </c>
      <c r="EQ190" s="27" t="str">
        <f t="shared" si="707"/>
        <v xml:space="preserve"> </v>
      </c>
      <c r="ER190" s="14" t="str">
        <f t="shared" si="708"/>
        <v xml:space="preserve"> </v>
      </c>
      <c r="ES190" s="14" t="str">
        <f t="shared" si="709"/>
        <v xml:space="preserve"> </v>
      </c>
      <c r="ET190" s="14" t="str">
        <f t="shared" si="710"/>
        <v xml:space="preserve"> </v>
      </c>
      <c r="EU190" s="14" t="str">
        <f t="shared" si="711"/>
        <v xml:space="preserve"> </v>
      </c>
      <c r="EV190" s="14" t="str">
        <f t="shared" si="712"/>
        <v xml:space="preserve"> </v>
      </c>
      <c r="EW190" s="27" t="str">
        <f t="shared" si="707"/>
        <v xml:space="preserve"> </v>
      </c>
      <c r="EX190" s="14" t="str">
        <f t="shared" si="713"/>
        <v xml:space="preserve"> </v>
      </c>
      <c r="EY190" s="14" t="str">
        <f t="shared" si="714"/>
        <v xml:space="preserve"> </v>
      </c>
      <c r="EZ190" s="14" t="str">
        <f t="shared" si="715"/>
        <v xml:space="preserve"> </v>
      </c>
      <c r="FA190" s="14" t="str">
        <f t="shared" si="716"/>
        <v xml:space="preserve"> </v>
      </c>
      <c r="FB190" s="14" t="str">
        <f t="shared" si="717"/>
        <v xml:space="preserve"> </v>
      </c>
      <c r="FC190" s="27" t="str">
        <f t="shared" si="707"/>
        <v xml:space="preserve"> </v>
      </c>
      <c r="FD190" s="14" t="str">
        <f t="shared" si="718"/>
        <v xml:space="preserve"> </v>
      </c>
      <c r="FE190" s="14" t="str">
        <f t="shared" si="719"/>
        <v xml:space="preserve"> </v>
      </c>
      <c r="FF190" s="14" t="str">
        <f t="shared" si="720"/>
        <v xml:space="preserve"> </v>
      </c>
      <c r="FG190" s="14" t="str">
        <f t="shared" si="721"/>
        <v xml:space="preserve"> </v>
      </c>
      <c r="FH190" s="14" t="str">
        <f t="shared" si="722"/>
        <v xml:space="preserve"> </v>
      </c>
      <c r="FI190" s="27" t="str">
        <f t="shared" si="707"/>
        <v xml:space="preserve"> </v>
      </c>
      <c r="FJ190" s="14" t="str">
        <f t="shared" si="723"/>
        <v xml:space="preserve"> </v>
      </c>
      <c r="FK190" s="14" t="str">
        <f t="shared" si="724"/>
        <v xml:space="preserve"> </v>
      </c>
      <c r="FL190" s="14" t="str">
        <f t="shared" si="725"/>
        <v xml:space="preserve"> </v>
      </c>
      <c r="FM190" s="14" t="str">
        <f t="shared" si="726"/>
        <v xml:space="preserve"> </v>
      </c>
      <c r="FN190" s="14" t="str">
        <f t="shared" si="727"/>
        <v xml:space="preserve"> </v>
      </c>
      <c r="FO190" s="27" t="str">
        <f t="shared" si="707"/>
        <v xml:space="preserve"> </v>
      </c>
      <c r="FP190" s="14" t="str">
        <f t="shared" si="728"/>
        <v xml:space="preserve"> </v>
      </c>
      <c r="FQ190" s="14" t="str">
        <f t="shared" si="729"/>
        <v xml:space="preserve"> </v>
      </c>
      <c r="FR190" s="14" t="str">
        <f t="shared" si="730"/>
        <v xml:space="preserve"> </v>
      </c>
      <c r="FS190" s="14" t="str">
        <f t="shared" si="731"/>
        <v xml:space="preserve"> </v>
      </c>
      <c r="FT190" s="14" t="str">
        <f t="shared" si="732"/>
        <v xml:space="preserve"> </v>
      </c>
      <c r="FU190" s="27" t="str">
        <f t="shared" si="707"/>
        <v xml:space="preserve"> </v>
      </c>
      <c r="FV190" s="14" t="str">
        <f t="shared" si="733"/>
        <v xml:space="preserve"> </v>
      </c>
      <c r="FW190" s="14" t="str">
        <f t="shared" si="734"/>
        <v xml:space="preserve"> </v>
      </c>
      <c r="FX190" s="14" t="str">
        <f t="shared" si="735"/>
        <v xml:space="preserve"> </v>
      </c>
      <c r="FY190" s="14" t="str">
        <f t="shared" si="736"/>
        <v xml:space="preserve"> </v>
      </c>
      <c r="FZ190" s="14" t="str">
        <f t="shared" si="737"/>
        <v xml:space="preserve"> </v>
      </c>
      <c r="GA190" s="27" t="str">
        <f t="shared" si="707"/>
        <v xml:space="preserve"> </v>
      </c>
      <c r="GB190" s="14" t="str">
        <f t="shared" si="738"/>
        <v xml:space="preserve"> </v>
      </c>
      <c r="GC190" s="14" t="str">
        <f t="shared" si="739"/>
        <v xml:space="preserve"> </v>
      </c>
      <c r="GD190" s="14" t="str">
        <f t="shared" si="740"/>
        <v xml:space="preserve"> </v>
      </c>
      <c r="GE190" s="14" t="str">
        <f t="shared" si="741"/>
        <v xml:space="preserve"> </v>
      </c>
      <c r="GF190" s="14" t="str">
        <f t="shared" si="742"/>
        <v xml:space="preserve"> </v>
      </c>
      <c r="GG190" s="27" t="str">
        <f t="shared" si="707"/>
        <v xml:space="preserve"> </v>
      </c>
      <c r="GH190" s="14" t="str">
        <f t="shared" si="743"/>
        <v xml:space="preserve"> </v>
      </c>
      <c r="GI190" s="14" t="str">
        <f t="shared" si="744"/>
        <v xml:space="preserve"> </v>
      </c>
      <c r="GJ190" s="14" t="str">
        <f t="shared" si="745"/>
        <v xml:space="preserve"> </v>
      </c>
      <c r="GK190" s="14" t="str">
        <f t="shared" si="746"/>
        <v xml:space="preserve"> </v>
      </c>
      <c r="GL190" s="14" t="str">
        <f t="shared" si="747"/>
        <v xml:space="preserve"> </v>
      </c>
      <c r="GM190" s="27" t="str">
        <f t="shared" si="707"/>
        <v xml:space="preserve"> </v>
      </c>
      <c r="GN190" s="14" t="str">
        <f t="shared" si="748"/>
        <v xml:space="preserve"> </v>
      </c>
      <c r="GO190" s="14" t="str">
        <f t="shared" si="749"/>
        <v xml:space="preserve"> </v>
      </c>
      <c r="GP190" s="14" t="str">
        <f t="shared" si="750"/>
        <v xml:space="preserve"> </v>
      </c>
      <c r="GQ190" s="14" t="str">
        <f t="shared" si="751"/>
        <v xml:space="preserve"> </v>
      </c>
      <c r="GR190" s="14" t="str">
        <f t="shared" si="752"/>
        <v xml:space="preserve"> </v>
      </c>
      <c r="GS190" s="27" t="str">
        <f t="shared" si="707"/>
        <v xml:space="preserve"> </v>
      </c>
      <c r="GT190" s="14" t="str">
        <f t="shared" si="753"/>
        <v xml:space="preserve"> </v>
      </c>
      <c r="GU190" s="14" t="str">
        <f t="shared" si="754"/>
        <v xml:space="preserve"> </v>
      </c>
      <c r="GV190" s="14" t="str">
        <f t="shared" si="755"/>
        <v xml:space="preserve"> </v>
      </c>
      <c r="GW190" s="14" t="str">
        <f t="shared" si="756"/>
        <v xml:space="preserve"> </v>
      </c>
      <c r="GX190" s="14" t="str">
        <f t="shared" si="757"/>
        <v xml:space="preserve"> </v>
      </c>
      <c r="GY190" s="27" t="str">
        <f t="shared" si="707"/>
        <v xml:space="preserve"> </v>
      </c>
      <c r="GZ190" s="14" t="str">
        <f t="shared" si="758"/>
        <v xml:space="preserve"> </v>
      </c>
      <c r="HA190" s="14" t="str">
        <f t="shared" si="759"/>
        <v xml:space="preserve"> </v>
      </c>
      <c r="HB190" s="14" t="str">
        <f t="shared" si="760"/>
        <v xml:space="preserve"> </v>
      </c>
      <c r="HC190" s="14" t="str">
        <f t="shared" si="761"/>
        <v xml:space="preserve"> </v>
      </c>
      <c r="HD190" s="14" t="str">
        <f t="shared" si="762"/>
        <v xml:space="preserve"> </v>
      </c>
      <c r="HE190" s="27" t="str">
        <f t="shared" si="763"/>
        <v xml:space="preserve"> </v>
      </c>
      <c r="HF190" s="14" t="str">
        <f t="shared" si="764"/>
        <v xml:space="preserve"> </v>
      </c>
      <c r="HG190" s="14" t="str">
        <f t="shared" si="765"/>
        <v xml:space="preserve"> </v>
      </c>
      <c r="HH190" s="14" t="str">
        <f t="shared" si="766"/>
        <v xml:space="preserve"> </v>
      </c>
      <c r="HI190" s="14" t="str">
        <f t="shared" si="767"/>
        <v xml:space="preserve"> </v>
      </c>
      <c r="HJ190" s="14" t="str">
        <f t="shared" si="768"/>
        <v xml:space="preserve"> </v>
      </c>
      <c r="HK190" s="27" t="str">
        <f t="shared" si="763"/>
        <v xml:space="preserve"> </v>
      </c>
      <c r="HL190" s="14" t="str">
        <f t="shared" si="769"/>
        <v xml:space="preserve"> </v>
      </c>
      <c r="HM190" s="14" t="str">
        <f t="shared" si="770"/>
        <v xml:space="preserve"> </v>
      </c>
      <c r="HN190" s="14" t="str">
        <f t="shared" si="771"/>
        <v xml:space="preserve"> </v>
      </c>
      <c r="HO190" s="14" t="str">
        <f t="shared" si="772"/>
        <v xml:space="preserve"> </v>
      </c>
      <c r="HP190" s="14" t="str">
        <f t="shared" si="773"/>
        <v xml:space="preserve"> </v>
      </c>
      <c r="HQ190" s="27" t="str">
        <f t="shared" si="763"/>
        <v xml:space="preserve"> </v>
      </c>
    </row>
    <row r="191" spans="1:225" ht="15.75" customHeight="1">
      <c r="A191" s="7">
        <f t="shared" ref="A191:C191" si="805">A83</f>
        <v>0</v>
      </c>
      <c r="B191" s="7">
        <f t="shared" si="805"/>
        <v>0</v>
      </c>
      <c r="C191" s="7" t="str">
        <f t="shared" si="805"/>
        <v>electronics</v>
      </c>
      <c r="D191" s="14" t="str">
        <f t="shared" si="775"/>
        <v xml:space="preserve"> </v>
      </c>
      <c r="E191" s="14" t="str">
        <f t="shared" si="776"/>
        <v xml:space="preserve"> </v>
      </c>
      <c r="F191" s="14" t="str">
        <f t="shared" si="777"/>
        <v xml:space="preserve"> </v>
      </c>
      <c r="G191" s="14" t="str">
        <f t="shared" si="778"/>
        <v xml:space="preserve"> </v>
      </c>
      <c r="H191" s="14" t="str">
        <f t="shared" si="779"/>
        <v xml:space="preserve"> </v>
      </c>
      <c r="I191" s="27" t="str">
        <f t="shared" ref="I191" si="806">IF(I83="",I192,$C191&amp;"("&amp;I83&amp;"),"&amp;I192)</f>
        <v xml:space="preserve"> </v>
      </c>
      <c r="J191" s="14" t="str">
        <f t="shared" si="590"/>
        <v xml:space="preserve"> </v>
      </c>
      <c r="K191" s="14" t="str">
        <f t="shared" si="591"/>
        <v xml:space="preserve"> </v>
      </c>
      <c r="L191" s="14" t="str">
        <f t="shared" si="592"/>
        <v xml:space="preserve"> </v>
      </c>
      <c r="M191" s="14" t="str">
        <f t="shared" si="593"/>
        <v xml:space="preserve"> </v>
      </c>
      <c r="N191" s="14" t="str">
        <f t="shared" si="594"/>
        <v xml:space="preserve"> </v>
      </c>
      <c r="O191" s="27" t="str">
        <f t="shared" si="595"/>
        <v xml:space="preserve"> </v>
      </c>
      <c r="P191" s="14" t="str">
        <f t="shared" si="596"/>
        <v xml:space="preserve"> </v>
      </c>
      <c r="Q191" s="14" t="str">
        <f t="shared" si="597"/>
        <v xml:space="preserve"> </v>
      </c>
      <c r="R191" s="14" t="str">
        <f t="shared" si="598"/>
        <v xml:space="preserve"> </v>
      </c>
      <c r="S191" s="14" t="str">
        <f t="shared" si="599"/>
        <v xml:space="preserve"> </v>
      </c>
      <c r="T191" s="14" t="str">
        <f t="shared" si="600"/>
        <v xml:space="preserve">aesthetics(-1,6.25%),  </v>
      </c>
      <c r="U191" s="27" t="str">
        <f t="shared" si="595"/>
        <v xml:space="preserve">aesthetics(6.25), </v>
      </c>
      <c r="V191" s="14" t="str">
        <f t="shared" si="601"/>
        <v xml:space="preserve"> </v>
      </c>
      <c r="W191" s="14" t="str">
        <f t="shared" si="602"/>
        <v xml:space="preserve"> </v>
      </c>
      <c r="X191" s="14" t="str">
        <f t="shared" si="603"/>
        <v xml:space="preserve"> </v>
      </c>
      <c r="Y191" s="14" t="str">
        <f t="shared" si="604"/>
        <v xml:space="preserve"> </v>
      </c>
      <c r="Z191" s="14" t="str">
        <f t="shared" si="605"/>
        <v xml:space="preserve"> </v>
      </c>
      <c r="AA191" s="27" t="str">
        <f t="shared" si="595"/>
        <v xml:space="preserve"> </v>
      </c>
      <c r="AB191" s="14" t="str">
        <f t="shared" si="606"/>
        <v xml:space="preserve"> </v>
      </c>
      <c r="AC191" s="14" t="str">
        <f t="shared" si="607"/>
        <v xml:space="preserve"> </v>
      </c>
      <c r="AD191" s="14" t="str">
        <f t="shared" si="608"/>
        <v xml:space="preserve"> </v>
      </c>
      <c r="AE191" s="14" t="str">
        <f t="shared" si="609"/>
        <v xml:space="preserve"> </v>
      </c>
      <c r="AF191" s="14" t="str">
        <f t="shared" si="610"/>
        <v xml:space="preserve"> </v>
      </c>
      <c r="AG191" s="27" t="str">
        <f t="shared" si="595"/>
        <v xml:space="preserve"> </v>
      </c>
      <c r="AH191" s="14" t="str">
        <f t="shared" si="611"/>
        <v xml:space="preserve"> </v>
      </c>
      <c r="AI191" s="14" t="str">
        <f t="shared" si="612"/>
        <v xml:space="preserve"> </v>
      </c>
      <c r="AJ191" s="14" t="str">
        <f t="shared" si="613"/>
        <v xml:space="preserve"> </v>
      </c>
      <c r="AK191" s="14" t="str">
        <f t="shared" si="614"/>
        <v xml:space="preserve"> </v>
      </c>
      <c r="AL191" s="14" t="str">
        <f t="shared" si="615"/>
        <v xml:space="preserve"> </v>
      </c>
      <c r="AM191" s="27" t="str">
        <f t="shared" si="595"/>
        <v xml:space="preserve"> </v>
      </c>
      <c r="AN191" s="14" t="str">
        <f t="shared" si="616"/>
        <v xml:space="preserve"> </v>
      </c>
      <c r="AO191" s="14" t="str">
        <f t="shared" si="617"/>
        <v xml:space="preserve"> </v>
      </c>
      <c r="AP191" s="14" t="str">
        <f t="shared" si="618"/>
        <v xml:space="preserve"> </v>
      </c>
      <c r="AQ191" s="14" t="str">
        <f t="shared" si="619"/>
        <v xml:space="preserve"> </v>
      </c>
      <c r="AR191" s="14" t="str">
        <f t="shared" si="620"/>
        <v xml:space="preserve"> </v>
      </c>
      <c r="AS191" s="27" t="str">
        <f t="shared" si="595"/>
        <v xml:space="preserve"> </v>
      </c>
      <c r="AT191" s="14" t="str">
        <f t="shared" si="621"/>
        <v xml:space="preserve"> </v>
      </c>
      <c r="AU191" s="14" t="str">
        <f t="shared" si="622"/>
        <v xml:space="preserve"> </v>
      </c>
      <c r="AV191" s="14" t="str">
        <f t="shared" si="623"/>
        <v xml:space="preserve"> </v>
      </c>
      <c r="AW191" s="14" t="str">
        <f t="shared" si="624"/>
        <v xml:space="preserve"> </v>
      </c>
      <c r="AX191" s="14" t="str">
        <f t="shared" si="625"/>
        <v xml:space="preserve"> </v>
      </c>
      <c r="AY191" s="27" t="str">
        <f t="shared" si="595"/>
        <v xml:space="preserve"> </v>
      </c>
      <c r="AZ191" s="14" t="str">
        <f t="shared" si="626"/>
        <v xml:space="preserve"> </v>
      </c>
      <c r="BA191" s="14" t="str">
        <f t="shared" si="627"/>
        <v xml:space="preserve"> </v>
      </c>
      <c r="BB191" s="14" t="str">
        <f t="shared" si="628"/>
        <v xml:space="preserve"> </v>
      </c>
      <c r="BC191" s="14" t="str">
        <f t="shared" si="629"/>
        <v xml:space="preserve"> </v>
      </c>
      <c r="BD191" s="14" t="str">
        <f t="shared" si="630"/>
        <v xml:space="preserve"> </v>
      </c>
      <c r="BE191" s="27" t="str">
        <f t="shared" si="595"/>
        <v xml:space="preserve"> </v>
      </c>
      <c r="BF191" s="14" t="str">
        <f t="shared" si="631"/>
        <v xml:space="preserve"> </v>
      </c>
      <c r="BG191" s="14" t="str">
        <f t="shared" si="632"/>
        <v xml:space="preserve"> </v>
      </c>
      <c r="BH191" s="14" t="str">
        <f t="shared" si="633"/>
        <v xml:space="preserve"> </v>
      </c>
      <c r="BI191" s="14" t="str">
        <f t="shared" si="634"/>
        <v xml:space="preserve"> </v>
      </c>
      <c r="BJ191" s="14" t="str">
        <f t="shared" si="635"/>
        <v xml:space="preserve"> </v>
      </c>
      <c r="BK191" s="27" t="str">
        <f t="shared" si="595"/>
        <v xml:space="preserve"> </v>
      </c>
      <c r="BL191" s="14" t="str">
        <f t="shared" si="636"/>
        <v xml:space="preserve">aesthetics(1)
 </v>
      </c>
      <c r="BM191" s="14" t="str">
        <f t="shared" si="637"/>
        <v xml:space="preserve">biz enhancement(1,%),  </v>
      </c>
      <c r="BN191" s="14" t="str">
        <f t="shared" si="638"/>
        <v xml:space="preserve"> </v>
      </c>
      <c r="BO191" s="14" t="str">
        <f t="shared" si="639"/>
        <v xml:space="preserve">aesthetics(2), functions(1), safety(1),  </v>
      </c>
      <c r="BP191" s="14" t="str">
        <f t="shared" si="640"/>
        <v xml:space="preserve"> </v>
      </c>
      <c r="BQ191" s="27" t="str">
        <f t="shared" si="595"/>
        <v xml:space="preserve"> </v>
      </c>
      <c r="BR191" s="14" t="str">
        <f t="shared" si="641"/>
        <v xml:space="preserve">aesthetics(1)
 </v>
      </c>
      <c r="BS191" s="14" t="str">
        <f t="shared" si="642"/>
        <v xml:space="preserve">biz project(1,%),  </v>
      </c>
      <c r="BT191" s="14" t="str">
        <f t="shared" si="643"/>
        <v xml:space="preserve"> </v>
      </c>
      <c r="BU191" s="14" t="str">
        <f t="shared" si="644"/>
        <v xml:space="preserve">aesthetics(2),  </v>
      </c>
      <c r="BV191" s="14" t="str">
        <f t="shared" si="645"/>
        <v xml:space="preserve"> </v>
      </c>
      <c r="BW191" s="27" t="str">
        <f t="shared" si="595"/>
        <v xml:space="preserve"> </v>
      </c>
      <c r="BX191" s="14" t="str">
        <f t="shared" si="646"/>
        <v xml:space="preserve">aesthetics(1)
interaction(1)
 </v>
      </c>
      <c r="BY191" s="14" t="str">
        <f t="shared" si="647"/>
        <v xml:space="preserve">biz project(1,%),  </v>
      </c>
      <c r="BZ191" s="14" t="str">
        <f t="shared" si="648"/>
        <v xml:space="preserve"> </v>
      </c>
      <c r="CA191" s="14" t="str">
        <f t="shared" si="649"/>
        <v xml:space="preserve">aesthetics(2), functions(1), interaction(2),  </v>
      </c>
      <c r="CB191" s="14" t="str">
        <f t="shared" si="650"/>
        <v xml:space="preserve"> </v>
      </c>
      <c r="CC191" s="27" t="str">
        <f t="shared" si="651"/>
        <v xml:space="preserve"> </v>
      </c>
      <c r="CD191" s="14" t="str">
        <f t="shared" si="652"/>
        <v xml:space="preserve">aesthetics(1)
 </v>
      </c>
      <c r="CE191" s="14" t="str">
        <f t="shared" si="653"/>
        <v xml:space="preserve">biz project(1,%),  </v>
      </c>
      <c r="CF191" s="14" t="str">
        <f t="shared" si="654"/>
        <v xml:space="preserve"> </v>
      </c>
      <c r="CG191" s="14" t="str">
        <f t="shared" si="655"/>
        <v xml:space="preserve">aesthetics(2), functions(1), interaction(2),  </v>
      </c>
      <c r="CH191" s="14" t="str">
        <f t="shared" si="656"/>
        <v xml:space="preserve"> </v>
      </c>
      <c r="CI191" s="27" t="str">
        <f t="shared" si="651"/>
        <v xml:space="preserve"> </v>
      </c>
      <c r="CJ191" s="14" t="str">
        <f t="shared" si="657"/>
        <v xml:space="preserve">aesthetics(1)
 </v>
      </c>
      <c r="CK191" s="14" t="str">
        <f t="shared" si="658"/>
        <v xml:space="preserve">biz project(1,%),  </v>
      </c>
      <c r="CL191" s="14" t="str">
        <f t="shared" si="659"/>
        <v xml:space="preserve"> </v>
      </c>
      <c r="CM191" s="14" t="str">
        <f t="shared" si="660"/>
        <v xml:space="preserve">aesthetics(2), functions(1), interaction(2),  </v>
      </c>
      <c r="CN191" s="14" t="str">
        <f t="shared" si="661"/>
        <v xml:space="preserve"> </v>
      </c>
      <c r="CO191" s="27" t="str">
        <f t="shared" si="651"/>
        <v xml:space="preserve"> </v>
      </c>
      <c r="CP191" s="14" t="str">
        <f t="shared" si="662"/>
        <v xml:space="preserve">functions(1)
 </v>
      </c>
      <c r="CQ191" s="14" t="str">
        <f t="shared" si="663"/>
        <v xml:space="preserve">biz enhancement(1,50%),  </v>
      </c>
      <c r="CR191" s="14" t="str">
        <f t="shared" si="664"/>
        <v xml:space="preserve">biz enhancement(50)
 </v>
      </c>
      <c r="CS191" s="14" t="str">
        <f t="shared" si="665"/>
        <v xml:space="preserve">electronics(2), aesthetics(2), functions(2), safety(2),  </v>
      </c>
      <c r="CT191" s="14" t="str">
        <f t="shared" si="666"/>
        <v xml:space="preserve"> </v>
      </c>
      <c r="CU191" s="27" t="str">
        <f t="shared" si="651"/>
        <v xml:space="preserve"> </v>
      </c>
      <c r="CV191" s="14" t="str">
        <f t="shared" si="667"/>
        <v xml:space="preserve">aesthetics(1)
interaction(1)
 </v>
      </c>
      <c r="CW191" s="14" t="str">
        <f t="shared" si="668"/>
        <v xml:space="preserve">social project(1,50%),  </v>
      </c>
      <c r="CX191" s="14" t="str">
        <f t="shared" si="669"/>
        <v xml:space="preserve">social project(50)
 </v>
      </c>
      <c r="CY191" s="14" t="str">
        <f t="shared" si="670"/>
        <v xml:space="preserve">electronics(2), aesthetics(2), functions(1), safety(1), interaction(2),  </v>
      </c>
      <c r="CZ191" s="14" t="str">
        <f t="shared" si="671"/>
        <v xml:space="preserve"> </v>
      </c>
      <c r="DA191" s="27" t="str">
        <f t="shared" si="651"/>
        <v xml:space="preserve"> </v>
      </c>
      <c r="DB191" s="14" t="str">
        <f t="shared" si="672"/>
        <v xml:space="preserve">aesthetics(1)
interaction(1)
 </v>
      </c>
      <c r="DC191" s="14" t="str">
        <f t="shared" si="673"/>
        <v xml:space="preserve">social project(1,50%),  </v>
      </c>
      <c r="DD191" s="14" t="str">
        <f t="shared" si="674"/>
        <v xml:space="preserve">social project(50)
 </v>
      </c>
      <c r="DE191" s="14" t="str">
        <f t="shared" si="675"/>
        <v xml:space="preserve"> </v>
      </c>
      <c r="DF191" s="14" t="str">
        <f t="shared" si="676"/>
        <v xml:space="preserve"> </v>
      </c>
      <c r="DG191" s="27" t="str">
        <f t="shared" si="651"/>
        <v xml:space="preserve"> </v>
      </c>
      <c r="DH191" s="14" t="str">
        <f t="shared" si="677"/>
        <v xml:space="preserve">aesthetics(1)
safety(1)
 </v>
      </c>
      <c r="DI191" s="14" t="str">
        <f t="shared" si="678"/>
        <v xml:space="preserve">social project(1,100%),  </v>
      </c>
      <c r="DJ191" s="14" t="str">
        <f t="shared" si="679"/>
        <v xml:space="preserve">social project(100)
 </v>
      </c>
      <c r="DK191" s="14" t="str">
        <f t="shared" si="680"/>
        <v xml:space="preserve">electronics(2), fabric(1), aesthetics(1), functions(2), safety(2), interaction(2),  </v>
      </c>
      <c r="DL191" s="14" t="str">
        <f t="shared" si="681"/>
        <v xml:space="preserve"> </v>
      </c>
      <c r="DM191" s="27" t="str">
        <f t="shared" si="651"/>
        <v xml:space="preserve"> </v>
      </c>
      <c r="DN191" s="14" t="str">
        <f t="shared" si="682"/>
        <v xml:space="preserve">electronics(1)
aesthetics(2)
functions(1)
safety(1)
biz project(1)
 </v>
      </c>
      <c r="DO191" s="14" t="str">
        <f t="shared" si="683"/>
        <v xml:space="preserve"> </v>
      </c>
      <c r="DP191" s="14" t="str">
        <f t="shared" si="684"/>
        <v xml:space="preserve"> </v>
      </c>
      <c r="DQ191" s="14" t="str">
        <f t="shared" si="685"/>
        <v xml:space="preserve">electronics(2), aesthetics(2),  </v>
      </c>
      <c r="DR191" s="14" t="str">
        <f t="shared" si="686"/>
        <v xml:space="preserve"> </v>
      </c>
      <c r="DS191" s="27" t="str">
        <f t="shared" si="651"/>
        <v xml:space="preserve"> </v>
      </c>
      <c r="DT191" s="14" t="str">
        <f t="shared" si="687"/>
        <v xml:space="preserve"> </v>
      </c>
      <c r="DU191" s="14" t="str">
        <f t="shared" si="688"/>
        <v xml:space="preserve"> </v>
      </c>
      <c r="DV191" s="14" t="str">
        <f t="shared" si="689"/>
        <v xml:space="preserve"> </v>
      </c>
      <c r="DW191" s="14" t="str">
        <f t="shared" si="690"/>
        <v xml:space="preserve"> </v>
      </c>
      <c r="DX191" s="14" t="str">
        <f t="shared" si="691"/>
        <v xml:space="preserve"> </v>
      </c>
      <c r="DY191" s="27" t="str">
        <f t="shared" si="651"/>
        <v xml:space="preserve"> </v>
      </c>
      <c r="DZ191" s="14" t="str">
        <f t="shared" si="692"/>
        <v xml:space="preserve"> </v>
      </c>
      <c r="EA191" s="14" t="str">
        <f t="shared" si="693"/>
        <v xml:space="preserve"> </v>
      </c>
      <c r="EB191" s="14" t="str">
        <f t="shared" si="694"/>
        <v xml:space="preserve"> </v>
      </c>
      <c r="EC191" s="14" t="str">
        <f t="shared" si="695"/>
        <v xml:space="preserve"> </v>
      </c>
      <c r="ED191" s="14" t="str">
        <f t="shared" si="696"/>
        <v xml:space="preserve"> </v>
      </c>
      <c r="EE191" s="27" t="str">
        <f t="shared" si="651"/>
        <v xml:space="preserve"> </v>
      </c>
      <c r="EF191" s="14" t="str">
        <f t="shared" si="697"/>
        <v xml:space="preserve"> </v>
      </c>
      <c r="EG191" s="14" t="str">
        <f t="shared" si="698"/>
        <v xml:space="preserve"> </v>
      </c>
      <c r="EH191" s="14" t="str">
        <f t="shared" si="699"/>
        <v xml:space="preserve"> </v>
      </c>
      <c r="EI191" s="14" t="str">
        <f t="shared" si="700"/>
        <v xml:space="preserve"> </v>
      </c>
      <c r="EJ191" s="14" t="str">
        <f t="shared" si="701"/>
        <v xml:space="preserve"> </v>
      </c>
      <c r="EK191" s="27" t="str">
        <f t="shared" si="651"/>
        <v xml:space="preserve"> </v>
      </c>
      <c r="EL191" s="14" t="str">
        <f t="shared" si="702"/>
        <v xml:space="preserve"> </v>
      </c>
      <c r="EM191" s="14" t="str">
        <f t="shared" si="703"/>
        <v xml:space="preserve"> </v>
      </c>
      <c r="EN191" s="14" t="str">
        <f t="shared" si="704"/>
        <v xml:space="preserve"> </v>
      </c>
      <c r="EO191" s="14" t="str">
        <f t="shared" si="705"/>
        <v xml:space="preserve"> </v>
      </c>
      <c r="EP191" s="14" t="str">
        <f t="shared" si="706"/>
        <v xml:space="preserve"> </v>
      </c>
      <c r="EQ191" s="27" t="str">
        <f t="shared" si="707"/>
        <v xml:space="preserve"> </v>
      </c>
      <c r="ER191" s="14" t="str">
        <f t="shared" si="708"/>
        <v xml:space="preserve"> </v>
      </c>
      <c r="ES191" s="14" t="str">
        <f t="shared" si="709"/>
        <v xml:space="preserve"> </v>
      </c>
      <c r="ET191" s="14" t="str">
        <f t="shared" si="710"/>
        <v xml:space="preserve"> </v>
      </c>
      <c r="EU191" s="14" t="str">
        <f t="shared" si="711"/>
        <v xml:space="preserve"> </v>
      </c>
      <c r="EV191" s="14" t="str">
        <f t="shared" si="712"/>
        <v xml:space="preserve"> </v>
      </c>
      <c r="EW191" s="27" t="str">
        <f t="shared" si="707"/>
        <v xml:space="preserve"> </v>
      </c>
      <c r="EX191" s="14" t="str">
        <f t="shared" si="713"/>
        <v xml:space="preserve"> </v>
      </c>
      <c r="EY191" s="14" t="str">
        <f t="shared" si="714"/>
        <v xml:space="preserve"> </v>
      </c>
      <c r="EZ191" s="14" t="str">
        <f t="shared" si="715"/>
        <v xml:space="preserve"> </v>
      </c>
      <c r="FA191" s="14" t="str">
        <f t="shared" si="716"/>
        <v xml:space="preserve"> </v>
      </c>
      <c r="FB191" s="14" t="str">
        <f t="shared" si="717"/>
        <v xml:space="preserve"> </v>
      </c>
      <c r="FC191" s="27" t="str">
        <f t="shared" si="707"/>
        <v xml:space="preserve"> </v>
      </c>
      <c r="FD191" s="14" t="str">
        <f t="shared" si="718"/>
        <v xml:space="preserve"> </v>
      </c>
      <c r="FE191" s="14" t="str">
        <f t="shared" si="719"/>
        <v xml:space="preserve"> </v>
      </c>
      <c r="FF191" s="14" t="str">
        <f t="shared" si="720"/>
        <v xml:space="preserve"> </v>
      </c>
      <c r="FG191" s="14" t="str">
        <f t="shared" si="721"/>
        <v xml:space="preserve"> </v>
      </c>
      <c r="FH191" s="14" t="str">
        <f t="shared" si="722"/>
        <v xml:space="preserve"> </v>
      </c>
      <c r="FI191" s="27" t="str">
        <f t="shared" si="707"/>
        <v xml:space="preserve"> </v>
      </c>
      <c r="FJ191" s="14" t="str">
        <f t="shared" si="723"/>
        <v xml:space="preserve"> </v>
      </c>
      <c r="FK191" s="14" t="str">
        <f t="shared" si="724"/>
        <v xml:space="preserve"> </v>
      </c>
      <c r="FL191" s="14" t="str">
        <f t="shared" si="725"/>
        <v xml:space="preserve"> </v>
      </c>
      <c r="FM191" s="14" t="str">
        <f t="shared" si="726"/>
        <v xml:space="preserve"> </v>
      </c>
      <c r="FN191" s="14" t="str">
        <f t="shared" si="727"/>
        <v xml:space="preserve"> </v>
      </c>
      <c r="FO191" s="27" t="str">
        <f t="shared" si="707"/>
        <v xml:space="preserve"> </v>
      </c>
      <c r="FP191" s="14" t="str">
        <f t="shared" si="728"/>
        <v xml:space="preserve"> </v>
      </c>
      <c r="FQ191" s="14" t="str">
        <f t="shared" si="729"/>
        <v xml:space="preserve"> </v>
      </c>
      <c r="FR191" s="14" t="str">
        <f t="shared" si="730"/>
        <v xml:space="preserve"> </v>
      </c>
      <c r="FS191" s="14" t="str">
        <f t="shared" si="731"/>
        <v xml:space="preserve"> </v>
      </c>
      <c r="FT191" s="14" t="str">
        <f t="shared" si="732"/>
        <v xml:space="preserve"> </v>
      </c>
      <c r="FU191" s="27" t="str">
        <f t="shared" si="707"/>
        <v xml:space="preserve"> </v>
      </c>
      <c r="FV191" s="14" t="str">
        <f t="shared" si="733"/>
        <v xml:space="preserve"> </v>
      </c>
      <c r="FW191" s="14" t="str">
        <f t="shared" si="734"/>
        <v xml:space="preserve"> </v>
      </c>
      <c r="FX191" s="14" t="str">
        <f t="shared" si="735"/>
        <v xml:space="preserve"> </v>
      </c>
      <c r="FY191" s="14" t="str">
        <f t="shared" si="736"/>
        <v xml:space="preserve"> </v>
      </c>
      <c r="FZ191" s="14" t="str">
        <f t="shared" si="737"/>
        <v xml:space="preserve"> </v>
      </c>
      <c r="GA191" s="27" t="str">
        <f t="shared" si="707"/>
        <v xml:space="preserve"> </v>
      </c>
      <c r="GB191" s="14" t="str">
        <f t="shared" si="738"/>
        <v xml:space="preserve"> </v>
      </c>
      <c r="GC191" s="14" t="str">
        <f t="shared" si="739"/>
        <v xml:space="preserve"> </v>
      </c>
      <c r="GD191" s="14" t="str">
        <f t="shared" si="740"/>
        <v xml:space="preserve"> </v>
      </c>
      <c r="GE191" s="14" t="str">
        <f t="shared" si="741"/>
        <v xml:space="preserve"> </v>
      </c>
      <c r="GF191" s="14" t="str">
        <f t="shared" si="742"/>
        <v xml:space="preserve"> </v>
      </c>
      <c r="GG191" s="27" t="str">
        <f t="shared" si="707"/>
        <v xml:space="preserve"> </v>
      </c>
      <c r="GH191" s="14" t="str">
        <f t="shared" si="743"/>
        <v xml:space="preserve"> </v>
      </c>
      <c r="GI191" s="14" t="str">
        <f t="shared" si="744"/>
        <v xml:space="preserve"> </v>
      </c>
      <c r="GJ191" s="14" t="str">
        <f t="shared" si="745"/>
        <v xml:space="preserve"> </v>
      </c>
      <c r="GK191" s="14" t="str">
        <f t="shared" si="746"/>
        <v xml:space="preserve"> </v>
      </c>
      <c r="GL191" s="14" t="str">
        <f t="shared" si="747"/>
        <v xml:space="preserve"> </v>
      </c>
      <c r="GM191" s="27" t="str">
        <f t="shared" si="707"/>
        <v xml:space="preserve"> </v>
      </c>
      <c r="GN191" s="14" t="str">
        <f t="shared" si="748"/>
        <v xml:space="preserve"> </v>
      </c>
      <c r="GO191" s="14" t="str">
        <f t="shared" si="749"/>
        <v xml:space="preserve"> </v>
      </c>
      <c r="GP191" s="14" t="str">
        <f t="shared" si="750"/>
        <v xml:space="preserve"> </v>
      </c>
      <c r="GQ191" s="14" t="str">
        <f t="shared" si="751"/>
        <v xml:space="preserve"> </v>
      </c>
      <c r="GR191" s="14" t="str">
        <f t="shared" si="752"/>
        <v xml:space="preserve"> </v>
      </c>
      <c r="GS191" s="27" t="str">
        <f t="shared" si="707"/>
        <v xml:space="preserve"> </v>
      </c>
      <c r="GT191" s="14" t="str">
        <f t="shared" si="753"/>
        <v xml:space="preserve"> </v>
      </c>
      <c r="GU191" s="14" t="str">
        <f t="shared" si="754"/>
        <v xml:space="preserve"> </v>
      </c>
      <c r="GV191" s="14" t="str">
        <f t="shared" si="755"/>
        <v xml:space="preserve"> </v>
      </c>
      <c r="GW191" s="14" t="str">
        <f t="shared" si="756"/>
        <v xml:space="preserve"> </v>
      </c>
      <c r="GX191" s="14" t="str">
        <f t="shared" si="757"/>
        <v xml:space="preserve"> </v>
      </c>
      <c r="GY191" s="27" t="str">
        <f t="shared" si="707"/>
        <v xml:space="preserve"> </v>
      </c>
      <c r="GZ191" s="14" t="str">
        <f t="shared" si="758"/>
        <v xml:space="preserve"> </v>
      </c>
      <c r="HA191" s="14" t="str">
        <f t="shared" si="759"/>
        <v xml:space="preserve"> </v>
      </c>
      <c r="HB191" s="14" t="str">
        <f t="shared" si="760"/>
        <v xml:space="preserve"> </v>
      </c>
      <c r="HC191" s="14" t="str">
        <f t="shared" si="761"/>
        <v xml:space="preserve"> </v>
      </c>
      <c r="HD191" s="14" t="str">
        <f t="shared" si="762"/>
        <v xml:space="preserve"> </v>
      </c>
      <c r="HE191" s="27" t="str">
        <f t="shared" si="763"/>
        <v xml:space="preserve"> </v>
      </c>
      <c r="HF191" s="14" t="str">
        <f t="shared" si="764"/>
        <v xml:space="preserve"> </v>
      </c>
      <c r="HG191" s="14" t="str">
        <f t="shared" si="765"/>
        <v xml:space="preserve"> </v>
      </c>
      <c r="HH191" s="14" t="str">
        <f t="shared" si="766"/>
        <v xml:space="preserve"> </v>
      </c>
      <c r="HI191" s="14" t="str">
        <f t="shared" si="767"/>
        <v xml:space="preserve"> </v>
      </c>
      <c r="HJ191" s="14" t="str">
        <f t="shared" si="768"/>
        <v xml:space="preserve"> </v>
      </c>
      <c r="HK191" s="27" t="str">
        <f t="shared" si="763"/>
        <v xml:space="preserve"> </v>
      </c>
      <c r="HL191" s="14" t="str">
        <f t="shared" si="769"/>
        <v xml:space="preserve"> </v>
      </c>
      <c r="HM191" s="14" t="str">
        <f t="shared" si="770"/>
        <v xml:space="preserve"> </v>
      </c>
      <c r="HN191" s="14" t="str">
        <f t="shared" si="771"/>
        <v xml:space="preserve"> </v>
      </c>
      <c r="HO191" s="14" t="str">
        <f t="shared" si="772"/>
        <v xml:space="preserve"> </v>
      </c>
      <c r="HP191" s="14" t="str">
        <f t="shared" si="773"/>
        <v xml:space="preserve"> </v>
      </c>
      <c r="HQ191" s="27" t="str">
        <f t="shared" si="763"/>
        <v xml:space="preserve"> </v>
      </c>
    </row>
    <row r="192" spans="1:225" ht="15.75" customHeight="1">
      <c r="A192" s="7">
        <f t="shared" ref="A192:C192" si="807">A84</f>
        <v>0</v>
      </c>
      <c r="B192" s="7">
        <f t="shared" si="807"/>
        <v>0</v>
      </c>
      <c r="C192" s="7" t="str">
        <f t="shared" si="807"/>
        <v>fabric</v>
      </c>
      <c r="D192" s="14" t="str">
        <f t="shared" si="775"/>
        <v xml:space="preserve"> </v>
      </c>
      <c r="E192" s="14" t="str">
        <f t="shared" si="776"/>
        <v xml:space="preserve"> </v>
      </c>
      <c r="F192" s="14" t="str">
        <f t="shared" si="777"/>
        <v xml:space="preserve"> </v>
      </c>
      <c r="G192" s="14" t="str">
        <f t="shared" si="778"/>
        <v xml:space="preserve"> </v>
      </c>
      <c r="H192" s="14" t="str">
        <f t="shared" si="779"/>
        <v xml:space="preserve"> </v>
      </c>
      <c r="I192" s="27" t="str">
        <f t="shared" ref="I192" si="808">IF(I84="",I193,$C192&amp;"("&amp;I84&amp;"),"&amp;I193)</f>
        <v xml:space="preserve"> </v>
      </c>
      <c r="J192" s="14" t="str">
        <f t="shared" si="590"/>
        <v xml:space="preserve"> </v>
      </c>
      <c r="K192" s="14" t="str">
        <f t="shared" si="591"/>
        <v xml:space="preserve"> </v>
      </c>
      <c r="L192" s="14" t="str">
        <f t="shared" si="592"/>
        <v xml:space="preserve"> </v>
      </c>
      <c r="M192" s="14" t="str">
        <f t="shared" si="593"/>
        <v xml:space="preserve"> </v>
      </c>
      <c r="N192" s="14" t="str">
        <f t="shared" si="594"/>
        <v xml:space="preserve"> </v>
      </c>
      <c r="O192" s="27" t="str">
        <f t="shared" si="595"/>
        <v xml:space="preserve"> </v>
      </c>
      <c r="P192" s="14" t="str">
        <f t="shared" si="596"/>
        <v xml:space="preserve"> </v>
      </c>
      <c r="Q192" s="14" t="str">
        <f t="shared" si="597"/>
        <v xml:space="preserve"> </v>
      </c>
      <c r="R192" s="14" t="str">
        <f t="shared" si="598"/>
        <v xml:space="preserve"> </v>
      </c>
      <c r="S192" s="14" t="str">
        <f t="shared" si="599"/>
        <v xml:space="preserve"> </v>
      </c>
      <c r="T192" s="14" t="str">
        <f t="shared" si="600"/>
        <v xml:space="preserve">aesthetics(-1,6.25%),  </v>
      </c>
      <c r="U192" s="27" t="str">
        <f t="shared" si="595"/>
        <v xml:space="preserve">aesthetics(6.25), </v>
      </c>
      <c r="V192" s="14" t="str">
        <f t="shared" si="601"/>
        <v xml:space="preserve"> </v>
      </c>
      <c r="W192" s="14" t="str">
        <f t="shared" si="602"/>
        <v xml:space="preserve"> </v>
      </c>
      <c r="X192" s="14" t="str">
        <f t="shared" si="603"/>
        <v xml:space="preserve"> </v>
      </c>
      <c r="Y192" s="14" t="str">
        <f t="shared" si="604"/>
        <v xml:space="preserve"> </v>
      </c>
      <c r="Z192" s="14" t="str">
        <f t="shared" si="605"/>
        <v xml:space="preserve"> </v>
      </c>
      <c r="AA192" s="27" t="str">
        <f t="shared" si="595"/>
        <v xml:space="preserve"> </v>
      </c>
      <c r="AB192" s="14" t="str">
        <f t="shared" si="606"/>
        <v xml:space="preserve"> </v>
      </c>
      <c r="AC192" s="14" t="str">
        <f t="shared" si="607"/>
        <v xml:space="preserve"> </v>
      </c>
      <c r="AD192" s="14" t="str">
        <f t="shared" si="608"/>
        <v xml:space="preserve"> </v>
      </c>
      <c r="AE192" s="14" t="str">
        <f t="shared" si="609"/>
        <v xml:space="preserve"> </v>
      </c>
      <c r="AF192" s="14" t="str">
        <f t="shared" si="610"/>
        <v xml:space="preserve"> </v>
      </c>
      <c r="AG192" s="27" t="str">
        <f t="shared" si="595"/>
        <v xml:space="preserve"> </v>
      </c>
      <c r="AH192" s="14" t="str">
        <f t="shared" si="611"/>
        <v xml:space="preserve"> </v>
      </c>
      <c r="AI192" s="14" t="str">
        <f t="shared" si="612"/>
        <v xml:space="preserve"> </v>
      </c>
      <c r="AJ192" s="14" t="str">
        <f t="shared" si="613"/>
        <v xml:space="preserve"> </v>
      </c>
      <c r="AK192" s="14" t="str">
        <f t="shared" si="614"/>
        <v xml:space="preserve"> </v>
      </c>
      <c r="AL192" s="14" t="str">
        <f t="shared" si="615"/>
        <v xml:space="preserve"> </v>
      </c>
      <c r="AM192" s="27" t="str">
        <f t="shared" si="595"/>
        <v xml:space="preserve"> </v>
      </c>
      <c r="AN192" s="14" t="str">
        <f t="shared" si="616"/>
        <v xml:space="preserve"> </v>
      </c>
      <c r="AO192" s="14" t="str">
        <f t="shared" si="617"/>
        <v xml:space="preserve"> </v>
      </c>
      <c r="AP192" s="14" t="str">
        <f t="shared" si="618"/>
        <v xml:space="preserve"> </v>
      </c>
      <c r="AQ192" s="14" t="str">
        <f t="shared" si="619"/>
        <v xml:space="preserve"> </v>
      </c>
      <c r="AR192" s="14" t="str">
        <f t="shared" si="620"/>
        <v xml:space="preserve"> </v>
      </c>
      <c r="AS192" s="27" t="str">
        <f t="shared" si="595"/>
        <v xml:space="preserve"> </v>
      </c>
      <c r="AT192" s="14" t="str">
        <f t="shared" si="621"/>
        <v xml:space="preserve"> </v>
      </c>
      <c r="AU192" s="14" t="str">
        <f t="shared" si="622"/>
        <v xml:space="preserve"> </v>
      </c>
      <c r="AV192" s="14" t="str">
        <f t="shared" si="623"/>
        <v xml:space="preserve"> </v>
      </c>
      <c r="AW192" s="14" t="str">
        <f t="shared" si="624"/>
        <v xml:space="preserve"> </v>
      </c>
      <c r="AX192" s="14" t="str">
        <f t="shared" si="625"/>
        <v xml:space="preserve"> </v>
      </c>
      <c r="AY192" s="27" t="str">
        <f t="shared" si="595"/>
        <v xml:space="preserve"> </v>
      </c>
      <c r="AZ192" s="14" t="str">
        <f t="shared" si="626"/>
        <v xml:space="preserve"> </v>
      </c>
      <c r="BA192" s="14" t="str">
        <f t="shared" si="627"/>
        <v xml:space="preserve"> </v>
      </c>
      <c r="BB192" s="14" t="str">
        <f t="shared" si="628"/>
        <v xml:space="preserve"> </v>
      </c>
      <c r="BC192" s="14" t="str">
        <f t="shared" si="629"/>
        <v xml:space="preserve"> </v>
      </c>
      <c r="BD192" s="14" t="str">
        <f t="shared" si="630"/>
        <v xml:space="preserve"> </v>
      </c>
      <c r="BE192" s="27" t="str">
        <f t="shared" si="595"/>
        <v xml:space="preserve"> </v>
      </c>
      <c r="BF192" s="14" t="str">
        <f t="shared" si="631"/>
        <v xml:space="preserve"> </v>
      </c>
      <c r="BG192" s="14" t="str">
        <f t="shared" si="632"/>
        <v xml:space="preserve"> </v>
      </c>
      <c r="BH192" s="14" t="str">
        <f t="shared" si="633"/>
        <v xml:space="preserve"> </v>
      </c>
      <c r="BI192" s="14" t="str">
        <f t="shared" si="634"/>
        <v xml:space="preserve"> </v>
      </c>
      <c r="BJ192" s="14" t="str">
        <f t="shared" si="635"/>
        <v xml:space="preserve"> </v>
      </c>
      <c r="BK192" s="27" t="str">
        <f t="shared" si="595"/>
        <v xml:space="preserve"> </v>
      </c>
      <c r="BL192" s="14" t="str">
        <f t="shared" si="636"/>
        <v xml:space="preserve">aesthetics(1)
 </v>
      </c>
      <c r="BM192" s="14" t="str">
        <f t="shared" si="637"/>
        <v xml:space="preserve">biz enhancement(1,%),  </v>
      </c>
      <c r="BN192" s="14" t="str">
        <f t="shared" si="638"/>
        <v xml:space="preserve"> </v>
      </c>
      <c r="BO192" s="14" t="str">
        <f t="shared" si="639"/>
        <v xml:space="preserve">aesthetics(2), functions(1), safety(1),  </v>
      </c>
      <c r="BP192" s="14" t="str">
        <f t="shared" si="640"/>
        <v xml:space="preserve"> </v>
      </c>
      <c r="BQ192" s="27" t="str">
        <f t="shared" si="595"/>
        <v xml:space="preserve"> </v>
      </c>
      <c r="BR192" s="14" t="str">
        <f t="shared" si="641"/>
        <v xml:space="preserve">aesthetics(1)
 </v>
      </c>
      <c r="BS192" s="14" t="str">
        <f t="shared" si="642"/>
        <v xml:space="preserve">biz project(1,%),  </v>
      </c>
      <c r="BT192" s="14" t="str">
        <f t="shared" si="643"/>
        <v xml:space="preserve"> </v>
      </c>
      <c r="BU192" s="14" t="str">
        <f t="shared" si="644"/>
        <v xml:space="preserve">aesthetics(2),  </v>
      </c>
      <c r="BV192" s="14" t="str">
        <f t="shared" si="645"/>
        <v xml:space="preserve"> </v>
      </c>
      <c r="BW192" s="27" t="str">
        <f t="shared" si="595"/>
        <v xml:space="preserve"> </v>
      </c>
      <c r="BX192" s="14" t="str">
        <f t="shared" si="646"/>
        <v xml:space="preserve">aesthetics(1)
interaction(1)
 </v>
      </c>
      <c r="BY192" s="14" t="str">
        <f t="shared" si="647"/>
        <v xml:space="preserve">biz project(1,%),  </v>
      </c>
      <c r="BZ192" s="14" t="str">
        <f t="shared" si="648"/>
        <v xml:space="preserve"> </v>
      </c>
      <c r="CA192" s="14" t="str">
        <f t="shared" si="649"/>
        <v xml:space="preserve">aesthetics(2), functions(1), interaction(2),  </v>
      </c>
      <c r="CB192" s="14" t="str">
        <f t="shared" si="650"/>
        <v xml:space="preserve"> </v>
      </c>
      <c r="CC192" s="27" t="str">
        <f t="shared" si="651"/>
        <v xml:space="preserve"> </v>
      </c>
      <c r="CD192" s="14" t="str">
        <f t="shared" si="652"/>
        <v xml:space="preserve">aesthetics(1)
 </v>
      </c>
      <c r="CE192" s="14" t="str">
        <f t="shared" si="653"/>
        <v xml:space="preserve">biz project(1,%),  </v>
      </c>
      <c r="CF192" s="14" t="str">
        <f t="shared" si="654"/>
        <v xml:space="preserve"> </v>
      </c>
      <c r="CG192" s="14" t="str">
        <f t="shared" si="655"/>
        <v xml:space="preserve">aesthetics(2), functions(1), interaction(2),  </v>
      </c>
      <c r="CH192" s="14" t="str">
        <f t="shared" si="656"/>
        <v xml:space="preserve"> </v>
      </c>
      <c r="CI192" s="27" t="str">
        <f t="shared" si="651"/>
        <v xml:space="preserve"> </v>
      </c>
      <c r="CJ192" s="14" t="str">
        <f t="shared" si="657"/>
        <v xml:space="preserve">aesthetics(1)
 </v>
      </c>
      <c r="CK192" s="14" t="str">
        <f t="shared" si="658"/>
        <v xml:space="preserve">biz project(1,%),  </v>
      </c>
      <c r="CL192" s="14" t="str">
        <f t="shared" si="659"/>
        <v xml:space="preserve"> </v>
      </c>
      <c r="CM192" s="14" t="str">
        <f t="shared" si="660"/>
        <v xml:space="preserve">aesthetics(2), functions(1), interaction(2),  </v>
      </c>
      <c r="CN192" s="14" t="str">
        <f t="shared" si="661"/>
        <v xml:space="preserve"> </v>
      </c>
      <c r="CO192" s="27" t="str">
        <f t="shared" si="651"/>
        <v xml:space="preserve"> </v>
      </c>
      <c r="CP192" s="14" t="str">
        <f t="shared" si="662"/>
        <v xml:space="preserve">functions(1)
 </v>
      </c>
      <c r="CQ192" s="14" t="str">
        <f t="shared" si="663"/>
        <v xml:space="preserve">biz enhancement(1,50%),  </v>
      </c>
      <c r="CR192" s="14" t="str">
        <f t="shared" si="664"/>
        <v xml:space="preserve">biz enhancement(50)
 </v>
      </c>
      <c r="CS192" s="14" t="str">
        <f t="shared" si="665"/>
        <v xml:space="preserve">aesthetics(2), functions(2), safety(2),  </v>
      </c>
      <c r="CT192" s="14" t="str">
        <f t="shared" si="666"/>
        <v xml:space="preserve"> </v>
      </c>
      <c r="CU192" s="27" t="str">
        <f t="shared" si="651"/>
        <v xml:space="preserve"> </v>
      </c>
      <c r="CV192" s="14" t="str">
        <f t="shared" si="667"/>
        <v xml:space="preserve">aesthetics(1)
interaction(1)
 </v>
      </c>
      <c r="CW192" s="14" t="str">
        <f t="shared" si="668"/>
        <v xml:space="preserve">social project(1,50%),  </v>
      </c>
      <c r="CX192" s="14" t="str">
        <f t="shared" si="669"/>
        <v xml:space="preserve">social project(50)
 </v>
      </c>
      <c r="CY192" s="14" t="str">
        <f t="shared" si="670"/>
        <v xml:space="preserve">aesthetics(2), functions(1), safety(1), interaction(2),  </v>
      </c>
      <c r="CZ192" s="14" t="str">
        <f t="shared" si="671"/>
        <v xml:space="preserve"> </v>
      </c>
      <c r="DA192" s="27" t="str">
        <f t="shared" si="651"/>
        <v xml:space="preserve"> </v>
      </c>
      <c r="DB192" s="14" t="str">
        <f t="shared" si="672"/>
        <v xml:space="preserve">aesthetics(1)
interaction(1)
 </v>
      </c>
      <c r="DC192" s="14" t="str">
        <f t="shared" si="673"/>
        <v xml:space="preserve">social project(1,50%),  </v>
      </c>
      <c r="DD192" s="14" t="str">
        <f t="shared" si="674"/>
        <v xml:space="preserve">social project(50)
 </v>
      </c>
      <c r="DE192" s="14" t="str">
        <f t="shared" si="675"/>
        <v xml:space="preserve"> </v>
      </c>
      <c r="DF192" s="14" t="str">
        <f t="shared" si="676"/>
        <v xml:space="preserve"> </v>
      </c>
      <c r="DG192" s="27" t="str">
        <f t="shared" si="651"/>
        <v xml:space="preserve"> </v>
      </c>
      <c r="DH192" s="14" t="str">
        <f t="shared" si="677"/>
        <v xml:space="preserve">aesthetics(1)
safety(1)
 </v>
      </c>
      <c r="DI192" s="14" t="str">
        <f t="shared" si="678"/>
        <v xml:space="preserve">social project(1,100%),  </v>
      </c>
      <c r="DJ192" s="14" t="str">
        <f t="shared" si="679"/>
        <v xml:space="preserve">social project(100)
 </v>
      </c>
      <c r="DK192" s="14" t="str">
        <f t="shared" si="680"/>
        <v xml:space="preserve">fabric(1), aesthetics(1), functions(2), safety(2), interaction(2),  </v>
      </c>
      <c r="DL192" s="14" t="str">
        <f t="shared" si="681"/>
        <v xml:space="preserve"> </v>
      </c>
      <c r="DM192" s="27" t="str">
        <f t="shared" si="651"/>
        <v xml:space="preserve"> </v>
      </c>
      <c r="DN192" s="14" t="str">
        <f t="shared" si="682"/>
        <v xml:space="preserve">aesthetics(2)
functions(1)
safety(1)
biz project(1)
 </v>
      </c>
      <c r="DO192" s="14" t="str">
        <f t="shared" si="683"/>
        <v xml:space="preserve"> </v>
      </c>
      <c r="DP192" s="14" t="str">
        <f t="shared" si="684"/>
        <v xml:space="preserve"> </v>
      </c>
      <c r="DQ192" s="14" t="str">
        <f t="shared" si="685"/>
        <v xml:space="preserve">aesthetics(2),  </v>
      </c>
      <c r="DR192" s="14" t="str">
        <f t="shared" si="686"/>
        <v xml:space="preserve"> </v>
      </c>
      <c r="DS192" s="27" t="str">
        <f t="shared" si="651"/>
        <v xml:space="preserve"> </v>
      </c>
      <c r="DT192" s="14" t="str">
        <f t="shared" si="687"/>
        <v xml:space="preserve"> </v>
      </c>
      <c r="DU192" s="14" t="str">
        <f t="shared" si="688"/>
        <v xml:space="preserve"> </v>
      </c>
      <c r="DV192" s="14" t="str">
        <f t="shared" si="689"/>
        <v xml:space="preserve"> </v>
      </c>
      <c r="DW192" s="14" t="str">
        <f t="shared" si="690"/>
        <v xml:space="preserve"> </v>
      </c>
      <c r="DX192" s="14" t="str">
        <f t="shared" si="691"/>
        <v xml:space="preserve"> </v>
      </c>
      <c r="DY192" s="27" t="str">
        <f t="shared" si="651"/>
        <v xml:space="preserve"> </v>
      </c>
      <c r="DZ192" s="14" t="str">
        <f t="shared" si="692"/>
        <v xml:space="preserve"> </v>
      </c>
      <c r="EA192" s="14" t="str">
        <f t="shared" si="693"/>
        <v xml:space="preserve"> </v>
      </c>
      <c r="EB192" s="14" t="str">
        <f t="shared" si="694"/>
        <v xml:space="preserve"> </v>
      </c>
      <c r="EC192" s="14" t="str">
        <f t="shared" si="695"/>
        <v xml:space="preserve"> </v>
      </c>
      <c r="ED192" s="14" t="str">
        <f t="shared" si="696"/>
        <v xml:space="preserve"> </v>
      </c>
      <c r="EE192" s="27" t="str">
        <f t="shared" si="651"/>
        <v xml:space="preserve"> </v>
      </c>
      <c r="EF192" s="14" t="str">
        <f t="shared" si="697"/>
        <v xml:space="preserve"> </v>
      </c>
      <c r="EG192" s="14" t="str">
        <f t="shared" si="698"/>
        <v xml:space="preserve"> </v>
      </c>
      <c r="EH192" s="14" t="str">
        <f t="shared" si="699"/>
        <v xml:space="preserve"> </v>
      </c>
      <c r="EI192" s="14" t="str">
        <f t="shared" si="700"/>
        <v xml:space="preserve"> </v>
      </c>
      <c r="EJ192" s="14" t="str">
        <f t="shared" si="701"/>
        <v xml:space="preserve"> </v>
      </c>
      <c r="EK192" s="27" t="str">
        <f t="shared" si="651"/>
        <v xml:space="preserve"> </v>
      </c>
      <c r="EL192" s="14" t="str">
        <f t="shared" si="702"/>
        <v xml:space="preserve"> </v>
      </c>
      <c r="EM192" s="14" t="str">
        <f t="shared" si="703"/>
        <v xml:space="preserve"> </v>
      </c>
      <c r="EN192" s="14" t="str">
        <f t="shared" si="704"/>
        <v xml:space="preserve"> </v>
      </c>
      <c r="EO192" s="14" t="str">
        <f t="shared" si="705"/>
        <v xml:space="preserve"> </v>
      </c>
      <c r="EP192" s="14" t="str">
        <f t="shared" si="706"/>
        <v xml:space="preserve"> </v>
      </c>
      <c r="EQ192" s="27" t="str">
        <f t="shared" si="707"/>
        <v xml:space="preserve"> </v>
      </c>
      <c r="ER192" s="14" t="str">
        <f t="shared" si="708"/>
        <v xml:space="preserve"> </v>
      </c>
      <c r="ES192" s="14" t="str">
        <f t="shared" si="709"/>
        <v xml:space="preserve"> </v>
      </c>
      <c r="ET192" s="14" t="str">
        <f t="shared" si="710"/>
        <v xml:space="preserve"> </v>
      </c>
      <c r="EU192" s="14" t="str">
        <f t="shared" si="711"/>
        <v xml:space="preserve"> </v>
      </c>
      <c r="EV192" s="14" t="str">
        <f t="shared" si="712"/>
        <v xml:space="preserve"> </v>
      </c>
      <c r="EW192" s="27" t="str">
        <f t="shared" si="707"/>
        <v xml:space="preserve"> </v>
      </c>
      <c r="EX192" s="14" t="str">
        <f t="shared" si="713"/>
        <v xml:space="preserve"> </v>
      </c>
      <c r="EY192" s="14" t="str">
        <f t="shared" si="714"/>
        <v xml:space="preserve"> </v>
      </c>
      <c r="EZ192" s="14" t="str">
        <f t="shared" si="715"/>
        <v xml:space="preserve"> </v>
      </c>
      <c r="FA192" s="14" t="str">
        <f t="shared" si="716"/>
        <v xml:space="preserve"> </v>
      </c>
      <c r="FB192" s="14" t="str">
        <f t="shared" si="717"/>
        <v xml:space="preserve"> </v>
      </c>
      <c r="FC192" s="27" t="str">
        <f t="shared" si="707"/>
        <v xml:space="preserve"> </v>
      </c>
      <c r="FD192" s="14" t="str">
        <f t="shared" si="718"/>
        <v xml:space="preserve"> </v>
      </c>
      <c r="FE192" s="14" t="str">
        <f t="shared" si="719"/>
        <v xml:space="preserve"> </v>
      </c>
      <c r="FF192" s="14" t="str">
        <f t="shared" si="720"/>
        <v xml:space="preserve"> </v>
      </c>
      <c r="FG192" s="14" t="str">
        <f t="shared" si="721"/>
        <v xml:space="preserve"> </v>
      </c>
      <c r="FH192" s="14" t="str">
        <f t="shared" si="722"/>
        <v xml:space="preserve"> </v>
      </c>
      <c r="FI192" s="27" t="str">
        <f t="shared" si="707"/>
        <v xml:space="preserve"> </v>
      </c>
      <c r="FJ192" s="14" t="str">
        <f t="shared" si="723"/>
        <v xml:space="preserve"> </v>
      </c>
      <c r="FK192" s="14" t="str">
        <f t="shared" si="724"/>
        <v xml:space="preserve"> </v>
      </c>
      <c r="FL192" s="14" t="str">
        <f t="shared" si="725"/>
        <v xml:space="preserve"> </v>
      </c>
      <c r="FM192" s="14" t="str">
        <f t="shared" si="726"/>
        <v xml:space="preserve"> </v>
      </c>
      <c r="FN192" s="14" t="str">
        <f t="shared" si="727"/>
        <v xml:space="preserve"> </v>
      </c>
      <c r="FO192" s="27" t="str">
        <f t="shared" si="707"/>
        <v xml:space="preserve"> </v>
      </c>
      <c r="FP192" s="14" t="str">
        <f t="shared" si="728"/>
        <v xml:space="preserve"> </v>
      </c>
      <c r="FQ192" s="14" t="str">
        <f t="shared" si="729"/>
        <v xml:space="preserve"> </v>
      </c>
      <c r="FR192" s="14" t="str">
        <f t="shared" si="730"/>
        <v xml:space="preserve"> </v>
      </c>
      <c r="FS192" s="14" t="str">
        <f t="shared" si="731"/>
        <v xml:space="preserve"> </v>
      </c>
      <c r="FT192" s="14" t="str">
        <f t="shared" si="732"/>
        <v xml:space="preserve"> </v>
      </c>
      <c r="FU192" s="27" t="str">
        <f t="shared" si="707"/>
        <v xml:space="preserve"> </v>
      </c>
      <c r="FV192" s="14" t="str">
        <f t="shared" si="733"/>
        <v xml:space="preserve"> </v>
      </c>
      <c r="FW192" s="14" t="str">
        <f t="shared" si="734"/>
        <v xml:space="preserve"> </v>
      </c>
      <c r="FX192" s="14" t="str">
        <f t="shared" si="735"/>
        <v xml:space="preserve"> </v>
      </c>
      <c r="FY192" s="14" t="str">
        <f t="shared" si="736"/>
        <v xml:space="preserve"> </v>
      </c>
      <c r="FZ192" s="14" t="str">
        <f t="shared" si="737"/>
        <v xml:space="preserve"> </v>
      </c>
      <c r="GA192" s="27" t="str">
        <f t="shared" si="707"/>
        <v xml:space="preserve"> </v>
      </c>
      <c r="GB192" s="14" t="str">
        <f t="shared" si="738"/>
        <v xml:space="preserve"> </v>
      </c>
      <c r="GC192" s="14" t="str">
        <f t="shared" si="739"/>
        <v xml:space="preserve"> </v>
      </c>
      <c r="GD192" s="14" t="str">
        <f t="shared" si="740"/>
        <v xml:space="preserve"> </v>
      </c>
      <c r="GE192" s="14" t="str">
        <f t="shared" si="741"/>
        <v xml:space="preserve"> </v>
      </c>
      <c r="GF192" s="14" t="str">
        <f t="shared" si="742"/>
        <v xml:space="preserve"> </v>
      </c>
      <c r="GG192" s="27" t="str">
        <f t="shared" si="707"/>
        <v xml:space="preserve"> </v>
      </c>
      <c r="GH192" s="14" t="str">
        <f t="shared" si="743"/>
        <v xml:space="preserve"> </v>
      </c>
      <c r="GI192" s="14" t="str">
        <f t="shared" si="744"/>
        <v xml:space="preserve"> </v>
      </c>
      <c r="GJ192" s="14" t="str">
        <f t="shared" si="745"/>
        <v xml:space="preserve"> </v>
      </c>
      <c r="GK192" s="14" t="str">
        <f t="shared" si="746"/>
        <v xml:space="preserve"> </v>
      </c>
      <c r="GL192" s="14" t="str">
        <f t="shared" si="747"/>
        <v xml:space="preserve"> </v>
      </c>
      <c r="GM192" s="27" t="str">
        <f t="shared" si="707"/>
        <v xml:space="preserve"> </v>
      </c>
      <c r="GN192" s="14" t="str">
        <f t="shared" si="748"/>
        <v xml:space="preserve"> </v>
      </c>
      <c r="GO192" s="14" t="str">
        <f t="shared" si="749"/>
        <v xml:space="preserve"> </v>
      </c>
      <c r="GP192" s="14" t="str">
        <f t="shared" si="750"/>
        <v xml:space="preserve"> </v>
      </c>
      <c r="GQ192" s="14" t="str">
        <f t="shared" si="751"/>
        <v xml:space="preserve"> </v>
      </c>
      <c r="GR192" s="14" t="str">
        <f t="shared" si="752"/>
        <v xml:space="preserve"> </v>
      </c>
      <c r="GS192" s="27" t="str">
        <f t="shared" si="707"/>
        <v xml:space="preserve"> </v>
      </c>
      <c r="GT192" s="14" t="str">
        <f t="shared" si="753"/>
        <v xml:space="preserve"> </v>
      </c>
      <c r="GU192" s="14" t="str">
        <f t="shared" si="754"/>
        <v xml:space="preserve"> </v>
      </c>
      <c r="GV192" s="14" t="str">
        <f t="shared" si="755"/>
        <v xml:space="preserve"> </v>
      </c>
      <c r="GW192" s="14" t="str">
        <f t="shared" si="756"/>
        <v xml:space="preserve"> </v>
      </c>
      <c r="GX192" s="14" t="str">
        <f t="shared" si="757"/>
        <v xml:space="preserve"> </v>
      </c>
      <c r="GY192" s="27" t="str">
        <f t="shared" si="707"/>
        <v xml:space="preserve"> </v>
      </c>
      <c r="GZ192" s="14" t="str">
        <f t="shared" si="758"/>
        <v xml:space="preserve"> </v>
      </c>
      <c r="HA192" s="14" t="str">
        <f t="shared" si="759"/>
        <v xml:space="preserve"> </v>
      </c>
      <c r="HB192" s="14" t="str">
        <f t="shared" si="760"/>
        <v xml:space="preserve"> </v>
      </c>
      <c r="HC192" s="14" t="str">
        <f t="shared" si="761"/>
        <v xml:space="preserve"> </v>
      </c>
      <c r="HD192" s="14" t="str">
        <f t="shared" si="762"/>
        <v xml:space="preserve"> </v>
      </c>
      <c r="HE192" s="27" t="str">
        <f t="shared" si="763"/>
        <v xml:space="preserve"> </v>
      </c>
      <c r="HF192" s="14" t="str">
        <f t="shared" si="764"/>
        <v xml:space="preserve"> </v>
      </c>
      <c r="HG192" s="14" t="str">
        <f t="shared" si="765"/>
        <v xml:space="preserve"> </v>
      </c>
      <c r="HH192" s="14" t="str">
        <f t="shared" si="766"/>
        <v xml:space="preserve"> </v>
      </c>
      <c r="HI192" s="14" t="str">
        <f t="shared" si="767"/>
        <v xml:space="preserve"> </v>
      </c>
      <c r="HJ192" s="14" t="str">
        <f t="shared" si="768"/>
        <v xml:space="preserve"> </v>
      </c>
      <c r="HK192" s="27" t="str">
        <f t="shared" si="763"/>
        <v xml:space="preserve"> </v>
      </c>
      <c r="HL192" s="14" t="str">
        <f t="shared" si="769"/>
        <v xml:space="preserve"> </v>
      </c>
      <c r="HM192" s="14" t="str">
        <f t="shared" si="770"/>
        <v xml:space="preserve"> </v>
      </c>
      <c r="HN192" s="14" t="str">
        <f t="shared" si="771"/>
        <v xml:space="preserve"> </v>
      </c>
      <c r="HO192" s="14" t="str">
        <f t="shared" si="772"/>
        <v xml:space="preserve"> </v>
      </c>
      <c r="HP192" s="14" t="str">
        <f t="shared" si="773"/>
        <v xml:space="preserve"> </v>
      </c>
      <c r="HQ192" s="27" t="str">
        <f t="shared" si="763"/>
        <v xml:space="preserve"> </v>
      </c>
    </row>
    <row r="193" spans="1:225" ht="15.75" customHeight="1">
      <c r="A193" s="7">
        <f t="shared" ref="A193:C193" si="809">A85</f>
        <v>0</v>
      </c>
      <c r="B193" s="7" t="str">
        <f t="shared" si="809"/>
        <v>design</v>
      </c>
      <c r="C193" s="7" t="str">
        <f t="shared" si="809"/>
        <v>aesthetics</v>
      </c>
      <c r="D193" s="14" t="str">
        <f t="shared" si="775"/>
        <v xml:space="preserve"> </v>
      </c>
      <c r="E193" s="14" t="str">
        <f t="shared" si="776"/>
        <v xml:space="preserve"> </v>
      </c>
      <c r="F193" s="14" t="str">
        <f t="shared" si="777"/>
        <v xml:space="preserve"> </v>
      </c>
      <c r="G193" s="14" t="str">
        <f t="shared" si="778"/>
        <v xml:space="preserve"> </v>
      </c>
      <c r="H193" s="14" t="str">
        <f t="shared" si="779"/>
        <v xml:space="preserve"> </v>
      </c>
      <c r="I193" s="27" t="str">
        <f t="shared" ref="I193" si="810">IF(I85="",I194,$C193&amp;"("&amp;I85&amp;"),"&amp;I194)</f>
        <v xml:space="preserve"> </v>
      </c>
      <c r="J193" s="14" t="str">
        <f t="shared" si="590"/>
        <v xml:space="preserve"> </v>
      </c>
      <c r="K193" s="14" t="str">
        <f t="shared" si="591"/>
        <v xml:space="preserve"> </v>
      </c>
      <c r="L193" s="14" t="str">
        <f t="shared" si="592"/>
        <v xml:space="preserve"> </v>
      </c>
      <c r="M193" s="14" t="str">
        <f t="shared" si="593"/>
        <v xml:space="preserve"> </v>
      </c>
      <c r="N193" s="14" t="str">
        <f t="shared" si="594"/>
        <v xml:space="preserve"> </v>
      </c>
      <c r="O193" s="27" t="str">
        <f t="shared" ref="O193:BW208" si="811">IF(O85="",O194,$C193&amp;"("&amp;O85&amp;"),"&amp;O194)</f>
        <v xml:space="preserve"> </v>
      </c>
      <c r="P193" s="14" t="str">
        <f t="shared" si="596"/>
        <v xml:space="preserve"> </v>
      </c>
      <c r="Q193" s="14" t="str">
        <f t="shared" si="597"/>
        <v xml:space="preserve"> </v>
      </c>
      <c r="R193" s="14" t="str">
        <f t="shared" si="598"/>
        <v xml:space="preserve"> </v>
      </c>
      <c r="S193" s="14" t="str">
        <f t="shared" si="599"/>
        <v xml:space="preserve"> </v>
      </c>
      <c r="T193" s="14" t="str">
        <f t="shared" si="600"/>
        <v xml:space="preserve">aesthetics(-1,6.25%),  </v>
      </c>
      <c r="U193" s="27" t="str">
        <f t="shared" si="811"/>
        <v xml:space="preserve">aesthetics(6.25), </v>
      </c>
      <c r="V193" s="14" t="str">
        <f t="shared" si="601"/>
        <v xml:space="preserve"> </v>
      </c>
      <c r="W193" s="14" t="str">
        <f t="shared" si="602"/>
        <v xml:space="preserve"> </v>
      </c>
      <c r="X193" s="14" t="str">
        <f t="shared" si="603"/>
        <v xml:space="preserve"> </v>
      </c>
      <c r="Y193" s="14" t="str">
        <f t="shared" si="604"/>
        <v xml:space="preserve"> </v>
      </c>
      <c r="Z193" s="14" t="str">
        <f t="shared" si="605"/>
        <v xml:space="preserve"> </v>
      </c>
      <c r="AA193" s="27" t="str">
        <f t="shared" si="811"/>
        <v xml:space="preserve"> </v>
      </c>
      <c r="AB193" s="14" t="str">
        <f t="shared" si="606"/>
        <v xml:space="preserve"> </v>
      </c>
      <c r="AC193" s="14" t="str">
        <f t="shared" si="607"/>
        <v xml:space="preserve"> </v>
      </c>
      <c r="AD193" s="14" t="str">
        <f t="shared" si="608"/>
        <v xml:space="preserve"> </v>
      </c>
      <c r="AE193" s="14" t="str">
        <f t="shared" si="609"/>
        <v xml:space="preserve"> </v>
      </c>
      <c r="AF193" s="14" t="str">
        <f t="shared" si="610"/>
        <v xml:space="preserve"> </v>
      </c>
      <c r="AG193" s="27" t="str">
        <f t="shared" si="811"/>
        <v xml:space="preserve"> </v>
      </c>
      <c r="AH193" s="14" t="str">
        <f t="shared" si="611"/>
        <v xml:space="preserve"> </v>
      </c>
      <c r="AI193" s="14" t="str">
        <f t="shared" si="612"/>
        <v xml:space="preserve"> </v>
      </c>
      <c r="AJ193" s="14" t="str">
        <f t="shared" si="613"/>
        <v xml:space="preserve"> </v>
      </c>
      <c r="AK193" s="14" t="str">
        <f t="shared" si="614"/>
        <v xml:space="preserve"> </v>
      </c>
      <c r="AL193" s="14" t="str">
        <f t="shared" si="615"/>
        <v xml:space="preserve"> </v>
      </c>
      <c r="AM193" s="27" t="str">
        <f t="shared" si="811"/>
        <v xml:space="preserve"> </v>
      </c>
      <c r="AN193" s="14" t="str">
        <f t="shared" si="616"/>
        <v xml:space="preserve"> </v>
      </c>
      <c r="AO193" s="14" t="str">
        <f t="shared" si="617"/>
        <v xml:space="preserve"> </v>
      </c>
      <c r="AP193" s="14" t="str">
        <f t="shared" si="618"/>
        <v xml:space="preserve"> </v>
      </c>
      <c r="AQ193" s="14" t="str">
        <f t="shared" si="619"/>
        <v xml:space="preserve"> </v>
      </c>
      <c r="AR193" s="14" t="str">
        <f t="shared" si="620"/>
        <v xml:space="preserve"> </v>
      </c>
      <c r="AS193" s="27" t="str">
        <f t="shared" si="811"/>
        <v xml:space="preserve"> </v>
      </c>
      <c r="AT193" s="14" t="str">
        <f t="shared" si="621"/>
        <v xml:space="preserve"> </v>
      </c>
      <c r="AU193" s="14" t="str">
        <f t="shared" si="622"/>
        <v xml:space="preserve"> </v>
      </c>
      <c r="AV193" s="14" t="str">
        <f t="shared" si="623"/>
        <v xml:space="preserve"> </v>
      </c>
      <c r="AW193" s="14" t="str">
        <f t="shared" si="624"/>
        <v xml:space="preserve"> </v>
      </c>
      <c r="AX193" s="14" t="str">
        <f t="shared" si="625"/>
        <v xml:space="preserve"> </v>
      </c>
      <c r="AY193" s="27" t="str">
        <f t="shared" si="811"/>
        <v xml:space="preserve"> </v>
      </c>
      <c r="AZ193" s="14" t="str">
        <f t="shared" si="626"/>
        <v xml:space="preserve"> </v>
      </c>
      <c r="BA193" s="14" t="str">
        <f t="shared" si="627"/>
        <v xml:space="preserve"> </v>
      </c>
      <c r="BB193" s="14" t="str">
        <f t="shared" si="628"/>
        <v xml:space="preserve"> </v>
      </c>
      <c r="BC193" s="14" t="str">
        <f t="shared" si="629"/>
        <v xml:space="preserve"> </v>
      </c>
      <c r="BD193" s="14" t="str">
        <f t="shared" si="630"/>
        <v xml:space="preserve"> </v>
      </c>
      <c r="BE193" s="27" t="str">
        <f t="shared" si="811"/>
        <v xml:space="preserve"> </v>
      </c>
      <c r="BF193" s="14" t="str">
        <f t="shared" si="631"/>
        <v xml:space="preserve"> </v>
      </c>
      <c r="BG193" s="14" t="str">
        <f t="shared" si="632"/>
        <v xml:space="preserve"> </v>
      </c>
      <c r="BH193" s="14" t="str">
        <f t="shared" si="633"/>
        <v xml:space="preserve"> </v>
      </c>
      <c r="BI193" s="14" t="str">
        <f t="shared" si="634"/>
        <v xml:space="preserve"> </v>
      </c>
      <c r="BJ193" s="14" t="str">
        <f t="shared" si="635"/>
        <v xml:space="preserve"> </v>
      </c>
      <c r="BK193" s="27" t="str">
        <f t="shared" si="811"/>
        <v xml:space="preserve"> </v>
      </c>
      <c r="BL193" s="14" t="str">
        <f t="shared" si="636"/>
        <v xml:space="preserve">aesthetics(1)
 </v>
      </c>
      <c r="BM193" s="14" t="str">
        <f t="shared" si="637"/>
        <v xml:space="preserve">biz enhancement(1,%),  </v>
      </c>
      <c r="BN193" s="14" t="str">
        <f t="shared" si="638"/>
        <v xml:space="preserve"> </v>
      </c>
      <c r="BO193" s="14" t="str">
        <f t="shared" si="639"/>
        <v xml:space="preserve">aesthetics(2), functions(1), safety(1),  </v>
      </c>
      <c r="BP193" s="14" t="str">
        <f t="shared" si="640"/>
        <v xml:space="preserve"> </v>
      </c>
      <c r="BQ193" s="27" t="str">
        <f t="shared" si="811"/>
        <v xml:space="preserve"> </v>
      </c>
      <c r="BR193" s="14" t="str">
        <f t="shared" si="641"/>
        <v xml:space="preserve">aesthetics(1)
 </v>
      </c>
      <c r="BS193" s="14" t="str">
        <f t="shared" si="642"/>
        <v xml:space="preserve">biz project(1,%),  </v>
      </c>
      <c r="BT193" s="14" t="str">
        <f t="shared" si="643"/>
        <v xml:space="preserve"> </v>
      </c>
      <c r="BU193" s="14" t="str">
        <f t="shared" si="644"/>
        <v xml:space="preserve">aesthetics(2),  </v>
      </c>
      <c r="BV193" s="14" t="str">
        <f t="shared" si="645"/>
        <v xml:space="preserve"> </v>
      </c>
      <c r="BW193" s="27" t="str">
        <f t="shared" si="811"/>
        <v xml:space="preserve"> </v>
      </c>
      <c r="BX193" s="14" t="str">
        <f t="shared" si="646"/>
        <v xml:space="preserve">aesthetics(1)
interaction(1)
 </v>
      </c>
      <c r="BY193" s="14" t="str">
        <f t="shared" si="647"/>
        <v xml:space="preserve">biz project(1,%),  </v>
      </c>
      <c r="BZ193" s="14" t="str">
        <f t="shared" si="648"/>
        <v xml:space="preserve"> </v>
      </c>
      <c r="CA193" s="14" t="str">
        <f t="shared" si="649"/>
        <v xml:space="preserve">aesthetics(2), functions(1), interaction(2),  </v>
      </c>
      <c r="CB193" s="14" t="str">
        <f t="shared" si="650"/>
        <v xml:space="preserve"> </v>
      </c>
      <c r="CC193" s="27" t="str">
        <f t="shared" ref="CC193:EK208" si="812">IF(CC85="",CC194,$C193&amp;"("&amp;CC85&amp;"),"&amp;CC194)</f>
        <v xml:space="preserve"> </v>
      </c>
      <c r="CD193" s="14" t="str">
        <f t="shared" si="652"/>
        <v xml:space="preserve">aesthetics(1)
 </v>
      </c>
      <c r="CE193" s="14" t="str">
        <f t="shared" si="653"/>
        <v xml:space="preserve">biz project(1,%),  </v>
      </c>
      <c r="CF193" s="14" t="str">
        <f t="shared" si="654"/>
        <v xml:space="preserve"> </v>
      </c>
      <c r="CG193" s="14" t="str">
        <f t="shared" si="655"/>
        <v xml:space="preserve">aesthetics(2), functions(1), interaction(2),  </v>
      </c>
      <c r="CH193" s="14" t="str">
        <f t="shared" si="656"/>
        <v xml:space="preserve"> </v>
      </c>
      <c r="CI193" s="27" t="str">
        <f t="shared" si="812"/>
        <v xml:space="preserve"> </v>
      </c>
      <c r="CJ193" s="14" t="str">
        <f t="shared" si="657"/>
        <v xml:space="preserve">aesthetics(1)
 </v>
      </c>
      <c r="CK193" s="14" t="str">
        <f t="shared" si="658"/>
        <v xml:space="preserve">biz project(1,%),  </v>
      </c>
      <c r="CL193" s="14" t="str">
        <f t="shared" si="659"/>
        <v xml:space="preserve"> </v>
      </c>
      <c r="CM193" s="14" t="str">
        <f t="shared" si="660"/>
        <v xml:space="preserve">aesthetics(2), functions(1), interaction(2),  </v>
      </c>
      <c r="CN193" s="14" t="str">
        <f t="shared" si="661"/>
        <v xml:space="preserve"> </v>
      </c>
      <c r="CO193" s="27" t="str">
        <f t="shared" si="812"/>
        <v xml:space="preserve"> </v>
      </c>
      <c r="CP193" s="14" t="str">
        <f t="shared" si="662"/>
        <v xml:space="preserve">functions(1)
 </v>
      </c>
      <c r="CQ193" s="14" t="str">
        <f t="shared" si="663"/>
        <v xml:space="preserve">biz enhancement(1,50%),  </v>
      </c>
      <c r="CR193" s="14" t="str">
        <f t="shared" si="664"/>
        <v xml:space="preserve">biz enhancement(50)
 </v>
      </c>
      <c r="CS193" s="14" t="str">
        <f t="shared" si="665"/>
        <v xml:space="preserve">aesthetics(2), functions(2), safety(2),  </v>
      </c>
      <c r="CT193" s="14" t="str">
        <f t="shared" si="666"/>
        <v xml:space="preserve"> </v>
      </c>
      <c r="CU193" s="27" t="str">
        <f t="shared" si="812"/>
        <v xml:space="preserve"> </v>
      </c>
      <c r="CV193" s="14" t="str">
        <f t="shared" si="667"/>
        <v xml:space="preserve">aesthetics(1)
interaction(1)
 </v>
      </c>
      <c r="CW193" s="14" t="str">
        <f t="shared" si="668"/>
        <v xml:space="preserve">social project(1,50%),  </v>
      </c>
      <c r="CX193" s="14" t="str">
        <f t="shared" si="669"/>
        <v xml:space="preserve">social project(50)
 </v>
      </c>
      <c r="CY193" s="14" t="str">
        <f t="shared" si="670"/>
        <v xml:space="preserve">aesthetics(2), functions(1), safety(1), interaction(2),  </v>
      </c>
      <c r="CZ193" s="14" t="str">
        <f t="shared" si="671"/>
        <v xml:space="preserve"> </v>
      </c>
      <c r="DA193" s="27" t="str">
        <f t="shared" si="812"/>
        <v xml:space="preserve"> </v>
      </c>
      <c r="DB193" s="14" t="str">
        <f t="shared" si="672"/>
        <v xml:space="preserve">aesthetics(1)
interaction(1)
 </v>
      </c>
      <c r="DC193" s="14" t="str">
        <f t="shared" si="673"/>
        <v xml:space="preserve">social project(1,50%),  </v>
      </c>
      <c r="DD193" s="14" t="str">
        <f t="shared" si="674"/>
        <v xml:space="preserve">social project(50)
 </v>
      </c>
      <c r="DE193" s="14" t="str">
        <f t="shared" si="675"/>
        <v xml:space="preserve"> </v>
      </c>
      <c r="DF193" s="14" t="str">
        <f t="shared" si="676"/>
        <v xml:space="preserve"> </v>
      </c>
      <c r="DG193" s="27" t="str">
        <f t="shared" si="812"/>
        <v xml:space="preserve"> </v>
      </c>
      <c r="DH193" s="14" t="str">
        <f t="shared" si="677"/>
        <v xml:space="preserve">aesthetics(1)
safety(1)
 </v>
      </c>
      <c r="DI193" s="14" t="str">
        <f t="shared" si="678"/>
        <v xml:space="preserve">social project(1,100%),  </v>
      </c>
      <c r="DJ193" s="14" t="str">
        <f t="shared" si="679"/>
        <v xml:space="preserve">social project(100)
 </v>
      </c>
      <c r="DK193" s="14" t="str">
        <f t="shared" si="680"/>
        <v xml:space="preserve">aesthetics(1), functions(2), safety(2), interaction(2),  </v>
      </c>
      <c r="DL193" s="14" t="str">
        <f t="shared" si="681"/>
        <v xml:space="preserve"> </v>
      </c>
      <c r="DM193" s="27" t="str">
        <f t="shared" si="812"/>
        <v xml:space="preserve"> </v>
      </c>
      <c r="DN193" s="14" t="str">
        <f t="shared" si="682"/>
        <v xml:space="preserve">aesthetics(2)
functions(1)
safety(1)
biz project(1)
 </v>
      </c>
      <c r="DO193" s="14" t="str">
        <f t="shared" si="683"/>
        <v xml:space="preserve"> </v>
      </c>
      <c r="DP193" s="14" t="str">
        <f t="shared" si="684"/>
        <v xml:space="preserve"> </v>
      </c>
      <c r="DQ193" s="14" t="str">
        <f t="shared" si="685"/>
        <v xml:space="preserve">aesthetics(2),  </v>
      </c>
      <c r="DR193" s="14" t="str">
        <f t="shared" si="686"/>
        <v xml:space="preserve"> </v>
      </c>
      <c r="DS193" s="27" t="str">
        <f t="shared" si="812"/>
        <v xml:space="preserve"> </v>
      </c>
      <c r="DT193" s="14" t="str">
        <f t="shared" si="687"/>
        <v xml:space="preserve"> </v>
      </c>
      <c r="DU193" s="14" t="str">
        <f t="shared" si="688"/>
        <v xml:space="preserve"> </v>
      </c>
      <c r="DV193" s="14" t="str">
        <f t="shared" si="689"/>
        <v xml:space="preserve"> </v>
      </c>
      <c r="DW193" s="14" t="str">
        <f t="shared" si="690"/>
        <v xml:space="preserve"> </v>
      </c>
      <c r="DX193" s="14" t="str">
        <f t="shared" si="691"/>
        <v xml:space="preserve"> </v>
      </c>
      <c r="DY193" s="27" t="str">
        <f t="shared" si="812"/>
        <v xml:space="preserve"> </v>
      </c>
      <c r="DZ193" s="14" t="str">
        <f t="shared" si="692"/>
        <v xml:space="preserve"> </v>
      </c>
      <c r="EA193" s="14" t="str">
        <f t="shared" si="693"/>
        <v xml:space="preserve"> </v>
      </c>
      <c r="EB193" s="14" t="str">
        <f t="shared" si="694"/>
        <v xml:space="preserve"> </v>
      </c>
      <c r="EC193" s="14" t="str">
        <f t="shared" si="695"/>
        <v xml:space="preserve"> </v>
      </c>
      <c r="ED193" s="14" t="str">
        <f t="shared" si="696"/>
        <v xml:space="preserve"> </v>
      </c>
      <c r="EE193" s="27" t="str">
        <f t="shared" si="812"/>
        <v xml:space="preserve"> </v>
      </c>
      <c r="EF193" s="14" t="str">
        <f t="shared" si="697"/>
        <v xml:space="preserve"> </v>
      </c>
      <c r="EG193" s="14" t="str">
        <f t="shared" si="698"/>
        <v xml:space="preserve"> </v>
      </c>
      <c r="EH193" s="14" t="str">
        <f t="shared" si="699"/>
        <v xml:space="preserve"> </v>
      </c>
      <c r="EI193" s="14" t="str">
        <f t="shared" si="700"/>
        <v xml:space="preserve"> </v>
      </c>
      <c r="EJ193" s="14" t="str">
        <f t="shared" si="701"/>
        <v xml:space="preserve"> </v>
      </c>
      <c r="EK193" s="27" t="str">
        <f t="shared" si="812"/>
        <v xml:space="preserve"> </v>
      </c>
      <c r="EL193" s="14" t="str">
        <f t="shared" si="702"/>
        <v xml:space="preserve"> </v>
      </c>
      <c r="EM193" s="14" t="str">
        <f t="shared" si="703"/>
        <v xml:space="preserve"> </v>
      </c>
      <c r="EN193" s="14" t="str">
        <f t="shared" si="704"/>
        <v xml:space="preserve"> </v>
      </c>
      <c r="EO193" s="14" t="str">
        <f t="shared" si="705"/>
        <v xml:space="preserve"> </v>
      </c>
      <c r="EP193" s="14" t="str">
        <f t="shared" si="706"/>
        <v xml:space="preserve"> </v>
      </c>
      <c r="EQ193" s="27" t="str">
        <f t="shared" ref="EQ193:GY208" si="813">IF(EQ85="",EQ194,$C193&amp;"("&amp;EQ85&amp;"),"&amp;EQ194)</f>
        <v xml:space="preserve"> </v>
      </c>
      <c r="ER193" s="14" t="str">
        <f t="shared" si="708"/>
        <v xml:space="preserve"> </v>
      </c>
      <c r="ES193" s="14" t="str">
        <f t="shared" si="709"/>
        <v xml:space="preserve"> </v>
      </c>
      <c r="ET193" s="14" t="str">
        <f t="shared" si="710"/>
        <v xml:space="preserve"> </v>
      </c>
      <c r="EU193" s="14" t="str">
        <f t="shared" si="711"/>
        <v xml:space="preserve"> </v>
      </c>
      <c r="EV193" s="14" t="str">
        <f t="shared" si="712"/>
        <v xml:space="preserve"> </v>
      </c>
      <c r="EW193" s="27" t="str">
        <f t="shared" si="813"/>
        <v xml:space="preserve"> </v>
      </c>
      <c r="EX193" s="14" t="str">
        <f t="shared" si="713"/>
        <v xml:space="preserve"> </v>
      </c>
      <c r="EY193" s="14" t="str">
        <f t="shared" si="714"/>
        <v xml:space="preserve"> </v>
      </c>
      <c r="EZ193" s="14" t="str">
        <f t="shared" si="715"/>
        <v xml:space="preserve"> </v>
      </c>
      <c r="FA193" s="14" t="str">
        <f t="shared" si="716"/>
        <v xml:space="preserve"> </v>
      </c>
      <c r="FB193" s="14" t="str">
        <f t="shared" si="717"/>
        <v xml:space="preserve"> </v>
      </c>
      <c r="FC193" s="27" t="str">
        <f t="shared" si="813"/>
        <v xml:space="preserve"> </v>
      </c>
      <c r="FD193" s="14" t="str">
        <f t="shared" si="718"/>
        <v xml:space="preserve"> </v>
      </c>
      <c r="FE193" s="14" t="str">
        <f t="shared" si="719"/>
        <v xml:space="preserve"> </v>
      </c>
      <c r="FF193" s="14" t="str">
        <f t="shared" si="720"/>
        <v xml:space="preserve"> </v>
      </c>
      <c r="FG193" s="14" t="str">
        <f t="shared" si="721"/>
        <v xml:space="preserve"> </v>
      </c>
      <c r="FH193" s="14" t="str">
        <f t="shared" si="722"/>
        <v xml:space="preserve"> </v>
      </c>
      <c r="FI193" s="27" t="str">
        <f t="shared" si="813"/>
        <v xml:space="preserve"> </v>
      </c>
      <c r="FJ193" s="14" t="str">
        <f t="shared" si="723"/>
        <v xml:space="preserve"> </v>
      </c>
      <c r="FK193" s="14" t="str">
        <f t="shared" si="724"/>
        <v xml:space="preserve"> </v>
      </c>
      <c r="FL193" s="14" t="str">
        <f t="shared" si="725"/>
        <v xml:space="preserve"> </v>
      </c>
      <c r="FM193" s="14" t="str">
        <f t="shared" si="726"/>
        <v xml:space="preserve"> </v>
      </c>
      <c r="FN193" s="14" t="str">
        <f t="shared" si="727"/>
        <v xml:space="preserve"> </v>
      </c>
      <c r="FO193" s="27" t="str">
        <f t="shared" si="813"/>
        <v xml:space="preserve"> </v>
      </c>
      <c r="FP193" s="14" t="str">
        <f t="shared" si="728"/>
        <v xml:space="preserve"> </v>
      </c>
      <c r="FQ193" s="14" t="str">
        <f t="shared" si="729"/>
        <v xml:space="preserve"> </v>
      </c>
      <c r="FR193" s="14" t="str">
        <f t="shared" si="730"/>
        <v xml:space="preserve"> </v>
      </c>
      <c r="FS193" s="14" t="str">
        <f t="shared" si="731"/>
        <v xml:space="preserve"> </v>
      </c>
      <c r="FT193" s="14" t="str">
        <f t="shared" si="732"/>
        <v xml:space="preserve"> </v>
      </c>
      <c r="FU193" s="27" t="str">
        <f t="shared" si="813"/>
        <v xml:space="preserve"> </v>
      </c>
      <c r="FV193" s="14" t="str">
        <f t="shared" si="733"/>
        <v xml:space="preserve"> </v>
      </c>
      <c r="FW193" s="14" t="str">
        <f t="shared" si="734"/>
        <v xml:space="preserve"> </v>
      </c>
      <c r="FX193" s="14" t="str">
        <f t="shared" si="735"/>
        <v xml:space="preserve"> </v>
      </c>
      <c r="FY193" s="14" t="str">
        <f t="shared" si="736"/>
        <v xml:space="preserve"> </v>
      </c>
      <c r="FZ193" s="14" t="str">
        <f t="shared" si="737"/>
        <v xml:space="preserve"> </v>
      </c>
      <c r="GA193" s="27" t="str">
        <f t="shared" si="813"/>
        <v xml:space="preserve"> </v>
      </c>
      <c r="GB193" s="14" t="str">
        <f t="shared" si="738"/>
        <v xml:space="preserve"> </v>
      </c>
      <c r="GC193" s="14" t="str">
        <f t="shared" si="739"/>
        <v xml:space="preserve"> </v>
      </c>
      <c r="GD193" s="14" t="str">
        <f t="shared" si="740"/>
        <v xml:space="preserve"> </v>
      </c>
      <c r="GE193" s="14" t="str">
        <f t="shared" si="741"/>
        <v xml:space="preserve"> </v>
      </c>
      <c r="GF193" s="14" t="str">
        <f t="shared" si="742"/>
        <v xml:space="preserve"> </v>
      </c>
      <c r="GG193" s="27" t="str">
        <f t="shared" si="813"/>
        <v xml:space="preserve"> </v>
      </c>
      <c r="GH193" s="14" t="str">
        <f t="shared" si="743"/>
        <v xml:space="preserve"> </v>
      </c>
      <c r="GI193" s="14" t="str">
        <f t="shared" si="744"/>
        <v xml:space="preserve"> </v>
      </c>
      <c r="GJ193" s="14" t="str">
        <f t="shared" si="745"/>
        <v xml:space="preserve"> </v>
      </c>
      <c r="GK193" s="14" t="str">
        <f t="shared" si="746"/>
        <v xml:space="preserve"> </v>
      </c>
      <c r="GL193" s="14" t="str">
        <f t="shared" si="747"/>
        <v xml:space="preserve"> </v>
      </c>
      <c r="GM193" s="27" t="str">
        <f t="shared" si="813"/>
        <v xml:space="preserve"> </v>
      </c>
      <c r="GN193" s="14" t="str">
        <f t="shared" si="748"/>
        <v xml:space="preserve"> </v>
      </c>
      <c r="GO193" s="14" t="str">
        <f t="shared" si="749"/>
        <v xml:space="preserve"> </v>
      </c>
      <c r="GP193" s="14" t="str">
        <f t="shared" si="750"/>
        <v xml:space="preserve"> </v>
      </c>
      <c r="GQ193" s="14" t="str">
        <f t="shared" si="751"/>
        <v xml:space="preserve"> </v>
      </c>
      <c r="GR193" s="14" t="str">
        <f t="shared" si="752"/>
        <v xml:space="preserve"> </v>
      </c>
      <c r="GS193" s="27" t="str">
        <f t="shared" si="813"/>
        <v xml:space="preserve"> </v>
      </c>
      <c r="GT193" s="14" t="str">
        <f t="shared" si="753"/>
        <v xml:space="preserve"> </v>
      </c>
      <c r="GU193" s="14" t="str">
        <f t="shared" si="754"/>
        <v xml:space="preserve"> </v>
      </c>
      <c r="GV193" s="14" t="str">
        <f t="shared" si="755"/>
        <v xml:space="preserve"> </v>
      </c>
      <c r="GW193" s="14" t="str">
        <f t="shared" si="756"/>
        <v xml:space="preserve"> </v>
      </c>
      <c r="GX193" s="14" t="str">
        <f t="shared" si="757"/>
        <v xml:space="preserve"> </v>
      </c>
      <c r="GY193" s="27" t="str">
        <f t="shared" si="813"/>
        <v xml:space="preserve"> </v>
      </c>
      <c r="GZ193" s="14" t="str">
        <f t="shared" si="758"/>
        <v xml:space="preserve"> </v>
      </c>
      <c r="HA193" s="14" t="str">
        <f t="shared" si="759"/>
        <v xml:space="preserve"> </v>
      </c>
      <c r="HB193" s="14" t="str">
        <f t="shared" si="760"/>
        <v xml:space="preserve"> </v>
      </c>
      <c r="HC193" s="14" t="str">
        <f t="shared" si="761"/>
        <v xml:space="preserve"> </v>
      </c>
      <c r="HD193" s="14" t="str">
        <f t="shared" si="762"/>
        <v xml:space="preserve"> </v>
      </c>
      <c r="HE193" s="27" t="str">
        <f t="shared" ref="HE193:HQ208" si="814">IF(HE85="",HE194,$C193&amp;"("&amp;HE85&amp;"),"&amp;HE194)</f>
        <v xml:space="preserve"> </v>
      </c>
      <c r="HF193" s="14" t="str">
        <f t="shared" si="764"/>
        <v xml:space="preserve"> </v>
      </c>
      <c r="HG193" s="14" t="str">
        <f t="shared" si="765"/>
        <v xml:space="preserve"> </v>
      </c>
      <c r="HH193" s="14" t="str">
        <f t="shared" si="766"/>
        <v xml:space="preserve"> </v>
      </c>
      <c r="HI193" s="14" t="str">
        <f t="shared" si="767"/>
        <v xml:space="preserve"> </v>
      </c>
      <c r="HJ193" s="14" t="str">
        <f t="shared" si="768"/>
        <v xml:space="preserve"> </v>
      </c>
      <c r="HK193" s="27" t="str">
        <f t="shared" si="814"/>
        <v xml:space="preserve"> </v>
      </c>
      <c r="HL193" s="14" t="str">
        <f t="shared" si="769"/>
        <v xml:space="preserve"> </v>
      </c>
      <c r="HM193" s="14" t="str">
        <f t="shared" si="770"/>
        <v xml:space="preserve"> </v>
      </c>
      <c r="HN193" s="14" t="str">
        <f t="shared" si="771"/>
        <v xml:space="preserve"> </v>
      </c>
      <c r="HO193" s="14" t="str">
        <f t="shared" si="772"/>
        <v xml:space="preserve"> </v>
      </c>
      <c r="HP193" s="14" t="str">
        <f t="shared" si="773"/>
        <v xml:space="preserve"> </v>
      </c>
      <c r="HQ193" s="27" t="str">
        <f t="shared" si="814"/>
        <v xml:space="preserve"> </v>
      </c>
    </row>
    <row r="194" spans="1:225" ht="15.75" customHeight="1">
      <c r="A194" s="7">
        <f t="shared" ref="A194:C194" si="815">A86</f>
        <v>0</v>
      </c>
      <c r="B194" s="7">
        <f t="shared" si="815"/>
        <v>0</v>
      </c>
      <c r="C194" s="7" t="str">
        <f t="shared" si="815"/>
        <v>functions</v>
      </c>
      <c r="D194" s="14" t="str">
        <f t="shared" si="775"/>
        <v xml:space="preserve"> </v>
      </c>
      <c r="E194" s="14" t="str">
        <f t="shared" si="776"/>
        <v xml:space="preserve"> </v>
      </c>
      <c r="F194" s="14" t="str">
        <f t="shared" si="777"/>
        <v xml:space="preserve"> </v>
      </c>
      <c r="G194" s="14" t="str">
        <f t="shared" si="778"/>
        <v xml:space="preserve"> </v>
      </c>
      <c r="H194" s="14" t="str">
        <f t="shared" si="779"/>
        <v xml:space="preserve"> </v>
      </c>
      <c r="I194" s="27" t="str">
        <f t="shared" ref="I194" si="816">IF(I86="",I195,$C194&amp;"("&amp;I86&amp;"),"&amp;I195)</f>
        <v xml:space="preserve"> </v>
      </c>
      <c r="J194" s="14" t="str">
        <f t="shared" si="590"/>
        <v xml:space="preserve"> </v>
      </c>
      <c r="K194" s="14" t="str">
        <f t="shared" si="591"/>
        <v xml:space="preserve"> </v>
      </c>
      <c r="L194" s="14" t="str">
        <f t="shared" si="592"/>
        <v xml:space="preserve"> </v>
      </c>
      <c r="M194" s="14" t="str">
        <f t="shared" si="593"/>
        <v xml:space="preserve"> </v>
      </c>
      <c r="N194" s="14" t="str">
        <f t="shared" si="594"/>
        <v xml:space="preserve"> </v>
      </c>
      <c r="O194" s="27" t="str">
        <f t="shared" si="811"/>
        <v xml:space="preserve"> </v>
      </c>
      <c r="P194" s="14" t="str">
        <f t="shared" si="596"/>
        <v xml:space="preserve"> </v>
      </c>
      <c r="Q194" s="14" t="str">
        <f t="shared" si="597"/>
        <v xml:space="preserve"> </v>
      </c>
      <c r="R194" s="14" t="str">
        <f t="shared" si="598"/>
        <v xml:space="preserve"> </v>
      </c>
      <c r="S194" s="14" t="str">
        <f t="shared" si="599"/>
        <v xml:space="preserve"> </v>
      </c>
      <c r="T194" s="14" t="str">
        <f t="shared" si="600"/>
        <v xml:space="preserve"> </v>
      </c>
      <c r="U194" s="27" t="str">
        <f t="shared" si="811"/>
        <v xml:space="preserve"> </v>
      </c>
      <c r="V194" s="14" t="str">
        <f t="shared" si="601"/>
        <v xml:space="preserve"> </v>
      </c>
      <c r="W194" s="14" t="str">
        <f t="shared" si="602"/>
        <v xml:space="preserve"> </v>
      </c>
      <c r="X194" s="14" t="str">
        <f t="shared" si="603"/>
        <v xml:space="preserve"> </v>
      </c>
      <c r="Y194" s="14" t="str">
        <f t="shared" si="604"/>
        <v xml:space="preserve"> </v>
      </c>
      <c r="Z194" s="14" t="str">
        <f t="shared" si="605"/>
        <v xml:space="preserve"> </v>
      </c>
      <c r="AA194" s="27" t="str">
        <f t="shared" si="811"/>
        <v xml:space="preserve"> </v>
      </c>
      <c r="AB194" s="14" t="str">
        <f t="shared" si="606"/>
        <v xml:space="preserve"> </v>
      </c>
      <c r="AC194" s="14" t="str">
        <f t="shared" si="607"/>
        <v xml:space="preserve"> </v>
      </c>
      <c r="AD194" s="14" t="str">
        <f t="shared" si="608"/>
        <v xml:space="preserve"> </v>
      </c>
      <c r="AE194" s="14" t="str">
        <f t="shared" si="609"/>
        <v xml:space="preserve"> </v>
      </c>
      <c r="AF194" s="14" t="str">
        <f t="shared" si="610"/>
        <v xml:space="preserve"> </v>
      </c>
      <c r="AG194" s="27" t="str">
        <f t="shared" si="811"/>
        <v xml:space="preserve"> </v>
      </c>
      <c r="AH194" s="14" t="str">
        <f t="shared" si="611"/>
        <v xml:space="preserve"> </v>
      </c>
      <c r="AI194" s="14" t="str">
        <f t="shared" si="612"/>
        <v xml:space="preserve"> </v>
      </c>
      <c r="AJ194" s="14" t="str">
        <f t="shared" si="613"/>
        <v xml:space="preserve"> </v>
      </c>
      <c r="AK194" s="14" t="str">
        <f t="shared" si="614"/>
        <v xml:space="preserve"> </v>
      </c>
      <c r="AL194" s="14" t="str">
        <f t="shared" si="615"/>
        <v xml:space="preserve"> </v>
      </c>
      <c r="AM194" s="27" t="str">
        <f t="shared" si="811"/>
        <v xml:space="preserve"> </v>
      </c>
      <c r="AN194" s="14" t="str">
        <f t="shared" si="616"/>
        <v xml:space="preserve"> </v>
      </c>
      <c r="AO194" s="14" t="str">
        <f t="shared" si="617"/>
        <v xml:space="preserve"> </v>
      </c>
      <c r="AP194" s="14" t="str">
        <f t="shared" si="618"/>
        <v xml:space="preserve"> </v>
      </c>
      <c r="AQ194" s="14" t="str">
        <f t="shared" si="619"/>
        <v xml:space="preserve"> </v>
      </c>
      <c r="AR194" s="14" t="str">
        <f t="shared" si="620"/>
        <v xml:space="preserve"> </v>
      </c>
      <c r="AS194" s="27" t="str">
        <f t="shared" si="811"/>
        <v xml:space="preserve"> </v>
      </c>
      <c r="AT194" s="14" t="str">
        <f t="shared" si="621"/>
        <v xml:space="preserve"> </v>
      </c>
      <c r="AU194" s="14" t="str">
        <f t="shared" si="622"/>
        <v xml:space="preserve"> </v>
      </c>
      <c r="AV194" s="14" t="str">
        <f t="shared" si="623"/>
        <v xml:space="preserve"> </v>
      </c>
      <c r="AW194" s="14" t="str">
        <f t="shared" si="624"/>
        <v xml:space="preserve"> </v>
      </c>
      <c r="AX194" s="14" t="str">
        <f t="shared" si="625"/>
        <v xml:space="preserve"> </v>
      </c>
      <c r="AY194" s="27" t="str">
        <f t="shared" si="811"/>
        <v xml:space="preserve"> </v>
      </c>
      <c r="AZ194" s="14" t="str">
        <f t="shared" si="626"/>
        <v xml:space="preserve"> </v>
      </c>
      <c r="BA194" s="14" t="str">
        <f t="shared" si="627"/>
        <v xml:space="preserve"> </v>
      </c>
      <c r="BB194" s="14" t="str">
        <f t="shared" si="628"/>
        <v xml:space="preserve"> </v>
      </c>
      <c r="BC194" s="14" t="str">
        <f t="shared" si="629"/>
        <v xml:space="preserve"> </v>
      </c>
      <c r="BD194" s="14" t="str">
        <f t="shared" si="630"/>
        <v xml:space="preserve"> </v>
      </c>
      <c r="BE194" s="27" t="str">
        <f t="shared" si="811"/>
        <v xml:space="preserve"> </v>
      </c>
      <c r="BF194" s="14" t="str">
        <f t="shared" si="631"/>
        <v xml:space="preserve"> </v>
      </c>
      <c r="BG194" s="14" t="str">
        <f t="shared" si="632"/>
        <v xml:space="preserve"> </v>
      </c>
      <c r="BH194" s="14" t="str">
        <f t="shared" si="633"/>
        <v xml:space="preserve"> </v>
      </c>
      <c r="BI194" s="14" t="str">
        <f t="shared" si="634"/>
        <v xml:space="preserve"> </v>
      </c>
      <c r="BJ194" s="14" t="str">
        <f t="shared" si="635"/>
        <v xml:space="preserve"> </v>
      </c>
      <c r="BK194" s="27" t="str">
        <f t="shared" si="811"/>
        <v xml:space="preserve"> </v>
      </c>
      <c r="BL194" s="14" t="str">
        <f t="shared" si="636"/>
        <v xml:space="preserve"> </v>
      </c>
      <c r="BM194" s="14" t="str">
        <f t="shared" si="637"/>
        <v xml:space="preserve">biz enhancement(1,%),  </v>
      </c>
      <c r="BN194" s="14" t="str">
        <f t="shared" si="638"/>
        <v xml:space="preserve"> </v>
      </c>
      <c r="BO194" s="14" t="str">
        <f t="shared" si="639"/>
        <v xml:space="preserve">functions(1), safety(1),  </v>
      </c>
      <c r="BP194" s="14" t="str">
        <f t="shared" si="640"/>
        <v xml:space="preserve"> </v>
      </c>
      <c r="BQ194" s="27" t="str">
        <f t="shared" si="811"/>
        <v xml:space="preserve"> </v>
      </c>
      <c r="BR194" s="14" t="str">
        <f t="shared" si="641"/>
        <v xml:space="preserve"> </v>
      </c>
      <c r="BS194" s="14" t="str">
        <f t="shared" si="642"/>
        <v xml:space="preserve">biz project(1,%),  </v>
      </c>
      <c r="BT194" s="14" t="str">
        <f t="shared" si="643"/>
        <v xml:space="preserve"> </v>
      </c>
      <c r="BU194" s="14" t="str">
        <f t="shared" si="644"/>
        <v xml:space="preserve"> </v>
      </c>
      <c r="BV194" s="14" t="str">
        <f t="shared" si="645"/>
        <v xml:space="preserve"> </v>
      </c>
      <c r="BW194" s="27" t="str">
        <f t="shared" si="811"/>
        <v xml:space="preserve"> </v>
      </c>
      <c r="BX194" s="14" t="str">
        <f t="shared" si="646"/>
        <v xml:space="preserve">interaction(1)
 </v>
      </c>
      <c r="BY194" s="14" t="str">
        <f t="shared" si="647"/>
        <v xml:space="preserve">biz project(1,%),  </v>
      </c>
      <c r="BZ194" s="14" t="str">
        <f t="shared" si="648"/>
        <v xml:space="preserve"> </v>
      </c>
      <c r="CA194" s="14" t="str">
        <f t="shared" si="649"/>
        <v xml:space="preserve">functions(1), interaction(2),  </v>
      </c>
      <c r="CB194" s="14" t="str">
        <f t="shared" si="650"/>
        <v xml:space="preserve"> </v>
      </c>
      <c r="CC194" s="27" t="str">
        <f t="shared" si="812"/>
        <v xml:space="preserve"> </v>
      </c>
      <c r="CD194" s="14" t="str">
        <f t="shared" si="652"/>
        <v xml:space="preserve"> </v>
      </c>
      <c r="CE194" s="14" t="str">
        <f t="shared" si="653"/>
        <v xml:space="preserve">biz project(1,%),  </v>
      </c>
      <c r="CF194" s="14" t="str">
        <f t="shared" si="654"/>
        <v xml:space="preserve"> </v>
      </c>
      <c r="CG194" s="14" t="str">
        <f t="shared" si="655"/>
        <v xml:space="preserve">functions(1), interaction(2),  </v>
      </c>
      <c r="CH194" s="14" t="str">
        <f t="shared" si="656"/>
        <v xml:space="preserve"> </v>
      </c>
      <c r="CI194" s="27" t="str">
        <f t="shared" si="812"/>
        <v xml:space="preserve"> </v>
      </c>
      <c r="CJ194" s="14" t="str">
        <f t="shared" si="657"/>
        <v xml:space="preserve"> </v>
      </c>
      <c r="CK194" s="14" t="str">
        <f t="shared" si="658"/>
        <v xml:space="preserve">biz project(1,%),  </v>
      </c>
      <c r="CL194" s="14" t="str">
        <f t="shared" si="659"/>
        <v xml:space="preserve"> </v>
      </c>
      <c r="CM194" s="14" t="str">
        <f t="shared" si="660"/>
        <v xml:space="preserve">functions(1), interaction(2),  </v>
      </c>
      <c r="CN194" s="14" t="str">
        <f t="shared" si="661"/>
        <v xml:space="preserve"> </v>
      </c>
      <c r="CO194" s="27" t="str">
        <f t="shared" si="812"/>
        <v xml:space="preserve"> </v>
      </c>
      <c r="CP194" s="14" t="str">
        <f t="shared" si="662"/>
        <v xml:space="preserve">functions(1)
 </v>
      </c>
      <c r="CQ194" s="14" t="str">
        <f t="shared" si="663"/>
        <v xml:space="preserve">biz enhancement(1,50%),  </v>
      </c>
      <c r="CR194" s="14" t="str">
        <f t="shared" si="664"/>
        <v xml:space="preserve">biz enhancement(50)
 </v>
      </c>
      <c r="CS194" s="14" t="str">
        <f t="shared" si="665"/>
        <v xml:space="preserve">functions(2), safety(2),  </v>
      </c>
      <c r="CT194" s="14" t="str">
        <f t="shared" si="666"/>
        <v xml:space="preserve"> </v>
      </c>
      <c r="CU194" s="27" t="str">
        <f t="shared" si="812"/>
        <v xml:space="preserve"> </v>
      </c>
      <c r="CV194" s="14" t="str">
        <f t="shared" si="667"/>
        <v xml:space="preserve">interaction(1)
 </v>
      </c>
      <c r="CW194" s="14" t="str">
        <f t="shared" si="668"/>
        <v xml:space="preserve">social project(1,50%),  </v>
      </c>
      <c r="CX194" s="14" t="str">
        <f t="shared" si="669"/>
        <v xml:space="preserve">social project(50)
 </v>
      </c>
      <c r="CY194" s="14" t="str">
        <f t="shared" si="670"/>
        <v xml:space="preserve">functions(1), safety(1), interaction(2),  </v>
      </c>
      <c r="CZ194" s="14" t="str">
        <f t="shared" si="671"/>
        <v xml:space="preserve"> </v>
      </c>
      <c r="DA194" s="27" t="str">
        <f t="shared" si="812"/>
        <v xml:space="preserve"> </v>
      </c>
      <c r="DB194" s="14" t="str">
        <f t="shared" si="672"/>
        <v xml:space="preserve">interaction(1)
 </v>
      </c>
      <c r="DC194" s="14" t="str">
        <f t="shared" si="673"/>
        <v xml:space="preserve">social project(1,50%),  </v>
      </c>
      <c r="DD194" s="14" t="str">
        <f t="shared" si="674"/>
        <v xml:space="preserve">social project(50)
 </v>
      </c>
      <c r="DE194" s="14" t="str">
        <f t="shared" si="675"/>
        <v xml:space="preserve"> </v>
      </c>
      <c r="DF194" s="14" t="str">
        <f t="shared" si="676"/>
        <v xml:space="preserve"> </v>
      </c>
      <c r="DG194" s="27" t="str">
        <f t="shared" si="812"/>
        <v xml:space="preserve"> </v>
      </c>
      <c r="DH194" s="14" t="str">
        <f t="shared" si="677"/>
        <v xml:space="preserve">safety(1)
 </v>
      </c>
      <c r="DI194" s="14" t="str">
        <f t="shared" si="678"/>
        <v xml:space="preserve">social project(1,100%),  </v>
      </c>
      <c r="DJ194" s="14" t="str">
        <f t="shared" si="679"/>
        <v xml:space="preserve">social project(100)
 </v>
      </c>
      <c r="DK194" s="14" t="str">
        <f t="shared" si="680"/>
        <v xml:space="preserve">functions(2), safety(2), interaction(2),  </v>
      </c>
      <c r="DL194" s="14" t="str">
        <f t="shared" si="681"/>
        <v xml:space="preserve"> </v>
      </c>
      <c r="DM194" s="27" t="str">
        <f t="shared" si="812"/>
        <v xml:space="preserve"> </v>
      </c>
      <c r="DN194" s="14" t="str">
        <f t="shared" si="682"/>
        <v xml:space="preserve">functions(1)
safety(1)
biz project(1)
 </v>
      </c>
      <c r="DO194" s="14" t="str">
        <f t="shared" si="683"/>
        <v xml:space="preserve"> </v>
      </c>
      <c r="DP194" s="14" t="str">
        <f t="shared" si="684"/>
        <v xml:space="preserve"> </v>
      </c>
      <c r="DQ194" s="14" t="str">
        <f t="shared" si="685"/>
        <v xml:space="preserve"> </v>
      </c>
      <c r="DR194" s="14" t="str">
        <f t="shared" si="686"/>
        <v xml:space="preserve"> </v>
      </c>
      <c r="DS194" s="27" t="str">
        <f t="shared" si="812"/>
        <v xml:space="preserve"> </v>
      </c>
      <c r="DT194" s="14" t="str">
        <f t="shared" si="687"/>
        <v xml:space="preserve"> </v>
      </c>
      <c r="DU194" s="14" t="str">
        <f t="shared" si="688"/>
        <v xml:space="preserve"> </v>
      </c>
      <c r="DV194" s="14" t="str">
        <f t="shared" si="689"/>
        <v xml:space="preserve"> </v>
      </c>
      <c r="DW194" s="14" t="str">
        <f t="shared" si="690"/>
        <v xml:space="preserve"> </v>
      </c>
      <c r="DX194" s="14" t="str">
        <f t="shared" si="691"/>
        <v xml:space="preserve"> </v>
      </c>
      <c r="DY194" s="27" t="str">
        <f t="shared" si="812"/>
        <v xml:space="preserve"> </v>
      </c>
      <c r="DZ194" s="14" t="str">
        <f t="shared" si="692"/>
        <v xml:space="preserve"> </v>
      </c>
      <c r="EA194" s="14" t="str">
        <f t="shared" si="693"/>
        <v xml:space="preserve"> </v>
      </c>
      <c r="EB194" s="14" t="str">
        <f t="shared" si="694"/>
        <v xml:space="preserve"> </v>
      </c>
      <c r="EC194" s="14" t="str">
        <f t="shared" si="695"/>
        <v xml:space="preserve"> </v>
      </c>
      <c r="ED194" s="14" t="str">
        <f t="shared" si="696"/>
        <v xml:space="preserve"> </v>
      </c>
      <c r="EE194" s="27" t="str">
        <f t="shared" si="812"/>
        <v xml:space="preserve"> </v>
      </c>
      <c r="EF194" s="14" t="str">
        <f t="shared" si="697"/>
        <v xml:space="preserve"> </v>
      </c>
      <c r="EG194" s="14" t="str">
        <f t="shared" si="698"/>
        <v xml:space="preserve"> </v>
      </c>
      <c r="EH194" s="14" t="str">
        <f t="shared" si="699"/>
        <v xml:space="preserve"> </v>
      </c>
      <c r="EI194" s="14" t="str">
        <f t="shared" si="700"/>
        <v xml:space="preserve"> </v>
      </c>
      <c r="EJ194" s="14" t="str">
        <f t="shared" si="701"/>
        <v xml:space="preserve"> </v>
      </c>
      <c r="EK194" s="27" t="str">
        <f t="shared" si="812"/>
        <v xml:space="preserve"> </v>
      </c>
      <c r="EL194" s="14" t="str">
        <f t="shared" si="702"/>
        <v xml:space="preserve"> </v>
      </c>
      <c r="EM194" s="14" t="str">
        <f t="shared" si="703"/>
        <v xml:space="preserve"> </v>
      </c>
      <c r="EN194" s="14" t="str">
        <f t="shared" si="704"/>
        <v xml:space="preserve"> </v>
      </c>
      <c r="EO194" s="14" t="str">
        <f t="shared" si="705"/>
        <v xml:space="preserve"> </v>
      </c>
      <c r="EP194" s="14" t="str">
        <f t="shared" si="706"/>
        <v xml:space="preserve"> </v>
      </c>
      <c r="EQ194" s="27" t="str">
        <f t="shared" si="813"/>
        <v xml:space="preserve"> </v>
      </c>
      <c r="ER194" s="14" t="str">
        <f t="shared" si="708"/>
        <v xml:space="preserve"> </v>
      </c>
      <c r="ES194" s="14" t="str">
        <f t="shared" si="709"/>
        <v xml:space="preserve"> </v>
      </c>
      <c r="ET194" s="14" t="str">
        <f t="shared" si="710"/>
        <v xml:space="preserve"> </v>
      </c>
      <c r="EU194" s="14" t="str">
        <f t="shared" si="711"/>
        <v xml:space="preserve"> </v>
      </c>
      <c r="EV194" s="14" t="str">
        <f t="shared" si="712"/>
        <v xml:space="preserve"> </v>
      </c>
      <c r="EW194" s="27" t="str">
        <f t="shared" si="813"/>
        <v xml:space="preserve"> </v>
      </c>
      <c r="EX194" s="14" t="str">
        <f t="shared" si="713"/>
        <v xml:space="preserve"> </v>
      </c>
      <c r="EY194" s="14" t="str">
        <f t="shared" si="714"/>
        <v xml:space="preserve"> </v>
      </c>
      <c r="EZ194" s="14" t="str">
        <f t="shared" si="715"/>
        <v xml:space="preserve"> </v>
      </c>
      <c r="FA194" s="14" t="str">
        <f t="shared" si="716"/>
        <v xml:space="preserve"> </v>
      </c>
      <c r="FB194" s="14" t="str">
        <f t="shared" si="717"/>
        <v xml:space="preserve"> </v>
      </c>
      <c r="FC194" s="27" t="str">
        <f t="shared" si="813"/>
        <v xml:space="preserve"> </v>
      </c>
      <c r="FD194" s="14" t="str">
        <f t="shared" si="718"/>
        <v xml:space="preserve"> </v>
      </c>
      <c r="FE194" s="14" t="str">
        <f t="shared" si="719"/>
        <v xml:space="preserve"> </v>
      </c>
      <c r="FF194" s="14" t="str">
        <f t="shared" si="720"/>
        <v xml:space="preserve"> </v>
      </c>
      <c r="FG194" s="14" t="str">
        <f t="shared" si="721"/>
        <v xml:space="preserve"> </v>
      </c>
      <c r="FH194" s="14" t="str">
        <f t="shared" si="722"/>
        <v xml:space="preserve"> </v>
      </c>
      <c r="FI194" s="27" t="str">
        <f t="shared" si="813"/>
        <v xml:space="preserve"> </v>
      </c>
      <c r="FJ194" s="14" t="str">
        <f t="shared" si="723"/>
        <v xml:space="preserve"> </v>
      </c>
      <c r="FK194" s="14" t="str">
        <f t="shared" si="724"/>
        <v xml:space="preserve"> </v>
      </c>
      <c r="FL194" s="14" t="str">
        <f t="shared" si="725"/>
        <v xml:space="preserve"> </v>
      </c>
      <c r="FM194" s="14" t="str">
        <f t="shared" si="726"/>
        <v xml:space="preserve"> </v>
      </c>
      <c r="FN194" s="14" t="str">
        <f t="shared" si="727"/>
        <v xml:space="preserve"> </v>
      </c>
      <c r="FO194" s="27" t="str">
        <f t="shared" si="813"/>
        <v xml:space="preserve"> </v>
      </c>
      <c r="FP194" s="14" t="str">
        <f t="shared" si="728"/>
        <v xml:space="preserve"> </v>
      </c>
      <c r="FQ194" s="14" t="str">
        <f t="shared" si="729"/>
        <v xml:space="preserve"> </v>
      </c>
      <c r="FR194" s="14" t="str">
        <f t="shared" si="730"/>
        <v xml:space="preserve"> </v>
      </c>
      <c r="FS194" s="14" t="str">
        <f t="shared" si="731"/>
        <v xml:space="preserve"> </v>
      </c>
      <c r="FT194" s="14" t="str">
        <f t="shared" si="732"/>
        <v xml:space="preserve"> </v>
      </c>
      <c r="FU194" s="27" t="str">
        <f t="shared" si="813"/>
        <v xml:space="preserve"> </v>
      </c>
      <c r="FV194" s="14" t="str">
        <f t="shared" si="733"/>
        <v xml:space="preserve"> </v>
      </c>
      <c r="FW194" s="14" t="str">
        <f t="shared" si="734"/>
        <v xml:space="preserve"> </v>
      </c>
      <c r="FX194" s="14" t="str">
        <f t="shared" si="735"/>
        <v xml:space="preserve"> </v>
      </c>
      <c r="FY194" s="14" t="str">
        <f t="shared" si="736"/>
        <v xml:space="preserve"> </v>
      </c>
      <c r="FZ194" s="14" t="str">
        <f t="shared" si="737"/>
        <v xml:space="preserve"> </v>
      </c>
      <c r="GA194" s="27" t="str">
        <f t="shared" si="813"/>
        <v xml:space="preserve"> </v>
      </c>
      <c r="GB194" s="14" t="str">
        <f t="shared" si="738"/>
        <v xml:space="preserve"> </v>
      </c>
      <c r="GC194" s="14" t="str">
        <f t="shared" si="739"/>
        <v xml:space="preserve"> </v>
      </c>
      <c r="GD194" s="14" t="str">
        <f t="shared" si="740"/>
        <v xml:space="preserve"> </v>
      </c>
      <c r="GE194" s="14" t="str">
        <f t="shared" si="741"/>
        <v xml:space="preserve"> </v>
      </c>
      <c r="GF194" s="14" t="str">
        <f t="shared" si="742"/>
        <v xml:space="preserve"> </v>
      </c>
      <c r="GG194" s="27" t="str">
        <f t="shared" si="813"/>
        <v xml:space="preserve"> </v>
      </c>
      <c r="GH194" s="14" t="str">
        <f t="shared" si="743"/>
        <v xml:space="preserve"> </v>
      </c>
      <c r="GI194" s="14" t="str">
        <f t="shared" si="744"/>
        <v xml:space="preserve"> </v>
      </c>
      <c r="GJ194" s="14" t="str">
        <f t="shared" si="745"/>
        <v xml:space="preserve"> </v>
      </c>
      <c r="GK194" s="14" t="str">
        <f t="shared" si="746"/>
        <v xml:space="preserve"> </v>
      </c>
      <c r="GL194" s="14" t="str">
        <f t="shared" si="747"/>
        <v xml:space="preserve"> </v>
      </c>
      <c r="GM194" s="27" t="str">
        <f t="shared" si="813"/>
        <v xml:space="preserve"> </v>
      </c>
      <c r="GN194" s="14" t="str">
        <f t="shared" si="748"/>
        <v xml:space="preserve"> </v>
      </c>
      <c r="GO194" s="14" t="str">
        <f t="shared" si="749"/>
        <v xml:space="preserve"> </v>
      </c>
      <c r="GP194" s="14" t="str">
        <f t="shared" si="750"/>
        <v xml:space="preserve"> </v>
      </c>
      <c r="GQ194" s="14" t="str">
        <f t="shared" si="751"/>
        <v xml:space="preserve"> </v>
      </c>
      <c r="GR194" s="14" t="str">
        <f t="shared" si="752"/>
        <v xml:space="preserve"> </v>
      </c>
      <c r="GS194" s="27" t="str">
        <f t="shared" si="813"/>
        <v xml:space="preserve"> </v>
      </c>
      <c r="GT194" s="14" t="str">
        <f t="shared" si="753"/>
        <v xml:space="preserve"> </v>
      </c>
      <c r="GU194" s="14" t="str">
        <f t="shared" si="754"/>
        <v xml:space="preserve"> </v>
      </c>
      <c r="GV194" s="14" t="str">
        <f t="shared" si="755"/>
        <v xml:space="preserve"> </v>
      </c>
      <c r="GW194" s="14" t="str">
        <f t="shared" si="756"/>
        <v xml:space="preserve"> </v>
      </c>
      <c r="GX194" s="14" t="str">
        <f t="shared" si="757"/>
        <v xml:space="preserve"> </v>
      </c>
      <c r="GY194" s="27" t="str">
        <f t="shared" si="813"/>
        <v xml:space="preserve"> </v>
      </c>
      <c r="GZ194" s="14" t="str">
        <f t="shared" si="758"/>
        <v xml:space="preserve"> </v>
      </c>
      <c r="HA194" s="14" t="str">
        <f t="shared" si="759"/>
        <v xml:space="preserve"> </v>
      </c>
      <c r="HB194" s="14" t="str">
        <f t="shared" si="760"/>
        <v xml:space="preserve"> </v>
      </c>
      <c r="HC194" s="14" t="str">
        <f t="shared" si="761"/>
        <v xml:space="preserve"> </v>
      </c>
      <c r="HD194" s="14" t="str">
        <f t="shared" si="762"/>
        <v xml:space="preserve"> </v>
      </c>
      <c r="HE194" s="27" t="str">
        <f t="shared" si="814"/>
        <v xml:space="preserve"> </v>
      </c>
      <c r="HF194" s="14" t="str">
        <f t="shared" si="764"/>
        <v xml:space="preserve"> </v>
      </c>
      <c r="HG194" s="14" t="str">
        <f t="shared" si="765"/>
        <v xml:space="preserve"> </v>
      </c>
      <c r="HH194" s="14" t="str">
        <f t="shared" si="766"/>
        <v xml:space="preserve"> </v>
      </c>
      <c r="HI194" s="14" t="str">
        <f t="shared" si="767"/>
        <v xml:space="preserve"> </v>
      </c>
      <c r="HJ194" s="14" t="str">
        <f t="shared" si="768"/>
        <v xml:space="preserve"> </v>
      </c>
      <c r="HK194" s="27" t="str">
        <f t="shared" si="814"/>
        <v xml:space="preserve"> </v>
      </c>
      <c r="HL194" s="14" t="str">
        <f t="shared" si="769"/>
        <v xml:space="preserve"> </v>
      </c>
      <c r="HM194" s="14" t="str">
        <f t="shared" si="770"/>
        <v xml:space="preserve"> </v>
      </c>
      <c r="HN194" s="14" t="str">
        <f t="shared" si="771"/>
        <v xml:space="preserve"> </v>
      </c>
      <c r="HO194" s="14" t="str">
        <f t="shared" si="772"/>
        <v xml:space="preserve"> </v>
      </c>
      <c r="HP194" s="14" t="str">
        <f t="shared" si="773"/>
        <v xml:space="preserve"> </v>
      </c>
      <c r="HQ194" s="27" t="str">
        <f t="shared" si="814"/>
        <v xml:space="preserve"> </v>
      </c>
    </row>
    <row r="195" spans="1:225" ht="15.75" customHeight="1">
      <c r="A195" s="7">
        <f t="shared" ref="A195:C195" si="817">A87</f>
        <v>0</v>
      </c>
      <c r="B195" s="7">
        <f t="shared" si="817"/>
        <v>0</v>
      </c>
      <c r="C195" s="7" t="str">
        <f t="shared" si="817"/>
        <v>safety</v>
      </c>
      <c r="D195" s="14" t="str">
        <f t="shared" si="775"/>
        <v xml:space="preserve"> </v>
      </c>
      <c r="E195" s="14" t="str">
        <f t="shared" si="776"/>
        <v xml:space="preserve"> </v>
      </c>
      <c r="F195" s="14" t="str">
        <f t="shared" si="777"/>
        <v xml:space="preserve"> </v>
      </c>
      <c r="G195" s="14" t="str">
        <f t="shared" si="778"/>
        <v xml:space="preserve"> </v>
      </c>
      <c r="H195" s="14" t="str">
        <f t="shared" si="779"/>
        <v xml:space="preserve"> </v>
      </c>
      <c r="I195" s="27" t="str">
        <f t="shared" ref="I195" si="818">IF(I87="",I196,$C195&amp;"("&amp;I87&amp;"),"&amp;I196)</f>
        <v xml:space="preserve"> </v>
      </c>
      <c r="J195" s="14" t="str">
        <f t="shared" si="590"/>
        <v xml:space="preserve"> </v>
      </c>
      <c r="K195" s="14" t="str">
        <f t="shared" si="591"/>
        <v xml:space="preserve"> </v>
      </c>
      <c r="L195" s="14" t="str">
        <f t="shared" si="592"/>
        <v xml:space="preserve"> </v>
      </c>
      <c r="M195" s="14" t="str">
        <f t="shared" si="593"/>
        <v xml:space="preserve"> </v>
      </c>
      <c r="N195" s="14" t="str">
        <f t="shared" si="594"/>
        <v xml:space="preserve"> </v>
      </c>
      <c r="O195" s="27" t="str">
        <f t="shared" si="811"/>
        <v xml:space="preserve"> </v>
      </c>
      <c r="P195" s="14" t="str">
        <f t="shared" si="596"/>
        <v xml:space="preserve"> </v>
      </c>
      <c r="Q195" s="14" t="str">
        <f t="shared" si="597"/>
        <v xml:space="preserve"> </v>
      </c>
      <c r="R195" s="14" t="str">
        <f t="shared" si="598"/>
        <v xml:space="preserve"> </v>
      </c>
      <c r="S195" s="14" t="str">
        <f t="shared" si="599"/>
        <v xml:space="preserve"> </v>
      </c>
      <c r="T195" s="14" t="str">
        <f t="shared" si="600"/>
        <v xml:space="preserve"> </v>
      </c>
      <c r="U195" s="27" t="str">
        <f t="shared" si="811"/>
        <v xml:space="preserve"> </v>
      </c>
      <c r="V195" s="14" t="str">
        <f t="shared" si="601"/>
        <v xml:space="preserve"> </v>
      </c>
      <c r="W195" s="14" t="str">
        <f t="shared" si="602"/>
        <v xml:space="preserve"> </v>
      </c>
      <c r="X195" s="14" t="str">
        <f t="shared" si="603"/>
        <v xml:space="preserve"> </v>
      </c>
      <c r="Y195" s="14" t="str">
        <f t="shared" si="604"/>
        <v xml:space="preserve"> </v>
      </c>
      <c r="Z195" s="14" t="str">
        <f t="shared" si="605"/>
        <v xml:space="preserve"> </v>
      </c>
      <c r="AA195" s="27" t="str">
        <f t="shared" si="811"/>
        <v xml:space="preserve"> </v>
      </c>
      <c r="AB195" s="14" t="str">
        <f t="shared" si="606"/>
        <v xml:space="preserve"> </v>
      </c>
      <c r="AC195" s="14" t="str">
        <f t="shared" si="607"/>
        <v xml:space="preserve"> </v>
      </c>
      <c r="AD195" s="14" t="str">
        <f t="shared" si="608"/>
        <v xml:space="preserve"> </v>
      </c>
      <c r="AE195" s="14" t="str">
        <f t="shared" si="609"/>
        <v xml:space="preserve"> </v>
      </c>
      <c r="AF195" s="14" t="str">
        <f t="shared" si="610"/>
        <v xml:space="preserve"> </v>
      </c>
      <c r="AG195" s="27" t="str">
        <f t="shared" si="811"/>
        <v xml:space="preserve"> </v>
      </c>
      <c r="AH195" s="14" t="str">
        <f t="shared" si="611"/>
        <v xml:space="preserve"> </v>
      </c>
      <c r="AI195" s="14" t="str">
        <f t="shared" si="612"/>
        <v xml:space="preserve"> </v>
      </c>
      <c r="AJ195" s="14" t="str">
        <f t="shared" si="613"/>
        <v xml:space="preserve"> </v>
      </c>
      <c r="AK195" s="14" t="str">
        <f t="shared" si="614"/>
        <v xml:space="preserve"> </v>
      </c>
      <c r="AL195" s="14" t="str">
        <f t="shared" si="615"/>
        <v xml:space="preserve"> </v>
      </c>
      <c r="AM195" s="27" t="str">
        <f t="shared" si="811"/>
        <v xml:space="preserve"> </v>
      </c>
      <c r="AN195" s="14" t="str">
        <f t="shared" si="616"/>
        <v xml:space="preserve"> </v>
      </c>
      <c r="AO195" s="14" t="str">
        <f t="shared" si="617"/>
        <v xml:space="preserve"> </v>
      </c>
      <c r="AP195" s="14" t="str">
        <f t="shared" si="618"/>
        <v xml:space="preserve"> </v>
      </c>
      <c r="AQ195" s="14" t="str">
        <f t="shared" si="619"/>
        <v xml:space="preserve"> </v>
      </c>
      <c r="AR195" s="14" t="str">
        <f t="shared" si="620"/>
        <v xml:space="preserve"> </v>
      </c>
      <c r="AS195" s="27" t="str">
        <f t="shared" si="811"/>
        <v xml:space="preserve"> </v>
      </c>
      <c r="AT195" s="14" t="str">
        <f t="shared" si="621"/>
        <v xml:space="preserve"> </v>
      </c>
      <c r="AU195" s="14" t="str">
        <f t="shared" si="622"/>
        <v xml:space="preserve"> </v>
      </c>
      <c r="AV195" s="14" t="str">
        <f t="shared" si="623"/>
        <v xml:space="preserve"> </v>
      </c>
      <c r="AW195" s="14" t="str">
        <f t="shared" si="624"/>
        <v xml:space="preserve"> </v>
      </c>
      <c r="AX195" s="14" t="str">
        <f t="shared" si="625"/>
        <v xml:space="preserve"> </v>
      </c>
      <c r="AY195" s="27" t="str">
        <f t="shared" si="811"/>
        <v xml:space="preserve"> </v>
      </c>
      <c r="AZ195" s="14" t="str">
        <f t="shared" si="626"/>
        <v xml:space="preserve"> </v>
      </c>
      <c r="BA195" s="14" t="str">
        <f t="shared" si="627"/>
        <v xml:space="preserve"> </v>
      </c>
      <c r="BB195" s="14" t="str">
        <f t="shared" si="628"/>
        <v xml:space="preserve"> </v>
      </c>
      <c r="BC195" s="14" t="str">
        <f t="shared" si="629"/>
        <v xml:space="preserve"> </v>
      </c>
      <c r="BD195" s="14" t="str">
        <f t="shared" si="630"/>
        <v xml:space="preserve"> </v>
      </c>
      <c r="BE195" s="27" t="str">
        <f t="shared" si="811"/>
        <v xml:space="preserve"> </v>
      </c>
      <c r="BF195" s="14" t="str">
        <f t="shared" si="631"/>
        <v xml:space="preserve"> </v>
      </c>
      <c r="BG195" s="14" t="str">
        <f t="shared" si="632"/>
        <v xml:space="preserve"> </v>
      </c>
      <c r="BH195" s="14" t="str">
        <f t="shared" si="633"/>
        <v xml:space="preserve"> </v>
      </c>
      <c r="BI195" s="14" t="str">
        <f t="shared" si="634"/>
        <v xml:space="preserve"> </v>
      </c>
      <c r="BJ195" s="14" t="str">
        <f t="shared" si="635"/>
        <v xml:space="preserve"> </v>
      </c>
      <c r="BK195" s="27" t="str">
        <f t="shared" si="811"/>
        <v xml:space="preserve"> </v>
      </c>
      <c r="BL195" s="14" t="str">
        <f t="shared" si="636"/>
        <v xml:space="preserve"> </v>
      </c>
      <c r="BM195" s="14" t="str">
        <f t="shared" si="637"/>
        <v xml:space="preserve">biz enhancement(1,%),  </v>
      </c>
      <c r="BN195" s="14" t="str">
        <f t="shared" si="638"/>
        <v xml:space="preserve"> </v>
      </c>
      <c r="BO195" s="14" t="str">
        <f t="shared" si="639"/>
        <v xml:space="preserve">safety(1),  </v>
      </c>
      <c r="BP195" s="14" t="str">
        <f t="shared" si="640"/>
        <v xml:space="preserve"> </v>
      </c>
      <c r="BQ195" s="27" t="str">
        <f t="shared" si="811"/>
        <v xml:space="preserve"> </v>
      </c>
      <c r="BR195" s="14" t="str">
        <f t="shared" si="641"/>
        <v xml:space="preserve"> </v>
      </c>
      <c r="BS195" s="14" t="str">
        <f t="shared" si="642"/>
        <v xml:space="preserve">biz project(1,%),  </v>
      </c>
      <c r="BT195" s="14" t="str">
        <f t="shared" si="643"/>
        <v xml:space="preserve"> </v>
      </c>
      <c r="BU195" s="14" t="str">
        <f t="shared" si="644"/>
        <v xml:space="preserve"> </v>
      </c>
      <c r="BV195" s="14" t="str">
        <f t="shared" si="645"/>
        <v xml:space="preserve"> </v>
      </c>
      <c r="BW195" s="27" t="str">
        <f t="shared" si="811"/>
        <v xml:space="preserve"> </v>
      </c>
      <c r="BX195" s="14" t="str">
        <f t="shared" si="646"/>
        <v xml:space="preserve">interaction(1)
 </v>
      </c>
      <c r="BY195" s="14" t="str">
        <f t="shared" si="647"/>
        <v xml:space="preserve">biz project(1,%),  </v>
      </c>
      <c r="BZ195" s="14" t="str">
        <f t="shared" si="648"/>
        <v xml:space="preserve"> </v>
      </c>
      <c r="CA195" s="14" t="str">
        <f t="shared" si="649"/>
        <v xml:space="preserve">interaction(2),  </v>
      </c>
      <c r="CB195" s="14" t="str">
        <f t="shared" si="650"/>
        <v xml:space="preserve"> </v>
      </c>
      <c r="CC195" s="27" t="str">
        <f t="shared" si="812"/>
        <v xml:space="preserve"> </v>
      </c>
      <c r="CD195" s="14" t="str">
        <f t="shared" si="652"/>
        <v xml:space="preserve"> </v>
      </c>
      <c r="CE195" s="14" t="str">
        <f t="shared" si="653"/>
        <v xml:space="preserve">biz project(1,%),  </v>
      </c>
      <c r="CF195" s="14" t="str">
        <f t="shared" si="654"/>
        <v xml:space="preserve"> </v>
      </c>
      <c r="CG195" s="14" t="str">
        <f t="shared" si="655"/>
        <v xml:space="preserve">interaction(2),  </v>
      </c>
      <c r="CH195" s="14" t="str">
        <f t="shared" si="656"/>
        <v xml:space="preserve"> </v>
      </c>
      <c r="CI195" s="27" t="str">
        <f t="shared" si="812"/>
        <v xml:space="preserve"> </v>
      </c>
      <c r="CJ195" s="14" t="str">
        <f t="shared" si="657"/>
        <v xml:space="preserve"> </v>
      </c>
      <c r="CK195" s="14" t="str">
        <f t="shared" si="658"/>
        <v xml:space="preserve">biz project(1,%),  </v>
      </c>
      <c r="CL195" s="14" t="str">
        <f t="shared" si="659"/>
        <v xml:space="preserve"> </v>
      </c>
      <c r="CM195" s="14" t="str">
        <f t="shared" si="660"/>
        <v xml:space="preserve">interaction(2),  </v>
      </c>
      <c r="CN195" s="14" t="str">
        <f t="shared" si="661"/>
        <v xml:space="preserve"> </v>
      </c>
      <c r="CO195" s="27" t="str">
        <f t="shared" si="812"/>
        <v xml:space="preserve"> </v>
      </c>
      <c r="CP195" s="14" t="str">
        <f t="shared" si="662"/>
        <v xml:space="preserve"> </v>
      </c>
      <c r="CQ195" s="14" t="str">
        <f t="shared" si="663"/>
        <v xml:space="preserve">biz enhancement(1,50%),  </v>
      </c>
      <c r="CR195" s="14" t="str">
        <f t="shared" si="664"/>
        <v xml:space="preserve">biz enhancement(50)
 </v>
      </c>
      <c r="CS195" s="14" t="str">
        <f t="shared" si="665"/>
        <v xml:space="preserve">safety(2),  </v>
      </c>
      <c r="CT195" s="14" t="str">
        <f t="shared" si="666"/>
        <v xml:space="preserve"> </v>
      </c>
      <c r="CU195" s="27" t="str">
        <f t="shared" si="812"/>
        <v xml:space="preserve"> </v>
      </c>
      <c r="CV195" s="14" t="str">
        <f t="shared" si="667"/>
        <v xml:space="preserve">interaction(1)
 </v>
      </c>
      <c r="CW195" s="14" t="str">
        <f t="shared" si="668"/>
        <v xml:space="preserve">social project(1,50%),  </v>
      </c>
      <c r="CX195" s="14" t="str">
        <f t="shared" si="669"/>
        <v xml:space="preserve">social project(50)
 </v>
      </c>
      <c r="CY195" s="14" t="str">
        <f t="shared" si="670"/>
        <v xml:space="preserve">safety(1), interaction(2),  </v>
      </c>
      <c r="CZ195" s="14" t="str">
        <f t="shared" si="671"/>
        <v xml:space="preserve"> </v>
      </c>
      <c r="DA195" s="27" t="str">
        <f t="shared" si="812"/>
        <v xml:space="preserve"> </v>
      </c>
      <c r="DB195" s="14" t="str">
        <f t="shared" si="672"/>
        <v xml:space="preserve">interaction(1)
 </v>
      </c>
      <c r="DC195" s="14" t="str">
        <f t="shared" si="673"/>
        <v xml:space="preserve">social project(1,50%),  </v>
      </c>
      <c r="DD195" s="14" t="str">
        <f t="shared" si="674"/>
        <v xml:space="preserve">social project(50)
 </v>
      </c>
      <c r="DE195" s="14" t="str">
        <f t="shared" si="675"/>
        <v xml:space="preserve"> </v>
      </c>
      <c r="DF195" s="14" t="str">
        <f t="shared" si="676"/>
        <v xml:space="preserve"> </v>
      </c>
      <c r="DG195" s="27" t="str">
        <f t="shared" si="812"/>
        <v xml:space="preserve"> </v>
      </c>
      <c r="DH195" s="14" t="str">
        <f t="shared" si="677"/>
        <v xml:space="preserve">safety(1)
 </v>
      </c>
      <c r="DI195" s="14" t="str">
        <f t="shared" si="678"/>
        <v xml:space="preserve">social project(1,100%),  </v>
      </c>
      <c r="DJ195" s="14" t="str">
        <f t="shared" si="679"/>
        <v xml:space="preserve">social project(100)
 </v>
      </c>
      <c r="DK195" s="14" t="str">
        <f t="shared" si="680"/>
        <v xml:space="preserve">safety(2), interaction(2),  </v>
      </c>
      <c r="DL195" s="14" t="str">
        <f t="shared" si="681"/>
        <v xml:space="preserve"> </v>
      </c>
      <c r="DM195" s="27" t="str">
        <f t="shared" si="812"/>
        <v xml:space="preserve"> </v>
      </c>
      <c r="DN195" s="14" t="str">
        <f t="shared" si="682"/>
        <v xml:space="preserve">safety(1)
biz project(1)
 </v>
      </c>
      <c r="DO195" s="14" t="str">
        <f t="shared" si="683"/>
        <v xml:space="preserve"> </v>
      </c>
      <c r="DP195" s="14" t="str">
        <f t="shared" si="684"/>
        <v xml:space="preserve"> </v>
      </c>
      <c r="DQ195" s="14" t="str">
        <f t="shared" si="685"/>
        <v xml:space="preserve"> </v>
      </c>
      <c r="DR195" s="14" t="str">
        <f t="shared" si="686"/>
        <v xml:space="preserve"> </v>
      </c>
      <c r="DS195" s="27" t="str">
        <f t="shared" si="812"/>
        <v xml:space="preserve"> </v>
      </c>
      <c r="DT195" s="14" t="str">
        <f t="shared" si="687"/>
        <v xml:space="preserve"> </v>
      </c>
      <c r="DU195" s="14" t="str">
        <f t="shared" si="688"/>
        <v xml:space="preserve"> </v>
      </c>
      <c r="DV195" s="14" t="str">
        <f t="shared" si="689"/>
        <v xml:space="preserve"> </v>
      </c>
      <c r="DW195" s="14" t="str">
        <f t="shared" si="690"/>
        <v xml:space="preserve"> </v>
      </c>
      <c r="DX195" s="14" t="str">
        <f t="shared" si="691"/>
        <v xml:space="preserve"> </v>
      </c>
      <c r="DY195" s="27" t="str">
        <f t="shared" si="812"/>
        <v xml:space="preserve"> </v>
      </c>
      <c r="DZ195" s="14" t="str">
        <f t="shared" si="692"/>
        <v xml:space="preserve"> </v>
      </c>
      <c r="EA195" s="14" t="str">
        <f t="shared" si="693"/>
        <v xml:space="preserve"> </v>
      </c>
      <c r="EB195" s="14" t="str">
        <f t="shared" si="694"/>
        <v xml:space="preserve"> </v>
      </c>
      <c r="EC195" s="14" t="str">
        <f t="shared" si="695"/>
        <v xml:space="preserve"> </v>
      </c>
      <c r="ED195" s="14" t="str">
        <f t="shared" si="696"/>
        <v xml:space="preserve"> </v>
      </c>
      <c r="EE195" s="27" t="str">
        <f t="shared" si="812"/>
        <v xml:space="preserve"> </v>
      </c>
      <c r="EF195" s="14" t="str">
        <f t="shared" si="697"/>
        <v xml:space="preserve"> </v>
      </c>
      <c r="EG195" s="14" t="str">
        <f t="shared" si="698"/>
        <v xml:space="preserve"> </v>
      </c>
      <c r="EH195" s="14" t="str">
        <f t="shared" si="699"/>
        <v xml:space="preserve"> </v>
      </c>
      <c r="EI195" s="14" t="str">
        <f t="shared" si="700"/>
        <v xml:space="preserve"> </v>
      </c>
      <c r="EJ195" s="14" t="str">
        <f t="shared" si="701"/>
        <v xml:space="preserve"> </v>
      </c>
      <c r="EK195" s="27" t="str">
        <f t="shared" si="812"/>
        <v xml:space="preserve"> </v>
      </c>
      <c r="EL195" s="14" t="str">
        <f t="shared" si="702"/>
        <v xml:space="preserve"> </v>
      </c>
      <c r="EM195" s="14" t="str">
        <f t="shared" si="703"/>
        <v xml:space="preserve"> </v>
      </c>
      <c r="EN195" s="14" t="str">
        <f t="shared" si="704"/>
        <v xml:space="preserve"> </v>
      </c>
      <c r="EO195" s="14" t="str">
        <f t="shared" si="705"/>
        <v xml:space="preserve"> </v>
      </c>
      <c r="EP195" s="14" t="str">
        <f t="shared" si="706"/>
        <v xml:space="preserve"> </v>
      </c>
      <c r="EQ195" s="27" t="str">
        <f t="shared" si="813"/>
        <v xml:space="preserve"> </v>
      </c>
      <c r="ER195" s="14" t="str">
        <f t="shared" si="708"/>
        <v xml:space="preserve"> </v>
      </c>
      <c r="ES195" s="14" t="str">
        <f t="shared" si="709"/>
        <v xml:space="preserve"> </v>
      </c>
      <c r="ET195" s="14" t="str">
        <f t="shared" si="710"/>
        <v xml:space="preserve"> </v>
      </c>
      <c r="EU195" s="14" t="str">
        <f t="shared" si="711"/>
        <v xml:space="preserve"> </v>
      </c>
      <c r="EV195" s="14" t="str">
        <f t="shared" si="712"/>
        <v xml:space="preserve"> </v>
      </c>
      <c r="EW195" s="27" t="str">
        <f t="shared" si="813"/>
        <v xml:space="preserve"> </v>
      </c>
      <c r="EX195" s="14" t="str">
        <f t="shared" si="713"/>
        <v xml:space="preserve"> </v>
      </c>
      <c r="EY195" s="14" t="str">
        <f t="shared" si="714"/>
        <v xml:space="preserve"> </v>
      </c>
      <c r="EZ195" s="14" t="str">
        <f t="shared" si="715"/>
        <v xml:space="preserve"> </v>
      </c>
      <c r="FA195" s="14" t="str">
        <f t="shared" si="716"/>
        <v xml:space="preserve"> </v>
      </c>
      <c r="FB195" s="14" t="str">
        <f t="shared" si="717"/>
        <v xml:space="preserve"> </v>
      </c>
      <c r="FC195" s="27" t="str">
        <f t="shared" si="813"/>
        <v xml:space="preserve"> </v>
      </c>
      <c r="FD195" s="14" t="str">
        <f t="shared" si="718"/>
        <v xml:space="preserve"> </v>
      </c>
      <c r="FE195" s="14" t="str">
        <f t="shared" si="719"/>
        <v xml:space="preserve"> </v>
      </c>
      <c r="FF195" s="14" t="str">
        <f t="shared" si="720"/>
        <v xml:space="preserve"> </v>
      </c>
      <c r="FG195" s="14" t="str">
        <f t="shared" si="721"/>
        <v xml:space="preserve"> </v>
      </c>
      <c r="FH195" s="14" t="str">
        <f t="shared" si="722"/>
        <v xml:space="preserve"> </v>
      </c>
      <c r="FI195" s="27" t="str">
        <f t="shared" si="813"/>
        <v xml:space="preserve"> </v>
      </c>
      <c r="FJ195" s="14" t="str">
        <f t="shared" si="723"/>
        <v xml:space="preserve"> </v>
      </c>
      <c r="FK195" s="14" t="str">
        <f t="shared" si="724"/>
        <v xml:space="preserve"> </v>
      </c>
      <c r="FL195" s="14" t="str">
        <f t="shared" si="725"/>
        <v xml:space="preserve"> </v>
      </c>
      <c r="FM195" s="14" t="str">
        <f t="shared" si="726"/>
        <v xml:space="preserve"> </v>
      </c>
      <c r="FN195" s="14" t="str">
        <f t="shared" si="727"/>
        <v xml:space="preserve"> </v>
      </c>
      <c r="FO195" s="27" t="str">
        <f t="shared" si="813"/>
        <v xml:space="preserve"> </v>
      </c>
      <c r="FP195" s="14" t="str">
        <f t="shared" si="728"/>
        <v xml:space="preserve"> </v>
      </c>
      <c r="FQ195" s="14" t="str">
        <f t="shared" si="729"/>
        <v xml:space="preserve"> </v>
      </c>
      <c r="FR195" s="14" t="str">
        <f t="shared" si="730"/>
        <v xml:space="preserve"> </v>
      </c>
      <c r="FS195" s="14" t="str">
        <f t="shared" si="731"/>
        <v xml:space="preserve"> </v>
      </c>
      <c r="FT195" s="14" t="str">
        <f t="shared" si="732"/>
        <v xml:space="preserve"> </v>
      </c>
      <c r="FU195" s="27" t="str">
        <f t="shared" si="813"/>
        <v xml:space="preserve"> </v>
      </c>
      <c r="FV195" s="14" t="str">
        <f t="shared" si="733"/>
        <v xml:space="preserve"> </v>
      </c>
      <c r="FW195" s="14" t="str">
        <f t="shared" si="734"/>
        <v xml:space="preserve"> </v>
      </c>
      <c r="FX195" s="14" t="str">
        <f t="shared" si="735"/>
        <v xml:space="preserve"> </v>
      </c>
      <c r="FY195" s="14" t="str">
        <f t="shared" si="736"/>
        <v xml:space="preserve"> </v>
      </c>
      <c r="FZ195" s="14" t="str">
        <f t="shared" si="737"/>
        <v xml:space="preserve"> </v>
      </c>
      <c r="GA195" s="27" t="str">
        <f t="shared" si="813"/>
        <v xml:space="preserve"> </v>
      </c>
      <c r="GB195" s="14" t="str">
        <f t="shared" si="738"/>
        <v xml:space="preserve"> </v>
      </c>
      <c r="GC195" s="14" t="str">
        <f t="shared" si="739"/>
        <v xml:space="preserve"> </v>
      </c>
      <c r="GD195" s="14" t="str">
        <f t="shared" si="740"/>
        <v xml:space="preserve"> </v>
      </c>
      <c r="GE195" s="14" t="str">
        <f t="shared" si="741"/>
        <v xml:space="preserve"> </v>
      </c>
      <c r="GF195" s="14" t="str">
        <f t="shared" si="742"/>
        <v xml:space="preserve"> </v>
      </c>
      <c r="GG195" s="27" t="str">
        <f t="shared" si="813"/>
        <v xml:space="preserve"> </v>
      </c>
      <c r="GH195" s="14" t="str">
        <f t="shared" si="743"/>
        <v xml:space="preserve"> </v>
      </c>
      <c r="GI195" s="14" t="str">
        <f t="shared" si="744"/>
        <v xml:space="preserve"> </v>
      </c>
      <c r="GJ195" s="14" t="str">
        <f t="shared" si="745"/>
        <v xml:space="preserve"> </v>
      </c>
      <c r="GK195" s="14" t="str">
        <f t="shared" si="746"/>
        <v xml:space="preserve"> </v>
      </c>
      <c r="GL195" s="14" t="str">
        <f t="shared" si="747"/>
        <v xml:space="preserve"> </v>
      </c>
      <c r="GM195" s="27" t="str">
        <f t="shared" si="813"/>
        <v xml:space="preserve"> </v>
      </c>
      <c r="GN195" s="14" t="str">
        <f t="shared" si="748"/>
        <v xml:space="preserve"> </v>
      </c>
      <c r="GO195" s="14" t="str">
        <f t="shared" si="749"/>
        <v xml:space="preserve"> </v>
      </c>
      <c r="GP195" s="14" t="str">
        <f t="shared" si="750"/>
        <v xml:space="preserve"> </v>
      </c>
      <c r="GQ195" s="14" t="str">
        <f t="shared" si="751"/>
        <v xml:space="preserve"> </v>
      </c>
      <c r="GR195" s="14" t="str">
        <f t="shared" si="752"/>
        <v xml:space="preserve"> </v>
      </c>
      <c r="GS195" s="27" t="str">
        <f t="shared" si="813"/>
        <v xml:space="preserve"> </v>
      </c>
      <c r="GT195" s="14" t="str">
        <f t="shared" si="753"/>
        <v xml:space="preserve"> </v>
      </c>
      <c r="GU195" s="14" t="str">
        <f t="shared" si="754"/>
        <v xml:space="preserve"> </v>
      </c>
      <c r="GV195" s="14" t="str">
        <f t="shared" si="755"/>
        <v xml:space="preserve"> </v>
      </c>
      <c r="GW195" s="14" t="str">
        <f t="shared" si="756"/>
        <v xml:space="preserve"> </v>
      </c>
      <c r="GX195" s="14" t="str">
        <f t="shared" si="757"/>
        <v xml:space="preserve"> </v>
      </c>
      <c r="GY195" s="27" t="str">
        <f t="shared" si="813"/>
        <v xml:space="preserve"> </v>
      </c>
      <c r="GZ195" s="14" t="str">
        <f t="shared" si="758"/>
        <v xml:space="preserve"> </v>
      </c>
      <c r="HA195" s="14" t="str">
        <f t="shared" si="759"/>
        <v xml:space="preserve"> </v>
      </c>
      <c r="HB195" s="14" t="str">
        <f t="shared" si="760"/>
        <v xml:space="preserve"> </v>
      </c>
      <c r="HC195" s="14" t="str">
        <f t="shared" si="761"/>
        <v xml:space="preserve"> </v>
      </c>
      <c r="HD195" s="14" t="str">
        <f t="shared" si="762"/>
        <v xml:space="preserve"> </v>
      </c>
      <c r="HE195" s="27" t="str">
        <f t="shared" si="814"/>
        <v xml:space="preserve"> </v>
      </c>
      <c r="HF195" s="14" t="str">
        <f t="shared" si="764"/>
        <v xml:space="preserve"> </v>
      </c>
      <c r="HG195" s="14" t="str">
        <f t="shared" si="765"/>
        <v xml:space="preserve"> </v>
      </c>
      <c r="HH195" s="14" t="str">
        <f t="shared" si="766"/>
        <v xml:space="preserve"> </v>
      </c>
      <c r="HI195" s="14" t="str">
        <f t="shared" si="767"/>
        <v xml:space="preserve"> </v>
      </c>
      <c r="HJ195" s="14" t="str">
        <f t="shared" si="768"/>
        <v xml:space="preserve"> </v>
      </c>
      <c r="HK195" s="27" t="str">
        <f t="shared" si="814"/>
        <v xml:space="preserve"> </v>
      </c>
      <c r="HL195" s="14" t="str">
        <f t="shared" si="769"/>
        <v xml:space="preserve"> </v>
      </c>
      <c r="HM195" s="14" t="str">
        <f t="shared" si="770"/>
        <v xml:space="preserve"> </v>
      </c>
      <c r="HN195" s="14" t="str">
        <f t="shared" si="771"/>
        <v xml:space="preserve"> </v>
      </c>
      <c r="HO195" s="14" t="str">
        <f t="shared" si="772"/>
        <v xml:space="preserve"> </v>
      </c>
      <c r="HP195" s="14" t="str">
        <f t="shared" si="773"/>
        <v xml:space="preserve"> </v>
      </c>
      <c r="HQ195" s="27" t="str">
        <f t="shared" si="814"/>
        <v xml:space="preserve"> </v>
      </c>
    </row>
    <row r="196" spans="1:225" ht="15.75" customHeight="1">
      <c r="A196" s="7">
        <f t="shared" ref="A196:C196" si="819">A88</f>
        <v>0</v>
      </c>
      <c r="B196" s="7">
        <f t="shared" si="819"/>
        <v>0</v>
      </c>
      <c r="C196" s="7" t="str">
        <f t="shared" si="819"/>
        <v>interaction</v>
      </c>
      <c r="D196" s="14" t="str">
        <f t="shared" si="775"/>
        <v xml:space="preserve"> </v>
      </c>
      <c r="E196" s="14" t="str">
        <f t="shared" si="776"/>
        <v xml:space="preserve"> </v>
      </c>
      <c r="F196" s="14" t="str">
        <f t="shared" si="777"/>
        <v xml:space="preserve"> </v>
      </c>
      <c r="G196" s="14" t="str">
        <f t="shared" si="778"/>
        <v xml:space="preserve"> </v>
      </c>
      <c r="H196" s="14" t="str">
        <f t="shared" si="779"/>
        <v xml:space="preserve"> </v>
      </c>
      <c r="I196" s="27" t="str">
        <f t="shared" ref="I196" si="820">IF(I88="",I197,$C196&amp;"("&amp;I88&amp;"),"&amp;I197)</f>
        <v xml:space="preserve"> </v>
      </c>
      <c r="J196" s="14" t="str">
        <f t="shared" si="590"/>
        <v xml:space="preserve"> </v>
      </c>
      <c r="K196" s="14" t="str">
        <f t="shared" si="591"/>
        <v xml:space="preserve"> </v>
      </c>
      <c r="L196" s="14" t="str">
        <f t="shared" si="592"/>
        <v xml:space="preserve"> </v>
      </c>
      <c r="M196" s="14" t="str">
        <f t="shared" si="593"/>
        <v xml:space="preserve"> </v>
      </c>
      <c r="N196" s="14" t="str">
        <f t="shared" si="594"/>
        <v xml:space="preserve"> </v>
      </c>
      <c r="O196" s="27" t="str">
        <f t="shared" si="811"/>
        <v xml:space="preserve"> </v>
      </c>
      <c r="P196" s="14" t="str">
        <f t="shared" si="596"/>
        <v xml:space="preserve"> </v>
      </c>
      <c r="Q196" s="14" t="str">
        <f t="shared" si="597"/>
        <v xml:space="preserve"> </v>
      </c>
      <c r="R196" s="14" t="str">
        <f t="shared" si="598"/>
        <v xml:space="preserve"> </v>
      </c>
      <c r="S196" s="14" t="str">
        <f t="shared" si="599"/>
        <v xml:space="preserve"> </v>
      </c>
      <c r="T196" s="14" t="str">
        <f t="shared" si="600"/>
        <v xml:space="preserve"> </v>
      </c>
      <c r="U196" s="27" t="str">
        <f t="shared" si="811"/>
        <v xml:space="preserve"> </v>
      </c>
      <c r="V196" s="14" t="str">
        <f t="shared" si="601"/>
        <v xml:space="preserve"> </v>
      </c>
      <c r="W196" s="14" t="str">
        <f t="shared" si="602"/>
        <v xml:space="preserve"> </v>
      </c>
      <c r="X196" s="14" t="str">
        <f t="shared" si="603"/>
        <v xml:space="preserve"> </v>
      </c>
      <c r="Y196" s="14" t="str">
        <f t="shared" si="604"/>
        <v xml:space="preserve"> </v>
      </c>
      <c r="Z196" s="14" t="str">
        <f t="shared" si="605"/>
        <v xml:space="preserve"> </v>
      </c>
      <c r="AA196" s="27" t="str">
        <f t="shared" si="811"/>
        <v xml:space="preserve"> </v>
      </c>
      <c r="AB196" s="14" t="str">
        <f t="shared" si="606"/>
        <v xml:space="preserve"> </v>
      </c>
      <c r="AC196" s="14" t="str">
        <f t="shared" si="607"/>
        <v xml:space="preserve"> </v>
      </c>
      <c r="AD196" s="14" t="str">
        <f t="shared" si="608"/>
        <v xml:space="preserve"> </v>
      </c>
      <c r="AE196" s="14" t="str">
        <f t="shared" si="609"/>
        <v xml:space="preserve"> </v>
      </c>
      <c r="AF196" s="14" t="str">
        <f t="shared" si="610"/>
        <v xml:space="preserve"> </v>
      </c>
      <c r="AG196" s="27" t="str">
        <f t="shared" si="811"/>
        <v xml:space="preserve"> </v>
      </c>
      <c r="AH196" s="14" t="str">
        <f t="shared" si="611"/>
        <v xml:space="preserve"> </v>
      </c>
      <c r="AI196" s="14" t="str">
        <f t="shared" si="612"/>
        <v xml:space="preserve"> </v>
      </c>
      <c r="AJ196" s="14" t="str">
        <f t="shared" si="613"/>
        <v xml:space="preserve"> </v>
      </c>
      <c r="AK196" s="14" t="str">
        <f t="shared" si="614"/>
        <v xml:space="preserve"> </v>
      </c>
      <c r="AL196" s="14" t="str">
        <f t="shared" si="615"/>
        <v xml:space="preserve"> </v>
      </c>
      <c r="AM196" s="27" t="str">
        <f t="shared" si="811"/>
        <v xml:space="preserve"> </v>
      </c>
      <c r="AN196" s="14" t="str">
        <f t="shared" si="616"/>
        <v xml:space="preserve"> </v>
      </c>
      <c r="AO196" s="14" t="str">
        <f t="shared" si="617"/>
        <v xml:space="preserve"> </v>
      </c>
      <c r="AP196" s="14" t="str">
        <f t="shared" si="618"/>
        <v xml:space="preserve"> </v>
      </c>
      <c r="AQ196" s="14" t="str">
        <f t="shared" si="619"/>
        <v xml:space="preserve"> </v>
      </c>
      <c r="AR196" s="14" t="str">
        <f t="shared" si="620"/>
        <v xml:space="preserve"> </v>
      </c>
      <c r="AS196" s="27" t="str">
        <f t="shared" si="811"/>
        <v xml:space="preserve"> </v>
      </c>
      <c r="AT196" s="14" t="str">
        <f t="shared" si="621"/>
        <v xml:space="preserve"> </v>
      </c>
      <c r="AU196" s="14" t="str">
        <f t="shared" si="622"/>
        <v xml:space="preserve"> </v>
      </c>
      <c r="AV196" s="14" t="str">
        <f t="shared" si="623"/>
        <v xml:space="preserve"> </v>
      </c>
      <c r="AW196" s="14" t="str">
        <f t="shared" si="624"/>
        <v xml:space="preserve"> </v>
      </c>
      <c r="AX196" s="14" t="str">
        <f t="shared" si="625"/>
        <v xml:space="preserve"> </v>
      </c>
      <c r="AY196" s="27" t="str">
        <f t="shared" si="811"/>
        <v xml:space="preserve"> </v>
      </c>
      <c r="AZ196" s="14" t="str">
        <f t="shared" si="626"/>
        <v xml:space="preserve"> </v>
      </c>
      <c r="BA196" s="14" t="str">
        <f t="shared" si="627"/>
        <v xml:space="preserve"> </v>
      </c>
      <c r="BB196" s="14" t="str">
        <f t="shared" si="628"/>
        <v xml:space="preserve"> </v>
      </c>
      <c r="BC196" s="14" t="str">
        <f t="shared" si="629"/>
        <v xml:space="preserve"> </v>
      </c>
      <c r="BD196" s="14" t="str">
        <f t="shared" si="630"/>
        <v xml:space="preserve"> </v>
      </c>
      <c r="BE196" s="27" t="str">
        <f t="shared" si="811"/>
        <v xml:space="preserve"> </v>
      </c>
      <c r="BF196" s="14" t="str">
        <f t="shared" si="631"/>
        <v xml:space="preserve"> </v>
      </c>
      <c r="BG196" s="14" t="str">
        <f t="shared" si="632"/>
        <v xml:space="preserve"> </v>
      </c>
      <c r="BH196" s="14" t="str">
        <f t="shared" si="633"/>
        <v xml:space="preserve"> </v>
      </c>
      <c r="BI196" s="14" t="str">
        <f t="shared" si="634"/>
        <v xml:space="preserve"> </v>
      </c>
      <c r="BJ196" s="14" t="str">
        <f t="shared" si="635"/>
        <v xml:space="preserve"> </v>
      </c>
      <c r="BK196" s="27" t="str">
        <f t="shared" si="811"/>
        <v xml:space="preserve"> </v>
      </c>
      <c r="BL196" s="14" t="str">
        <f t="shared" si="636"/>
        <v xml:space="preserve"> </v>
      </c>
      <c r="BM196" s="14" t="str">
        <f t="shared" si="637"/>
        <v xml:space="preserve">biz enhancement(1,%),  </v>
      </c>
      <c r="BN196" s="14" t="str">
        <f t="shared" si="638"/>
        <v xml:space="preserve"> </v>
      </c>
      <c r="BO196" s="14" t="str">
        <f t="shared" si="639"/>
        <v xml:space="preserve"> </v>
      </c>
      <c r="BP196" s="14" t="str">
        <f t="shared" si="640"/>
        <v xml:space="preserve"> </v>
      </c>
      <c r="BQ196" s="27" t="str">
        <f t="shared" si="811"/>
        <v xml:space="preserve"> </v>
      </c>
      <c r="BR196" s="14" t="str">
        <f t="shared" si="641"/>
        <v xml:space="preserve"> </v>
      </c>
      <c r="BS196" s="14" t="str">
        <f t="shared" si="642"/>
        <v xml:space="preserve">biz project(1,%),  </v>
      </c>
      <c r="BT196" s="14" t="str">
        <f t="shared" si="643"/>
        <v xml:space="preserve"> </v>
      </c>
      <c r="BU196" s="14" t="str">
        <f t="shared" si="644"/>
        <v xml:space="preserve"> </v>
      </c>
      <c r="BV196" s="14" t="str">
        <f t="shared" si="645"/>
        <v xml:space="preserve"> </v>
      </c>
      <c r="BW196" s="27" t="str">
        <f t="shared" si="811"/>
        <v xml:space="preserve"> </v>
      </c>
      <c r="BX196" s="14" t="str">
        <f t="shared" si="646"/>
        <v xml:space="preserve">interaction(1)
 </v>
      </c>
      <c r="BY196" s="14" t="str">
        <f t="shared" si="647"/>
        <v xml:space="preserve">biz project(1,%),  </v>
      </c>
      <c r="BZ196" s="14" t="str">
        <f t="shared" si="648"/>
        <v xml:space="preserve"> </v>
      </c>
      <c r="CA196" s="14" t="str">
        <f t="shared" si="649"/>
        <v xml:space="preserve">interaction(2),  </v>
      </c>
      <c r="CB196" s="14" t="str">
        <f t="shared" si="650"/>
        <v xml:space="preserve"> </v>
      </c>
      <c r="CC196" s="27" t="str">
        <f t="shared" si="812"/>
        <v xml:space="preserve"> </v>
      </c>
      <c r="CD196" s="14" t="str">
        <f t="shared" si="652"/>
        <v xml:space="preserve"> </v>
      </c>
      <c r="CE196" s="14" t="str">
        <f t="shared" si="653"/>
        <v xml:space="preserve">biz project(1,%),  </v>
      </c>
      <c r="CF196" s="14" t="str">
        <f t="shared" si="654"/>
        <v xml:space="preserve"> </v>
      </c>
      <c r="CG196" s="14" t="str">
        <f t="shared" si="655"/>
        <v xml:space="preserve">interaction(2),  </v>
      </c>
      <c r="CH196" s="14" t="str">
        <f t="shared" si="656"/>
        <v xml:space="preserve"> </v>
      </c>
      <c r="CI196" s="27" t="str">
        <f t="shared" si="812"/>
        <v xml:space="preserve"> </v>
      </c>
      <c r="CJ196" s="14" t="str">
        <f t="shared" si="657"/>
        <v xml:space="preserve"> </v>
      </c>
      <c r="CK196" s="14" t="str">
        <f t="shared" si="658"/>
        <v xml:space="preserve">biz project(1,%),  </v>
      </c>
      <c r="CL196" s="14" t="str">
        <f t="shared" si="659"/>
        <v xml:space="preserve"> </v>
      </c>
      <c r="CM196" s="14" t="str">
        <f t="shared" si="660"/>
        <v xml:space="preserve">interaction(2),  </v>
      </c>
      <c r="CN196" s="14" t="str">
        <f t="shared" si="661"/>
        <v xml:space="preserve"> </v>
      </c>
      <c r="CO196" s="27" t="str">
        <f t="shared" si="812"/>
        <v xml:space="preserve"> </v>
      </c>
      <c r="CP196" s="14" t="str">
        <f t="shared" si="662"/>
        <v xml:space="preserve"> </v>
      </c>
      <c r="CQ196" s="14" t="str">
        <f t="shared" si="663"/>
        <v xml:space="preserve">biz enhancement(1,50%),  </v>
      </c>
      <c r="CR196" s="14" t="str">
        <f t="shared" si="664"/>
        <v xml:space="preserve">biz enhancement(50)
 </v>
      </c>
      <c r="CS196" s="14" t="str">
        <f t="shared" si="665"/>
        <v xml:space="preserve"> </v>
      </c>
      <c r="CT196" s="14" t="str">
        <f t="shared" si="666"/>
        <v xml:space="preserve"> </v>
      </c>
      <c r="CU196" s="27" t="str">
        <f t="shared" si="812"/>
        <v xml:space="preserve"> </v>
      </c>
      <c r="CV196" s="14" t="str">
        <f t="shared" si="667"/>
        <v xml:space="preserve">interaction(1)
 </v>
      </c>
      <c r="CW196" s="14" t="str">
        <f t="shared" si="668"/>
        <v xml:space="preserve">social project(1,50%),  </v>
      </c>
      <c r="CX196" s="14" t="str">
        <f t="shared" si="669"/>
        <v xml:space="preserve">social project(50)
 </v>
      </c>
      <c r="CY196" s="14" t="str">
        <f t="shared" si="670"/>
        <v xml:space="preserve">interaction(2),  </v>
      </c>
      <c r="CZ196" s="14" t="str">
        <f t="shared" si="671"/>
        <v xml:space="preserve"> </v>
      </c>
      <c r="DA196" s="27" t="str">
        <f t="shared" si="812"/>
        <v xml:space="preserve"> </v>
      </c>
      <c r="DB196" s="14" t="str">
        <f t="shared" si="672"/>
        <v xml:space="preserve">interaction(1)
 </v>
      </c>
      <c r="DC196" s="14" t="str">
        <f t="shared" si="673"/>
        <v xml:space="preserve">social project(1,50%),  </v>
      </c>
      <c r="DD196" s="14" t="str">
        <f t="shared" si="674"/>
        <v xml:space="preserve">social project(50)
 </v>
      </c>
      <c r="DE196" s="14" t="str">
        <f t="shared" si="675"/>
        <v xml:space="preserve"> </v>
      </c>
      <c r="DF196" s="14" t="str">
        <f t="shared" si="676"/>
        <v xml:space="preserve"> </v>
      </c>
      <c r="DG196" s="27" t="str">
        <f t="shared" si="812"/>
        <v xml:space="preserve"> </v>
      </c>
      <c r="DH196" s="14" t="str">
        <f t="shared" si="677"/>
        <v xml:space="preserve"> </v>
      </c>
      <c r="DI196" s="14" t="str">
        <f t="shared" si="678"/>
        <v xml:space="preserve">social project(1,100%),  </v>
      </c>
      <c r="DJ196" s="14" t="str">
        <f t="shared" si="679"/>
        <v xml:space="preserve">social project(100)
 </v>
      </c>
      <c r="DK196" s="14" t="str">
        <f t="shared" si="680"/>
        <v xml:space="preserve">interaction(2),  </v>
      </c>
      <c r="DL196" s="14" t="str">
        <f t="shared" si="681"/>
        <v xml:space="preserve"> </v>
      </c>
      <c r="DM196" s="27" t="str">
        <f t="shared" si="812"/>
        <v xml:space="preserve"> </v>
      </c>
      <c r="DN196" s="14" t="str">
        <f t="shared" si="682"/>
        <v xml:space="preserve">biz project(1)
 </v>
      </c>
      <c r="DO196" s="14" t="str">
        <f t="shared" si="683"/>
        <v xml:space="preserve"> </v>
      </c>
      <c r="DP196" s="14" t="str">
        <f t="shared" si="684"/>
        <v xml:space="preserve"> </v>
      </c>
      <c r="DQ196" s="14" t="str">
        <f t="shared" si="685"/>
        <v xml:space="preserve"> </v>
      </c>
      <c r="DR196" s="14" t="str">
        <f t="shared" si="686"/>
        <v xml:space="preserve"> </v>
      </c>
      <c r="DS196" s="27" t="str">
        <f t="shared" si="812"/>
        <v xml:space="preserve"> </v>
      </c>
      <c r="DT196" s="14" t="str">
        <f t="shared" si="687"/>
        <v xml:space="preserve"> </v>
      </c>
      <c r="DU196" s="14" t="str">
        <f t="shared" si="688"/>
        <v xml:space="preserve"> </v>
      </c>
      <c r="DV196" s="14" t="str">
        <f t="shared" si="689"/>
        <v xml:space="preserve"> </v>
      </c>
      <c r="DW196" s="14" t="str">
        <f t="shared" si="690"/>
        <v xml:space="preserve"> </v>
      </c>
      <c r="DX196" s="14" t="str">
        <f t="shared" si="691"/>
        <v xml:space="preserve"> </v>
      </c>
      <c r="DY196" s="27" t="str">
        <f t="shared" si="812"/>
        <v xml:space="preserve"> </v>
      </c>
      <c r="DZ196" s="14" t="str">
        <f t="shared" si="692"/>
        <v xml:space="preserve"> </v>
      </c>
      <c r="EA196" s="14" t="str">
        <f t="shared" si="693"/>
        <v xml:space="preserve"> </v>
      </c>
      <c r="EB196" s="14" t="str">
        <f t="shared" si="694"/>
        <v xml:space="preserve"> </v>
      </c>
      <c r="EC196" s="14" t="str">
        <f t="shared" si="695"/>
        <v xml:space="preserve"> </v>
      </c>
      <c r="ED196" s="14" t="str">
        <f t="shared" si="696"/>
        <v xml:space="preserve"> </v>
      </c>
      <c r="EE196" s="27" t="str">
        <f t="shared" si="812"/>
        <v xml:space="preserve"> </v>
      </c>
      <c r="EF196" s="14" t="str">
        <f t="shared" si="697"/>
        <v xml:space="preserve"> </v>
      </c>
      <c r="EG196" s="14" t="str">
        <f t="shared" si="698"/>
        <v xml:space="preserve"> </v>
      </c>
      <c r="EH196" s="14" t="str">
        <f t="shared" si="699"/>
        <v xml:space="preserve"> </v>
      </c>
      <c r="EI196" s="14" t="str">
        <f t="shared" si="700"/>
        <v xml:space="preserve"> </v>
      </c>
      <c r="EJ196" s="14" t="str">
        <f t="shared" si="701"/>
        <v xml:space="preserve"> </v>
      </c>
      <c r="EK196" s="27" t="str">
        <f t="shared" si="812"/>
        <v xml:space="preserve"> </v>
      </c>
      <c r="EL196" s="14" t="str">
        <f t="shared" si="702"/>
        <v xml:space="preserve"> </v>
      </c>
      <c r="EM196" s="14" t="str">
        <f t="shared" si="703"/>
        <v xml:space="preserve"> </v>
      </c>
      <c r="EN196" s="14" t="str">
        <f t="shared" si="704"/>
        <v xml:space="preserve"> </v>
      </c>
      <c r="EO196" s="14" t="str">
        <f t="shared" si="705"/>
        <v xml:space="preserve"> </v>
      </c>
      <c r="EP196" s="14" t="str">
        <f t="shared" si="706"/>
        <v xml:space="preserve"> </v>
      </c>
      <c r="EQ196" s="27" t="str">
        <f t="shared" si="813"/>
        <v xml:space="preserve"> </v>
      </c>
      <c r="ER196" s="14" t="str">
        <f t="shared" si="708"/>
        <v xml:space="preserve"> </v>
      </c>
      <c r="ES196" s="14" t="str">
        <f t="shared" si="709"/>
        <v xml:space="preserve"> </v>
      </c>
      <c r="ET196" s="14" t="str">
        <f t="shared" si="710"/>
        <v xml:space="preserve"> </v>
      </c>
      <c r="EU196" s="14" t="str">
        <f t="shared" si="711"/>
        <v xml:space="preserve"> </v>
      </c>
      <c r="EV196" s="14" t="str">
        <f t="shared" si="712"/>
        <v xml:space="preserve"> </v>
      </c>
      <c r="EW196" s="27" t="str">
        <f t="shared" si="813"/>
        <v xml:space="preserve"> </v>
      </c>
      <c r="EX196" s="14" t="str">
        <f t="shared" si="713"/>
        <v xml:space="preserve"> </v>
      </c>
      <c r="EY196" s="14" t="str">
        <f t="shared" si="714"/>
        <v xml:space="preserve"> </v>
      </c>
      <c r="EZ196" s="14" t="str">
        <f t="shared" si="715"/>
        <v xml:space="preserve"> </v>
      </c>
      <c r="FA196" s="14" t="str">
        <f t="shared" si="716"/>
        <v xml:space="preserve"> </v>
      </c>
      <c r="FB196" s="14" t="str">
        <f t="shared" si="717"/>
        <v xml:space="preserve"> </v>
      </c>
      <c r="FC196" s="27" t="str">
        <f t="shared" si="813"/>
        <v xml:space="preserve"> </v>
      </c>
      <c r="FD196" s="14" t="str">
        <f t="shared" si="718"/>
        <v xml:space="preserve"> </v>
      </c>
      <c r="FE196" s="14" t="str">
        <f t="shared" si="719"/>
        <v xml:space="preserve"> </v>
      </c>
      <c r="FF196" s="14" t="str">
        <f t="shared" si="720"/>
        <v xml:space="preserve"> </v>
      </c>
      <c r="FG196" s="14" t="str">
        <f t="shared" si="721"/>
        <v xml:space="preserve"> </v>
      </c>
      <c r="FH196" s="14" t="str">
        <f t="shared" si="722"/>
        <v xml:space="preserve"> </v>
      </c>
      <c r="FI196" s="27" t="str">
        <f t="shared" si="813"/>
        <v xml:space="preserve"> </v>
      </c>
      <c r="FJ196" s="14" t="str">
        <f t="shared" si="723"/>
        <v xml:space="preserve"> </v>
      </c>
      <c r="FK196" s="14" t="str">
        <f t="shared" si="724"/>
        <v xml:space="preserve"> </v>
      </c>
      <c r="FL196" s="14" t="str">
        <f t="shared" si="725"/>
        <v xml:space="preserve"> </v>
      </c>
      <c r="FM196" s="14" t="str">
        <f t="shared" si="726"/>
        <v xml:space="preserve"> </v>
      </c>
      <c r="FN196" s="14" t="str">
        <f t="shared" si="727"/>
        <v xml:space="preserve"> </v>
      </c>
      <c r="FO196" s="27" t="str">
        <f t="shared" si="813"/>
        <v xml:space="preserve"> </v>
      </c>
      <c r="FP196" s="14" t="str">
        <f t="shared" si="728"/>
        <v xml:space="preserve"> </v>
      </c>
      <c r="FQ196" s="14" t="str">
        <f t="shared" si="729"/>
        <v xml:space="preserve"> </v>
      </c>
      <c r="FR196" s="14" t="str">
        <f t="shared" si="730"/>
        <v xml:space="preserve"> </v>
      </c>
      <c r="FS196" s="14" t="str">
        <f t="shared" si="731"/>
        <v xml:space="preserve"> </v>
      </c>
      <c r="FT196" s="14" t="str">
        <f t="shared" si="732"/>
        <v xml:space="preserve"> </v>
      </c>
      <c r="FU196" s="27" t="str">
        <f t="shared" si="813"/>
        <v xml:space="preserve"> </v>
      </c>
      <c r="FV196" s="14" t="str">
        <f t="shared" si="733"/>
        <v xml:space="preserve"> </v>
      </c>
      <c r="FW196" s="14" t="str">
        <f t="shared" si="734"/>
        <v xml:space="preserve"> </v>
      </c>
      <c r="FX196" s="14" t="str">
        <f t="shared" si="735"/>
        <v xml:space="preserve"> </v>
      </c>
      <c r="FY196" s="14" t="str">
        <f t="shared" si="736"/>
        <v xml:space="preserve"> </v>
      </c>
      <c r="FZ196" s="14" t="str">
        <f t="shared" si="737"/>
        <v xml:space="preserve"> </v>
      </c>
      <c r="GA196" s="27" t="str">
        <f t="shared" si="813"/>
        <v xml:space="preserve"> </v>
      </c>
      <c r="GB196" s="14" t="str">
        <f t="shared" si="738"/>
        <v xml:space="preserve"> </v>
      </c>
      <c r="GC196" s="14" t="str">
        <f t="shared" si="739"/>
        <v xml:space="preserve"> </v>
      </c>
      <c r="GD196" s="14" t="str">
        <f t="shared" si="740"/>
        <v xml:space="preserve"> </v>
      </c>
      <c r="GE196" s="14" t="str">
        <f t="shared" si="741"/>
        <v xml:space="preserve"> </v>
      </c>
      <c r="GF196" s="14" t="str">
        <f t="shared" si="742"/>
        <v xml:space="preserve"> </v>
      </c>
      <c r="GG196" s="27" t="str">
        <f t="shared" si="813"/>
        <v xml:space="preserve"> </v>
      </c>
      <c r="GH196" s="14" t="str">
        <f t="shared" si="743"/>
        <v xml:space="preserve"> </v>
      </c>
      <c r="GI196" s="14" t="str">
        <f t="shared" si="744"/>
        <v xml:space="preserve"> </v>
      </c>
      <c r="GJ196" s="14" t="str">
        <f t="shared" si="745"/>
        <v xml:space="preserve"> </v>
      </c>
      <c r="GK196" s="14" t="str">
        <f t="shared" si="746"/>
        <v xml:space="preserve"> </v>
      </c>
      <c r="GL196" s="14" t="str">
        <f t="shared" si="747"/>
        <v xml:space="preserve"> </v>
      </c>
      <c r="GM196" s="27" t="str">
        <f t="shared" si="813"/>
        <v xml:space="preserve"> </v>
      </c>
      <c r="GN196" s="14" t="str">
        <f t="shared" si="748"/>
        <v xml:space="preserve"> </v>
      </c>
      <c r="GO196" s="14" t="str">
        <f t="shared" si="749"/>
        <v xml:space="preserve"> </v>
      </c>
      <c r="GP196" s="14" t="str">
        <f t="shared" si="750"/>
        <v xml:space="preserve"> </v>
      </c>
      <c r="GQ196" s="14" t="str">
        <f t="shared" si="751"/>
        <v xml:space="preserve"> </v>
      </c>
      <c r="GR196" s="14" t="str">
        <f t="shared" si="752"/>
        <v xml:space="preserve"> </v>
      </c>
      <c r="GS196" s="27" t="str">
        <f t="shared" si="813"/>
        <v xml:space="preserve"> </v>
      </c>
      <c r="GT196" s="14" t="str">
        <f t="shared" si="753"/>
        <v xml:space="preserve"> </v>
      </c>
      <c r="GU196" s="14" t="str">
        <f t="shared" si="754"/>
        <v xml:space="preserve"> </v>
      </c>
      <c r="GV196" s="14" t="str">
        <f t="shared" si="755"/>
        <v xml:space="preserve"> </v>
      </c>
      <c r="GW196" s="14" t="str">
        <f t="shared" si="756"/>
        <v xml:space="preserve"> </v>
      </c>
      <c r="GX196" s="14" t="str">
        <f t="shared" si="757"/>
        <v xml:space="preserve"> </v>
      </c>
      <c r="GY196" s="27" t="str">
        <f t="shared" si="813"/>
        <v xml:space="preserve"> </v>
      </c>
      <c r="GZ196" s="14" t="str">
        <f t="shared" si="758"/>
        <v xml:space="preserve"> </v>
      </c>
      <c r="HA196" s="14" t="str">
        <f t="shared" si="759"/>
        <v xml:space="preserve"> </v>
      </c>
      <c r="HB196" s="14" t="str">
        <f t="shared" si="760"/>
        <v xml:space="preserve"> </v>
      </c>
      <c r="HC196" s="14" t="str">
        <f t="shared" si="761"/>
        <v xml:space="preserve"> </v>
      </c>
      <c r="HD196" s="14" t="str">
        <f t="shared" si="762"/>
        <v xml:space="preserve"> </v>
      </c>
      <c r="HE196" s="27" t="str">
        <f t="shared" si="814"/>
        <v xml:space="preserve"> </v>
      </c>
      <c r="HF196" s="14" t="str">
        <f t="shared" si="764"/>
        <v xml:space="preserve"> </v>
      </c>
      <c r="HG196" s="14" t="str">
        <f t="shared" si="765"/>
        <v xml:space="preserve"> </v>
      </c>
      <c r="HH196" s="14" t="str">
        <f t="shared" si="766"/>
        <v xml:space="preserve"> </v>
      </c>
      <c r="HI196" s="14" t="str">
        <f t="shared" si="767"/>
        <v xml:space="preserve"> </v>
      </c>
      <c r="HJ196" s="14" t="str">
        <f t="shared" si="768"/>
        <v xml:space="preserve"> </v>
      </c>
      <c r="HK196" s="27" t="str">
        <f t="shared" si="814"/>
        <v xml:space="preserve"> </v>
      </c>
      <c r="HL196" s="14" t="str">
        <f t="shared" si="769"/>
        <v xml:space="preserve"> </v>
      </c>
      <c r="HM196" s="14" t="str">
        <f t="shared" si="770"/>
        <v xml:space="preserve"> </v>
      </c>
      <c r="HN196" s="14" t="str">
        <f t="shared" si="771"/>
        <v xml:space="preserve"> </v>
      </c>
      <c r="HO196" s="14" t="str">
        <f t="shared" si="772"/>
        <v xml:space="preserve"> </v>
      </c>
      <c r="HP196" s="14" t="str">
        <f t="shared" si="773"/>
        <v xml:space="preserve"> </v>
      </c>
      <c r="HQ196" s="27" t="str">
        <f t="shared" si="814"/>
        <v xml:space="preserve"> </v>
      </c>
    </row>
    <row r="197" spans="1:225" ht="15.75" customHeight="1">
      <c r="A197" s="7">
        <f t="shared" ref="A197:C197" si="821">A89</f>
        <v>0</v>
      </c>
      <c r="B197" s="7" t="str">
        <f t="shared" si="821"/>
        <v>achievements:soc</v>
      </c>
      <c r="C197" s="7" t="str">
        <f t="shared" si="821"/>
        <v>social project</v>
      </c>
      <c r="D197" s="14" t="str">
        <f t="shared" si="775"/>
        <v xml:space="preserve"> </v>
      </c>
      <c r="E197" s="14" t="str">
        <f t="shared" si="776"/>
        <v xml:space="preserve"> </v>
      </c>
      <c r="F197" s="14" t="str">
        <f t="shared" si="777"/>
        <v xml:space="preserve"> </v>
      </c>
      <c r="G197" s="14" t="str">
        <f t="shared" si="778"/>
        <v xml:space="preserve"> </v>
      </c>
      <c r="H197" s="14" t="str">
        <f t="shared" si="779"/>
        <v xml:space="preserve"> </v>
      </c>
      <c r="I197" s="27" t="str">
        <f t="shared" ref="I197" si="822">IF(I89="",I198,$C197&amp;"("&amp;I89&amp;"),"&amp;I198)</f>
        <v xml:space="preserve"> </v>
      </c>
      <c r="J197" s="14" t="str">
        <f t="shared" si="590"/>
        <v xml:space="preserve"> </v>
      </c>
      <c r="K197" s="14" t="str">
        <f t="shared" si="591"/>
        <v xml:space="preserve"> </v>
      </c>
      <c r="L197" s="14" t="str">
        <f t="shared" si="592"/>
        <v xml:space="preserve"> </v>
      </c>
      <c r="M197" s="14" t="str">
        <f t="shared" si="593"/>
        <v xml:space="preserve"> </v>
      </c>
      <c r="N197" s="14" t="str">
        <f t="shared" si="594"/>
        <v xml:space="preserve"> </v>
      </c>
      <c r="O197" s="27" t="str">
        <f t="shared" si="811"/>
        <v xml:space="preserve"> </v>
      </c>
      <c r="P197" s="14" t="str">
        <f t="shared" si="596"/>
        <v xml:space="preserve"> </v>
      </c>
      <c r="Q197" s="14" t="str">
        <f t="shared" si="597"/>
        <v xml:space="preserve"> </v>
      </c>
      <c r="R197" s="14" t="str">
        <f t="shared" si="598"/>
        <v xml:space="preserve"> </v>
      </c>
      <c r="S197" s="14" t="str">
        <f t="shared" si="599"/>
        <v xml:space="preserve"> </v>
      </c>
      <c r="T197" s="14" t="str">
        <f t="shared" si="600"/>
        <v xml:space="preserve"> </v>
      </c>
      <c r="U197" s="27" t="str">
        <f t="shared" si="811"/>
        <v xml:space="preserve"> </v>
      </c>
      <c r="V197" s="14" t="str">
        <f t="shared" si="601"/>
        <v xml:space="preserve"> </v>
      </c>
      <c r="W197" s="14" t="str">
        <f t="shared" si="602"/>
        <v xml:space="preserve"> </v>
      </c>
      <c r="X197" s="14" t="str">
        <f t="shared" si="603"/>
        <v xml:space="preserve"> </v>
      </c>
      <c r="Y197" s="14" t="str">
        <f t="shared" si="604"/>
        <v xml:space="preserve"> </v>
      </c>
      <c r="Z197" s="14" t="str">
        <f t="shared" si="605"/>
        <v xml:space="preserve"> </v>
      </c>
      <c r="AA197" s="27" t="str">
        <f t="shared" si="811"/>
        <v xml:space="preserve"> </v>
      </c>
      <c r="AB197" s="14" t="str">
        <f t="shared" si="606"/>
        <v xml:space="preserve"> </v>
      </c>
      <c r="AC197" s="14" t="str">
        <f t="shared" si="607"/>
        <v xml:space="preserve"> </v>
      </c>
      <c r="AD197" s="14" t="str">
        <f t="shared" si="608"/>
        <v xml:space="preserve"> </v>
      </c>
      <c r="AE197" s="14" t="str">
        <f t="shared" si="609"/>
        <v xml:space="preserve"> </v>
      </c>
      <c r="AF197" s="14" t="str">
        <f t="shared" si="610"/>
        <v xml:space="preserve"> </v>
      </c>
      <c r="AG197" s="27" t="str">
        <f t="shared" si="811"/>
        <v xml:space="preserve"> </v>
      </c>
      <c r="AH197" s="14" t="str">
        <f t="shared" si="611"/>
        <v xml:space="preserve"> </v>
      </c>
      <c r="AI197" s="14" t="str">
        <f t="shared" si="612"/>
        <v xml:space="preserve"> </v>
      </c>
      <c r="AJ197" s="14" t="str">
        <f t="shared" si="613"/>
        <v xml:space="preserve"> </v>
      </c>
      <c r="AK197" s="14" t="str">
        <f t="shared" si="614"/>
        <v xml:space="preserve"> </v>
      </c>
      <c r="AL197" s="14" t="str">
        <f t="shared" si="615"/>
        <v xml:space="preserve"> </v>
      </c>
      <c r="AM197" s="27" t="str">
        <f t="shared" si="811"/>
        <v xml:space="preserve"> </v>
      </c>
      <c r="AN197" s="14" t="str">
        <f t="shared" si="616"/>
        <v xml:space="preserve"> </v>
      </c>
      <c r="AO197" s="14" t="str">
        <f t="shared" si="617"/>
        <v xml:space="preserve"> </v>
      </c>
      <c r="AP197" s="14" t="str">
        <f t="shared" si="618"/>
        <v xml:space="preserve"> </v>
      </c>
      <c r="AQ197" s="14" t="str">
        <f t="shared" si="619"/>
        <v xml:space="preserve"> </v>
      </c>
      <c r="AR197" s="14" t="str">
        <f t="shared" si="620"/>
        <v xml:space="preserve"> </v>
      </c>
      <c r="AS197" s="27" t="str">
        <f t="shared" si="811"/>
        <v xml:space="preserve"> </v>
      </c>
      <c r="AT197" s="14" t="str">
        <f t="shared" si="621"/>
        <v xml:space="preserve"> </v>
      </c>
      <c r="AU197" s="14" t="str">
        <f t="shared" si="622"/>
        <v xml:space="preserve"> </v>
      </c>
      <c r="AV197" s="14" t="str">
        <f t="shared" si="623"/>
        <v xml:space="preserve"> </v>
      </c>
      <c r="AW197" s="14" t="str">
        <f t="shared" si="624"/>
        <v xml:space="preserve"> </v>
      </c>
      <c r="AX197" s="14" t="str">
        <f t="shared" si="625"/>
        <v xml:space="preserve"> </v>
      </c>
      <c r="AY197" s="27" t="str">
        <f t="shared" si="811"/>
        <v xml:space="preserve"> </v>
      </c>
      <c r="AZ197" s="14" t="str">
        <f t="shared" si="626"/>
        <v xml:space="preserve"> </v>
      </c>
      <c r="BA197" s="14" t="str">
        <f t="shared" si="627"/>
        <v xml:space="preserve"> </v>
      </c>
      <c r="BB197" s="14" t="str">
        <f t="shared" si="628"/>
        <v xml:space="preserve"> </v>
      </c>
      <c r="BC197" s="14" t="str">
        <f t="shared" si="629"/>
        <v xml:space="preserve"> </v>
      </c>
      <c r="BD197" s="14" t="str">
        <f t="shared" si="630"/>
        <v xml:space="preserve"> </v>
      </c>
      <c r="BE197" s="27" t="str">
        <f t="shared" si="811"/>
        <v xml:space="preserve"> </v>
      </c>
      <c r="BF197" s="14" t="str">
        <f t="shared" si="631"/>
        <v xml:space="preserve"> </v>
      </c>
      <c r="BG197" s="14" t="str">
        <f t="shared" si="632"/>
        <v xml:space="preserve"> </v>
      </c>
      <c r="BH197" s="14" t="str">
        <f t="shared" si="633"/>
        <v xml:space="preserve"> </v>
      </c>
      <c r="BI197" s="14" t="str">
        <f t="shared" si="634"/>
        <v xml:space="preserve"> </v>
      </c>
      <c r="BJ197" s="14" t="str">
        <f t="shared" si="635"/>
        <v xml:space="preserve"> </v>
      </c>
      <c r="BK197" s="27" t="str">
        <f t="shared" si="811"/>
        <v xml:space="preserve"> </v>
      </c>
      <c r="BL197" s="14" t="str">
        <f t="shared" si="636"/>
        <v xml:space="preserve"> </v>
      </c>
      <c r="BM197" s="14" t="str">
        <f t="shared" si="637"/>
        <v xml:space="preserve">biz enhancement(1,%),  </v>
      </c>
      <c r="BN197" s="14" t="str">
        <f t="shared" si="638"/>
        <v xml:space="preserve"> </v>
      </c>
      <c r="BO197" s="14" t="str">
        <f t="shared" si="639"/>
        <v xml:space="preserve"> </v>
      </c>
      <c r="BP197" s="14" t="str">
        <f t="shared" si="640"/>
        <v xml:space="preserve"> </v>
      </c>
      <c r="BQ197" s="27" t="str">
        <f t="shared" si="811"/>
        <v xml:space="preserve"> </v>
      </c>
      <c r="BR197" s="14" t="str">
        <f t="shared" si="641"/>
        <v xml:space="preserve"> </v>
      </c>
      <c r="BS197" s="14" t="str">
        <f t="shared" si="642"/>
        <v xml:space="preserve">biz project(1,%),  </v>
      </c>
      <c r="BT197" s="14" t="str">
        <f t="shared" si="643"/>
        <v xml:space="preserve"> </v>
      </c>
      <c r="BU197" s="14" t="str">
        <f t="shared" si="644"/>
        <v xml:space="preserve"> </v>
      </c>
      <c r="BV197" s="14" t="str">
        <f t="shared" si="645"/>
        <v xml:space="preserve"> </v>
      </c>
      <c r="BW197" s="27" t="str">
        <f t="shared" si="811"/>
        <v xml:space="preserve"> </v>
      </c>
      <c r="BX197" s="14" t="str">
        <f t="shared" si="646"/>
        <v xml:space="preserve"> </v>
      </c>
      <c r="BY197" s="14" t="str">
        <f t="shared" si="647"/>
        <v xml:space="preserve">biz project(1,%),  </v>
      </c>
      <c r="BZ197" s="14" t="str">
        <f t="shared" si="648"/>
        <v xml:space="preserve"> </v>
      </c>
      <c r="CA197" s="14" t="str">
        <f t="shared" si="649"/>
        <v xml:space="preserve"> </v>
      </c>
      <c r="CB197" s="14" t="str">
        <f t="shared" si="650"/>
        <v xml:space="preserve"> </v>
      </c>
      <c r="CC197" s="27" t="str">
        <f t="shared" si="812"/>
        <v xml:space="preserve"> </v>
      </c>
      <c r="CD197" s="14" t="str">
        <f t="shared" si="652"/>
        <v xml:space="preserve"> </v>
      </c>
      <c r="CE197" s="14" t="str">
        <f t="shared" si="653"/>
        <v xml:space="preserve">biz project(1,%),  </v>
      </c>
      <c r="CF197" s="14" t="str">
        <f t="shared" si="654"/>
        <v xml:space="preserve"> </v>
      </c>
      <c r="CG197" s="14" t="str">
        <f t="shared" si="655"/>
        <v xml:space="preserve"> </v>
      </c>
      <c r="CH197" s="14" t="str">
        <f t="shared" si="656"/>
        <v xml:space="preserve"> </v>
      </c>
      <c r="CI197" s="27" t="str">
        <f t="shared" si="812"/>
        <v xml:space="preserve"> </v>
      </c>
      <c r="CJ197" s="14" t="str">
        <f t="shared" si="657"/>
        <v xml:space="preserve"> </v>
      </c>
      <c r="CK197" s="14" t="str">
        <f t="shared" si="658"/>
        <v xml:space="preserve">biz project(1,%),  </v>
      </c>
      <c r="CL197" s="14" t="str">
        <f t="shared" si="659"/>
        <v xml:space="preserve"> </v>
      </c>
      <c r="CM197" s="14" t="str">
        <f t="shared" si="660"/>
        <v xml:space="preserve"> </v>
      </c>
      <c r="CN197" s="14" t="str">
        <f t="shared" si="661"/>
        <v xml:space="preserve"> </v>
      </c>
      <c r="CO197" s="27" t="str">
        <f t="shared" si="812"/>
        <v xml:space="preserve"> </v>
      </c>
      <c r="CP197" s="14" t="str">
        <f t="shared" si="662"/>
        <v xml:space="preserve"> </v>
      </c>
      <c r="CQ197" s="14" t="str">
        <f t="shared" si="663"/>
        <v xml:space="preserve">biz enhancement(1,50%),  </v>
      </c>
      <c r="CR197" s="14" t="str">
        <f t="shared" si="664"/>
        <v xml:space="preserve">biz enhancement(50)
 </v>
      </c>
      <c r="CS197" s="14" t="str">
        <f t="shared" si="665"/>
        <v xml:space="preserve"> </v>
      </c>
      <c r="CT197" s="14" t="str">
        <f t="shared" si="666"/>
        <v xml:space="preserve"> </v>
      </c>
      <c r="CU197" s="27" t="str">
        <f t="shared" si="812"/>
        <v xml:space="preserve"> </v>
      </c>
      <c r="CV197" s="14" t="str">
        <f t="shared" si="667"/>
        <v xml:space="preserve"> </v>
      </c>
      <c r="CW197" s="14" t="str">
        <f t="shared" si="668"/>
        <v xml:space="preserve">social project(1,50%),  </v>
      </c>
      <c r="CX197" s="14" t="str">
        <f t="shared" si="669"/>
        <v xml:space="preserve">social project(50)
 </v>
      </c>
      <c r="CY197" s="14" t="str">
        <f t="shared" si="670"/>
        <v xml:space="preserve"> </v>
      </c>
      <c r="CZ197" s="14" t="str">
        <f t="shared" si="671"/>
        <v xml:space="preserve"> </v>
      </c>
      <c r="DA197" s="27" t="str">
        <f t="shared" si="812"/>
        <v xml:space="preserve"> </v>
      </c>
      <c r="DB197" s="14" t="str">
        <f t="shared" si="672"/>
        <v xml:space="preserve"> </v>
      </c>
      <c r="DC197" s="14" t="str">
        <f t="shared" si="673"/>
        <v xml:space="preserve">social project(1,50%),  </v>
      </c>
      <c r="DD197" s="14" t="str">
        <f t="shared" si="674"/>
        <v xml:space="preserve">social project(50)
 </v>
      </c>
      <c r="DE197" s="14" t="str">
        <f t="shared" si="675"/>
        <v xml:space="preserve"> </v>
      </c>
      <c r="DF197" s="14" t="str">
        <f t="shared" si="676"/>
        <v xml:space="preserve"> </v>
      </c>
      <c r="DG197" s="27" t="str">
        <f t="shared" si="812"/>
        <v xml:space="preserve"> </v>
      </c>
      <c r="DH197" s="14" t="str">
        <f t="shared" si="677"/>
        <v xml:space="preserve"> </v>
      </c>
      <c r="DI197" s="14" t="str">
        <f t="shared" si="678"/>
        <v xml:space="preserve">social project(1,100%),  </v>
      </c>
      <c r="DJ197" s="14" t="str">
        <f t="shared" si="679"/>
        <v xml:space="preserve">social project(100)
 </v>
      </c>
      <c r="DK197" s="14" t="str">
        <f t="shared" si="680"/>
        <v xml:space="preserve"> </v>
      </c>
      <c r="DL197" s="14" t="str">
        <f t="shared" si="681"/>
        <v xml:space="preserve"> </v>
      </c>
      <c r="DM197" s="27" t="str">
        <f t="shared" si="812"/>
        <v xml:space="preserve"> </v>
      </c>
      <c r="DN197" s="14" t="str">
        <f t="shared" si="682"/>
        <v xml:space="preserve">biz project(1)
 </v>
      </c>
      <c r="DO197" s="14" t="str">
        <f t="shared" si="683"/>
        <v xml:space="preserve"> </v>
      </c>
      <c r="DP197" s="14" t="str">
        <f t="shared" si="684"/>
        <v xml:space="preserve"> </v>
      </c>
      <c r="DQ197" s="14" t="str">
        <f t="shared" si="685"/>
        <v xml:space="preserve"> </v>
      </c>
      <c r="DR197" s="14" t="str">
        <f t="shared" si="686"/>
        <v xml:space="preserve"> </v>
      </c>
      <c r="DS197" s="27" t="str">
        <f t="shared" si="812"/>
        <v xml:space="preserve"> </v>
      </c>
      <c r="DT197" s="14" t="str">
        <f t="shared" si="687"/>
        <v xml:space="preserve"> </v>
      </c>
      <c r="DU197" s="14" t="str">
        <f t="shared" si="688"/>
        <v xml:space="preserve"> </v>
      </c>
      <c r="DV197" s="14" t="str">
        <f t="shared" si="689"/>
        <v xml:space="preserve"> </v>
      </c>
      <c r="DW197" s="14" t="str">
        <f t="shared" si="690"/>
        <v xml:space="preserve"> </v>
      </c>
      <c r="DX197" s="14" t="str">
        <f t="shared" si="691"/>
        <v xml:space="preserve"> </v>
      </c>
      <c r="DY197" s="27" t="str">
        <f t="shared" si="812"/>
        <v xml:space="preserve"> </v>
      </c>
      <c r="DZ197" s="14" t="str">
        <f t="shared" si="692"/>
        <v xml:space="preserve"> </v>
      </c>
      <c r="EA197" s="14" t="str">
        <f t="shared" si="693"/>
        <v xml:space="preserve"> </v>
      </c>
      <c r="EB197" s="14" t="str">
        <f t="shared" si="694"/>
        <v xml:space="preserve"> </v>
      </c>
      <c r="EC197" s="14" t="str">
        <f t="shared" si="695"/>
        <v xml:space="preserve"> </v>
      </c>
      <c r="ED197" s="14" t="str">
        <f t="shared" si="696"/>
        <v xml:space="preserve"> </v>
      </c>
      <c r="EE197" s="27" t="str">
        <f t="shared" si="812"/>
        <v xml:space="preserve"> </v>
      </c>
      <c r="EF197" s="14" t="str">
        <f t="shared" si="697"/>
        <v xml:space="preserve"> </v>
      </c>
      <c r="EG197" s="14" t="str">
        <f t="shared" si="698"/>
        <v xml:space="preserve"> </v>
      </c>
      <c r="EH197" s="14" t="str">
        <f t="shared" si="699"/>
        <v xml:space="preserve"> </v>
      </c>
      <c r="EI197" s="14" t="str">
        <f t="shared" si="700"/>
        <v xml:space="preserve"> </v>
      </c>
      <c r="EJ197" s="14" t="str">
        <f t="shared" si="701"/>
        <v xml:space="preserve"> </v>
      </c>
      <c r="EK197" s="27" t="str">
        <f t="shared" si="812"/>
        <v xml:space="preserve"> </v>
      </c>
      <c r="EL197" s="14" t="str">
        <f t="shared" si="702"/>
        <v xml:space="preserve"> </v>
      </c>
      <c r="EM197" s="14" t="str">
        <f t="shared" si="703"/>
        <v xml:space="preserve"> </v>
      </c>
      <c r="EN197" s="14" t="str">
        <f t="shared" si="704"/>
        <v xml:space="preserve"> </v>
      </c>
      <c r="EO197" s="14" t="str">
        <f t="shared" si="705"/>
        <v xml:space="preserve"> </v>
      </c>
      <c r="EP197" s="14" t="str">
        <f t="shared" si="706"/>
        <v xml:space="preserve"> </v>
      </c>
      <c r="EQ197" s="27" t="str">
        <f t="shared" si="813"/>
        <v xml:space="preserve"> </v>
      </c>
      <c r="ER197" s="14" t="str">
        <f t="shared" si="708"/>
        <v xml:space="preserve"> </v>
      </c>
      <c r="ES197" s="14" t="str">
        <f t="shared" si="709"/>
        <v xml:space="preserve"> </v>
      </c>
      <c r="ET197" s="14" t="str">
        <f t="shared" si="710"/>
        <v xml:space="preserve"> </v>
      </c>
      <c r="EU197" s="14" t="str">
        <f t="shared" si="711"/>
        <v xml:space="preserve"> </v>
      </c>
      <c r="EV197" s="14" t="str">
        <f t="shared" si="712"/>
        <v xml:space="preserve"> </v>
      </c>
      <c r="EW197" s="27" t="str">
        <f t="shared" si="813"/>
        <v xml:space="preserve"> </v>
      </c>
      <c r="EX197" s="14" t="str">
        <f t="shared" si="713"/>
        <v xml:space="preserve"> </v>
      </c>
      <c r="EY197" s="14" t="str">
        <f t="shared" si="714"/>
        <v xml:space="preserve"> </v>
      </c>
      <c r="EZ197" s="14" t="str">
        <f t="shared" si="715"/>
        <v xml:space="preserve"> </v>
      </c>
      <c r="FA197" s="14" t="str">
        <f t="shared" si="716"/>
        <v xml:space="preserve"> </v>
      </c>
      <c r="FB197" s="14" t="str">
        <f t="shared" si="717"/>
        <v xml:space="preserve"> </v>
      </c>
      <c r="FC197" s="27" t="str">
        <f t="shared" si="813"/>
        <v xml:space="preserve"> </v>
      </c>
      <c r="FD197" s="14" t="str">
        <f t="shared" si="718"/>
        <v xml:space="preserve"> </v>
      </c>
      <c r="FE197" s="14" t="str">
        <f t="shared" si="719"/>
        <v xml:space="preserve"> </v>
      </c>
      <c r="FF197" s="14" t="str">
        <f t="shared" si="720"/>
        <v xml:space="preserve"> </v>
      </c>
      <c r="FG197" s="14" t="str">
        <f t="shared" si="721"/>
        <v xml:space="preserve"> </v>
      </c>
      <c r="FH197" s="14" t="str">
        <f t="shared" si="722"/>
        <v xml:space="preserve"> </v>
      </c>
      <c r="FI197" s="27" t="str">
        <f t="shared" si="813"/>
        <v xml:space="preserve"> </v>
      </c>
      <c r="FJ197" s="14" t="str">
        <f t="shared" si="723"/>
        <v xml:space="preserve"> </v>
      </c>
      <c r="FK197" s="14" t="str">
        <f t="shared" si="724"/>
        <v xml:space="preserve"> </v>
      </c>
      <c r="FL197" s="14" t="str">
        <f t="shared" si="725"/>
        <v xml:space="preserve"> </v>
      </c>
      <c r="FM197" s="14" t="str">
        <f t="shared" si="726"/>
        <v xml:space="preserve"> </v>
      </c>
      <c r="FN197" s="14" t="str">
        <f t="shared" si="727"/>
        <v xml:space="preserve"> </v>
      </c>
      <c r="FO197" s="27" t="str">
        <f t="shared" si="813"/>
        <v xml:space="preserve"> </v>
      </c>
      <c r="FP197" s="14" t="str">
        <f t="shared" si="728"/>
        <v xml:space="preserve"> </v>
      </c>
      <c r="FQ197" s="14" t="str">
        <f t="shared" si="729"/>
        <v xml:space="preserve"> </v>
      </c>
      <c r="FR197" s="14" t="str">
        <f t="shared" si="730"/>
        <v xml:space="preserve"> </v>
      </c>
      <c r="FS197" s="14" t="str">
        <f t="shared" si="731"/>
        <v xml:space="preserve"> </v>
      </c>
      <c r="FT197" s="14" t="str">
        <f t="shared" si="732"/>
        <v xml:space="preserve"> </v>
      </c>
      <c r="FU197" s="27" t="str">
        <f t="shared" si="813"/>
        <v xml:space="preserve"> </v>
      </c>
      <c r="FV197" s="14" t="str">
        <f t="shared" si="733"/>
        <v xml:space="preserve"> </v>
      </c>
      <c r="FW197" s="14" t="str">
        <f t="shared" si="734"/>
        <v xml:space="preserve"> </v>
      </c>
      <c r="FX197" s="14" t="str">
        <f t="shared" si="735"/>
        <v xml:space="preserve"> </v>
      </c>
      <c r="FY197" s="14" t="str">
        <f t="shared" si="736"/>
        <v xml:space="preserve"> </v>
      </c>
      <c r="FZ197" s="14" t="str">
        <f t="shared" si="737"/>
        <v xml:space="preserve"> </v>
      </c>
      <c r="GA197" s="27" t="str">
        <f t="shared" si="813"/>
        <v xml:space="preserve"> </v>
      </c>
      <c r="GB197" s="14" t="str">
        <f t="shared" si="738"/>
        <v xml:space="preserve"> </v>
      </c>
      <c r="GC197" s="14" t="str">
        <f t="shared" si="739"/>
        <v xml:space="preserve"> </v>
      </c>
      <c r="GD197" s="14" t="str">
        <f t="shared" si="740"/>
        <v xml:space="preserve"> </v>
      </c>
      <c r="GE197" s="14" t="str">
        <f t="shared" si="741"/>
        <v xml:space="preserve"> </v>
      </c>
      <c r="GF197" s="14" t="str">
        <f t="shared" si="742"/>
        <v xml:space="preserve"> </v>
      </c>
      <c r="GG197" s="27" t="str">
        <f t="shared" si="813"/>
        <v xml:space="preserve"> </v>
      </c>
      <c r="GH197" s="14" t="str">
        <f t="shared" si="743"/>
        <v xml:space="preserve"> </v>
      </c>
      <c r="GI197" s="14" t="str">
        <f t="shared" si="744"/>
        <v xml:space="preserve"> </v>
      </c>
      <c r="GJ197" s="14" t="str">
        <f t="shared" si="745"/>
        <v xml:space="preserve"> </v>
      </c>
      <c r="GK197" s="14" t="str">
        <f t="shared" si="746"/>
        <v xml:space="preserve"> </v>
      </c>
      <c r="GL197" s="14" t="str">
        <f t="shared" si="747"/>
        <v xml:space="preserve"> </v>
      </c>
      <c r="GM197" s="27" t="str">
        <f t="shared" si="813"/>
        <v xml:space="preserve"> </v>
      </c>
      <c r="GN197" s="14" t="str">
        <f t="shared" si="748"/>
        <v xml:space="preserve"> </v>
      </c>
      <c r="GO197" s="14" t="str">
        <f t="shared" si="749"/>
        <v xml:space="preserve"> </v>
      </c>
      <c r="GP197" s="14" t="str">
        <f t="shared" si="750"/>
        <v xml:space="preserve"> </v>
      </c>
      <c r="GQ197" s="14" t="str">
        <f t="shared" si="751"/>
        <v xml:space="preserve"> </v>
      </c>
      <c r="GR197" s="14" t="str">
        <f t="shared" si="752"/>
        <v xml:space="preserve"> </v>
      </c>
      <c r="GS197" s="27" t="str">
        <f t="shared" si="813"/>
        <v xml:space="preserve"> </v>
      </c>
      <c r="GT197" s="14" t="str">
        <f t="shared" si="753"/>
        <v xml:space="preserve"> </v>
      </c>
      <c r="GU197" s="14" t="str">
        <f t="shared" si="754"/>
        <v xml:space="preserve"> </v>
      </c>
      <c r="GV197" s="14" t="str">
        <f t="shared" si="755"/>
        <v xml:space="preserve"> </v>
      </c>
      <c r="GW197" s="14" t="str">
        <f t="shared" si="756"/>
        <v xml:space="preserve"> </v>
      </c>
      <c r="GX197" s="14" t="str">
        <f t="shared" si="757"/>
        <v xml:space="preserve"> </v>
      </c>
      <c r="GY197" s="27" t="str">
        <f t="shared" si="813"/>
        <v xml:space="preserve"> </v>
      </c>
      <c r="GZ197" s="14" t="str">
        <f t="shared" si="758"/>
        <v xml:space="preserve"> </v>
      </c>
      <c r="HA197" s="14" t="str">
        <f t="shared" si="759"/>
        <v xml:space="preserve"> </v>
      </c>
      <c r="HB197" s="14" t="str">
        <f t="shared" si="760"/>
        <v xml:space="preserve"> </v>
      </c>
      <c r="HC197" s="14" t="str">
        <f t="shared" si="761"/>
        <v xml:space="preserve"> </v>
      </c>
      <c r="HD197" s="14" t="str">
        <f t="shared" si="762"/>
        <v xml:space="preserve"> </v>
      </c>
      <c r="HE197" s="27" t="str">
        <f t="shared" si="814"/>
        <v xml:space="preserve"> </v>
      </c>
      <c r="HF197" s="14" t="str">
        <f t="shared" si="764"/>
        <v xml:space="preserve"> </v>
      </c>
      <c r="HG197" s="14" t="str">
        <f t="shared" si="765"/>
        <v xml:space="preserve"> </v>
      </c>
      <c r="HH197" s="14" t="str">
        <f t="shared" si="766"/>
        <v xml:space="preserve"> </v>
      </c>
      <c r="HI197" s="14" t="str">
        <f t="shared" si="767"/>
        <v xml:space="preserve"> </v>
      </c>
      <c r="HJ197" s="14" t="str">
        <f t="shared" si="768"/>
        <v xml:space="preserve"> </v>
      </c>
      <c r="HK197" s="27" t="str">
        <f t="shared" si="814"/>
        <v xml:space="preserve"> </v>
      </c>
      <c r="HL197" s="14" t="str">
        <f t="shared" si="769"/>
        <v xml:space="preserve"> </v>
      </c>
      <c r="HM197" s="14" t="str">
        <f t="shared" si="770"/>
        <v xml:space="preserve"> </v>
      </c>
      <c r="HN197" s="14" t="str">
        <f t="shared" si="771"/>
        <v xml:space="preserve"> </v>
      </c>
      <c r="HO197" s="14" t="str">
        <f t="shared" si="772"/>
        <v xml:space="preserve"> </v>
      </c>
      <c r="HP197" s="14" t="str">
        <f t="shared" si="773"/>
        <v xml:space="preserve"> </v>
      </c>
      <c r="HQ197" s="27" t="str">
        <f t="shared" si="814"/>
        <v xml:space="preserve"> </v>
      </c>
    </row>
    <row r="198" spans="1:225" ht="15.75" customHeight="1">
      <c r="A198" s="7">
        <f t="shared" ref="A198:C198" si="823">A90</f>
        <v>0</v>
      </c>
      <c r="B198" s="7">
        <f t="shared" si="823"/>
        <v>0</v>
      </c>
      <c r="C198" s="7" t="str">
        <f t="shared" si="823"/>
        <v>social innovation</v>
      </c>
      <c r="D198" s="14" t="str">
        <f t="shared" si="775"/>
        <v xml:space="preserve"> </v>
      </c>
      <c r="E198" s="14" t="str">
        <f t="shared" si="776"/>
        <v xml:space="preserve"> </v>
      </c>
      <c r="F198" s="14" t="str">
        <f t="shared" si="777"/>
        <v xml:space="preserve"> </v>
      </c>
      <c r="G198" s="14" t="str">
        <f t="shared" si="778"/>
        <v xml:space="preserve"> </v>
      </c>
      <c r="H198" s="14" t="str">
        <f t="shared" si="779"/>
        <v xml:space="preserve"> </v>
      </c>
      <c r="I198" s="27" t="str">
        <f t="shared" ref="I198" si="824">IF(I90="",I199,$C198&amp;"("&amp;I90&amp;"),"&amp;I199)</f>
        <v xml:space="preserve"> </v>
      </c>
      <c r="J198" s="14" t="str">
        <f t="shared" si="590"/>
        <v xml:space="preserve"> </v>
      </c>
      <c r="K198" s="14" t="str">
        <f t="shared" si="591"/>
        <v xml:space="preserve"> </v>
      </c>
      <c r="L198" s="14" t="str">
        <f t="shared" si="592"/>
        <v xml:space="preserve"> </v>
      </c>
      <c r="M198" s="14" t="str">
        <f t="shared" si="593"/>
        <v xml:space="preserve"> </v>
      </c>
      <c r="N198" s="14" t="str">
        <f t="shared" si="594"/>
        <v xml:space="preserve"> </v>
      </c>
      <c r="O198" s="27" t="str">
        <f t="shared" si="811"/>
        <v xml:space="preserve"> </v>
      </c>
      <c r="P198" s="14" t="str">
        <f t="shared" si="596"/>
        <v xml:space="preserve"> </v>
      </c>
      <c r="Q198" s="14" t="str">
        <f t="shared" si="597"/>
        <v xml:space="preserve"> </v>
      </c>
      <c r="R198" s="14" t="str">
        <f t="shared" si="598"/>
        <v xml:space="preserve"> </v>
      </c>
      <c r="S198" s="14" t="str">
        <f t="shared" si="599"/>
        <v xml:space="preserve"> </v>
      </c>
      <c r="T198" s="14" t="str">
        <f t="shared" si="600"/>
        <v xml:space="preserve"> </v>
      </c>
      <c r="U198" s="27" t="str">
        <f t="shared" si="811"/>
        <v xml:space="preserve"> </v>
      </c>
      <c r="V198" s="14" t="str">
        <f t="shared" si="601"/>
        <v xml:space="preserve"> </v>
      </c>
      <c r="W198" s="14" t="str">
        <f t="shared" si="602"/>
        <v xml:space="preserve"> </v>
      </c>
      <c r="X198" s="14" t="str">
        <f t="shared" si="603"/>
        <v xml:space="preserve"> </v>
      </c>
      <c r="Y198" s="14" t="str">
        <f t="shared" si="604"/>
        <v xml:space="preserve"> </v>
      </c>
      <c r="Z198" s="14" t="str">
        <f t="shared" si="605"/>
        <v xml:space="preserve"> </v>
      </c>
      <c r="AA198" s="27" t="str">
        <f t="shared" si="811"/>
        <v xml:space="preserve"> </v>
      </c>
      <c r="AB198" s="14" t="str">
        <f t="shared" si="606"/>
        <v xml:space="preserve"> </v>
      </c>
      <c r="AC198" s="14" t="str">
        <f t="shared" si="607"/>
        <v xml:space="preserve"> </v>
      </c>
      <c r="AD198" s="14" t="str">
        <f t="shared" si="608"/>
        <v xml:space="preserve"> </v>
      </c>
      <c r="AE198" s="14" t="str">
        <f t="shared" si="609"/>
        <v xml:space="preserve"> </v>
      </c>
      <c r="AF198" s="14" t="str">
        <f t="shared" si="610"/>
        <v xml:space="preserve"> </v>
      </c>
      <c r="AG198" s="27" t="str">
        <f t="shared" si="811"/>
        <v xml:space="preserve"> </v>
      </c>
      <c r="AH198" s="14" t="str">
        <f t="shared" si="611"/>
        <v xml:space="preserve"> </v>
      </c>
      <c r="AI198" s="14" t="str">
        <f t="shared" si="612"/>
        <v xml:space="preserve"> </v>
      </c>
      <c r="AJ198" s="14" t="str">
        <f t="shared" si="613"/>
        <v xml:space="preserve"> </v>
      </c>
      <c r="AK198" s="14" t="str">
        <f t="shared" si="614"/>
        <v xml:space="preserve"> </v>
      </c>
      <c r="AL198" s="14" t="str">
        <f t="shared" si="615"/>
        <v xml:space="preserve"> </v>
      </c>
      <c r="AM198" s="27" t="str">
        <f t="shared" si="811"/>
        <v xml:space="preserve"> </v>
      </c>
      <c r="AN198" s="14" t="str">
        <f t="shared" si="616"/>
        <v xml:space="preserve"> </v>
      </c>
      <c r="AO198" s="14" t="str">
        <f t="shared" si="617"/>
        <v xml:space="preserve"> </v>
      </c>
      <c r="AP198" s="14" t="str">
        <f t="shared" si="618"/>
        <v xml:space="preserve"> </v>
      </c>
      <c r="AQ198" s="14" t="str">
        <f t="shared" si="619"/>
        <v xml:space="preserve"> </v>
      </c>
      <c r="AR198" s="14" t="str">
        <f t="shared" si="620"/>
        <v xml:space="preserve"> </v>
      </c>
      <c r="AS198" s="27" t="str">
        <f t="shared" si="811"/>
        <v xml:space="preserve"> </v>
      </c>
      <c r="AT198" s="14" t="str">
        <f t="shared" si="621"/>
        <v xml:space="preserve"> </v>
      </c>
      <c r="AU198" s="14" t="str">
        <f t="shared" si="622"/>
        <v xml:space="preserve"> </v>
      </c>
      <c r="AV198" s="14" t="str">
        <f t="shared" si="623"/>
        <v xml:space="preserve"> </v>
      </c>
      <c r="AW198" s="14" t="str">
        <f t="shared" si="624"/>
        <v xml:space="preserve"> </v>
      </c>
      <c r="AX198" s="14" t="str">
        <f t="shared" si="625"/>
        <v xml:space="preserve"> </v>
      </c>
      <c r="AY198" s="27" t="str">
        <f t="shared" si="811"/>
        <v xml:space="preserve"> </v>
      </c>
      <c r="AZ198" s="14" t="str">
        <f t="shared" si="626"/>
        <v xml:space="preserve"> </v>
      </c>
      <c r="BA198" s="14" t="str">
        <f t="shared" si="627"/>
        <v xml:space="preserve"> </v>
      </c>
      <c r="BB198" s="14" t="str">
        <f t="shared" si="628"/>
        <v xml:space="preserve"> </v>
      </c>
      <c r="BC198" s="14" t="str">
        <f t="shared" si="629"/>
        <v xml:space="preserve"> </v>
      </c>
      <c r="BD198" s="14" t="str">
        <f t="shared" si="630"/>
        <v xml:space="preserve"> </v>
      </c>
      <c r="BE198" s="27" t="str">
        <f t="shared" si="811"/>
        <v xml:space="preserve"> </v>
      </c>
      <c r="BF198" s="14" t="str">
        <f t="shared" si="631"/>
        <v xml:space="preserve"> </v>
      </c>
      <c r="BG198" s="14" t="str">
        <f t="shared" si="632"/>
        <v xml:space="preserve"> </v>
      </c>
      <c r="BH198" s="14" t="str">
        <f t="shared" si="633"/>
        <v xml:space="preserve"> </v>
      </c>
      <c r="BI198" s="14" t="str">
        <f t="shared" si="634"/>
        <v xml:space="preserve"> </v>
      </c>
      <c r="BJ198" s="14" t="str">
        <f t="shared" si="635"/>
        <v xml:space="preserve"> </v>
      </c>
      <c r="BK198" s="27" t="str">
        <f t="shared" si="811"/>
        <v xml:space="preserve"> </v>
      </c>
      <c r="BL198" s="14" t="str">
        <f t="shared" si="636"/>
        <v xml:space="preserve"> </v>
      </c>
      <c r="BM198" s="14" t="str">
        <f t="shared" si="637"/>
        <v xml:space="preserve">biz enhancement(1,%),  </v>
      </c>
      <c r="BN198" s="14" t="str">
        <f t="shared" si="638"/>
        <v xml:space="preserve"> </v>
      </c>
      <c r="BO198" s="14" t="str">
        <f t="shared" si="639"/>
        <v xml:space="preserve"> </v>
      </c>
      <c r="BP198" s="14" t="str">
        <f t="shared" si="640"/>
        <v xml:space="preserve"> </v>
      </c>
      <c r="BQ198" s="27" t="str">
        <f t="shared" si="811"/>
        <v xml:space="preserve"> </v>
      </c>
      <c r="BR198" s="14" t="str">
        <f t="shared" si="641"/>
        <v xml:space="preserve"> </v>
      </c>
      <c r="BS198" s="14" t="str">
        <f t="shared" si="642"/>
        <v xml:space="preserve">biz project(1,%),  </v>
      </c>
      <c r="BT198" s="14" t="str">
        <f t="shared" si="643"/>
        <v xml:space="preserve"> </v>
      </c>
      <c r="BU198" s="14" t="str">
        <f t="shared" si="644"/>
        <v xml:space="preserve"> </v>
      </c>
      <c r="BV198" s="14" t="str">
        <f t="shared" si="645"/>
        <v xml:space="preserve"> </v>
      </c>
      <c r="BW198" s="27" t="str">
        <f t="shared" si="811"/>
        <v xml:space="preserve"> </v>
      </c>
      <c r="BX198" s="14" t="str">
        <f t="shared" si="646"/>
        <v xml:space="preserve"> </v>
      </c>
      <c r="BY198" s="14" t="str">
        <f t="shared" si="647"/>
        <v xml:space="preserve">biz project(1,%),  </v>
      </c>
      <c r="BZ198" s="14" t="str">
        <f t="shared" si="648"/>
        <v xml:space="preserve"> </v>
      </c>
      <c r="CA198" s="14" t="str">
        <f t="shared" si="649"/>
        <v xml:space="preserve"> </v>
      </c>
      <c r="CB198" s="14" t="str">
        <f t="shared" si="650"/>
        <v xml:space="preserve"> </v>
      </c>
      <c r="CC198" s="27" t="str">
        <f t="shared" si="812"/>
        <v xml:space="preserve"> </v>
      </c>
      <c r="CD198" s="14" t="str">
        <f t="shared" si="652"/>
        <v xml:space="preserve"> </v>
      </c>
      <c r="CE198" s="14" t="str">
        <f t="shared" si="653"/>
        <v xml:space="preserve">biz project(1,%),  </v>
      </c>
      <c r="CF198" s="14" t="str">
        <f t="shared" si="654"/>
        <v xml:space="preserve"> </v>
      </c>
      <c r="CG198" s="14" t="str">
        <f t="shared" si="655"/>
        <v xml:space="preserve"> </v>
      </c>
      <c r="CH198" s="14" t="str">
        <f t="shared" si="656"/>
        <v xml:space="preserve"> </v>
      </c>
      <c r="CI198" s="27" t="str">
        <f t="shared" si="812"/>
        <v xml:space="preserve"> </v>
      </c>
      <c r="CJ198" s="14" t="str">
        <f t="shared" si="657"/>
        <v xml:space="preserve"> </v>
      </c>
      <c r="CK198" s="14" t="str">
        <f t="shared" si="658"/>
        <v xml:space="preserve">biz project(1,%),  </v>
      </c>
      <c r="CL198" s="14" t="str">
        <f t="shared" si="659"/>
        <v xml:space="preserve"> </v>
      </c>
      <c r="CM198" s="14" t="str">
        <f t="shared" si="660"/>
        <v xml:space="preserve"> </v>
      </c>
      <c r="CN198" s="14" t="str">
        <f t="shared" si="661"/>
        <v xml:space="preserve"> </v>
      </c>
      <c r="CO198" s="27" t="str">
        <f t="shared" si="812"/>
        <v xml:space="preserve"> </v>
      </c>
      <c r="CP198" s="14" t="str">
        <f t="shared" si="662"/>
        <v xml:space="preserve"> </v>
      </c>
      <c r="CQ198" s="14" t="str">
        <f t="shared" si="663"/>
        <v xml:space="preserve">biz enhancement(1,50%),  </v>
      </c>
      <c r="CR198" s="14" t="str">
        <f t="shared" si="664"/>
        <v xml:space="preserve">biz enhancement(50)
 </v>
      </c>
      <c r="CS198" s="14" t="str">
        <f t="shared" si="665"/>
        <v xml:space="preserve"> </v>
      </c>
      <c r="CT198" s="14" t="str">
        <f t="shared" si="666"/>
        <v xml:space="preserve"> </v>
      </c>
      <c r="CU198" s="27" t="str">
        <f t="shared" si="812"/>
        <v xml:space="preserve"> </v>
      </c>
      <c r="CV198" s="14" t="str">
        <f t="shared" si="667"/>
        <v xml:space="preserve"> </v>
      </c>
      <c r="CW198" s="14" t="str">
        <f t="shared" si="668"/>
        <v xml:space="preserve"> </v>
      </c>
      <c r="CX198" s="14" t="str">
        <f t="shared" si="669"/>
        <v xml:space="preserve"> </v>
      </c>
      <c r="CY198" s="14" t="str">
        <f t="shared" si="670"/>
        <v xml:space="preserve"> </v>
      </c>
      <c r="CZ198" s="14" t="str">
        <f t="shared" si="671"/>
        <v xml:space="preserve"> </v>
      </c>
      <c r="DA198" s="27" t="str">
        <f t="shared" si="812"/>
        <v xml:space="preserve"> </v>
      </c>
      <c r="DB198" s="14" t="str">
        <f t="shared" si="672"/>
        <v xml:space="preserve"> </v>
      </c>
      <c r="DC198" s="14" t="str">
        <f t="shared" si="673"/>
        <v xml:space="preserve"> </v>
      </c>
      <c r="DD198" s="14" t="str">
        <f t="shared" si="674"/>
        <v xml:space="preserve"> </v>
      </c>
      <c r="DE198" s="14" t="str">
        <f t="shared" si="675"/>
        <v xml:space="preserve"> </v>
      </c>
      <c r="DF198" s="14" t="str">
        <f t="shared" si="676"/>
        <v xml:space="preserve"> </v>
      </c>
      <c r="DG198" s="27" t="str">
        <f t="shared" si="812"/>
        <v xml:space="preserve"> </v>
      </c>
      <c r="DH198" s="14" t="str">
        <f t="shared" si="677"/>
        <v xml:space="preserve"> </v>
      </c>
      <c r="DI198" s="14" t="str">
        <f t="shared" si="678"/>
        <v xml:space="preserve"> </v>
      </c>
      <c r="DJ198" s="14" t="str">
        <f t="shared" si="679"/>
        <v xml:space="preserve"> </v>
      </c>
      <c r="DK198" s="14" t="str">
        <f t="shared" si="680"/>
        <v xml:space="preserve"> </v>
      </c>
      <c r="DL198" s="14" t="str">
        <f t="shared" si="681"/>
        <v xml:space="preserve"> </v>
      </c>
      <c r="DM198" s="27" t="str">
        <f t="shared" si="812"/>
        <v xml:space="preserve"> </v>
      </c>
      <c r="DN198" s="14" t="str">
        <f t="shared" si="682"/>
        <v xml:space="preserve">biz project(1)
 </v>
      </c>
      <c r="DO198" s="14" t="str">
        <f t="shared" si="683"/>
        <v xml:space="preserve"> </v>
      </c>
      <c r="DP198" s="14" t="str">
        <f t="shared" si="684"/>
        <v xml:space="preserve"> </v>
      </c>
      <c r="DQ198" s="14" t="str">
        <f t="shared" si="685"/>
        <v xml:space="preserve"> </v>
      </c>
      <c r="DR198" s="14" t="str">
        <f t="shared" si="686"/>
        <v xml:space="preserve"> </v>
      </c>
      <c r="DS198" s="27" t="str">
        <f t="shared" si="812"/>
        <v xml:space="preserve"> </v>
      </c>
      <c r="DT198" s="14" t="str">
        <f t="shared" si="687"/>
        <v xml:space="preserve"> </v>
      </c>
      <c r="DU198" s="14" t="str">
        <f t="shared" si="688"/>
        <v xml:space="preserve"> </v>
      </c>
      <c r="DV198" s="14" t="str">
        <f t="shared" si="689"/>
        <v xml:space="preserve"> </v>
      </c>
      <c r="DW198" s="14" t="str">
        <f t="shared" si="690"/>
        <v xml:space="preserve"> </v>
      </c>
      <c r="DX198" s="14" t="str">
        <f t="shared" si="691"/>
        <v xml:space="preserve"> </v>
      </c>
      <c r="DY198" s="27" t="str">
        <f t="shared" si="812"/>
        <v xml:space="preserve"> </v>
      </c>
      <c r="DZ198" s="14" t="str">
        <f t="shared" si="692"/>
        <v xml:space="preserve"> </v>
      </c>
      <c r="EA198" s="14" t="str">
        <f t="shared" si="693"/>
        <v xml:space="preserve"> </v>
      </c>
      <c r="EB198" s="14" t="str">
        <f t="shared" si="694"/>
        <v xml:space="preserve"> </v>
      </c>
      <c r="EC198" s="14" t="str">
        <f t="shared" si="695"/>
        <v xml:space="preserve"> </v>
      </c>
      <c r="ED198" s="14" t="str">
        <f t="shared" si="696"/>
        <v xml:space="preserve"> </v>
      </c>
      <c r="EE198" s="27" t="str">
        <f t="shared" si="812"/>
        <v xml:space="preserve"> </v>
      </c>
      <c r="EF198" s="14" t="str">
        <f t="shared" si="697"/>
        <v xml:space="preserve"> </v>
      </c>
      <c r="EG198" s="14" t="str">
        <f t="shared" si="698"/>
        <v xml:space="preserve"> </v>
      </c>
      <c r="EH198" s="14" t="str">
        <f t="shared" si="699"/>
        <v xml:space="preserve"> </v>
      </c>
      <c r="EI198" s="14" t="str">
        <f t="shared" si="700"/>
        <v xml:space="preserve"> </v>
      </c>
      <c r="EJ198" s="14" t="str">
        <f t="shared" si="701"/>
        <v xml:space="preserve"> </v>
      </c>
      <c r="EK198" s="27" t="str">
        <f t="shared" si="812"/>
        <v xml:space="preserve"> </v>
      </c>
      <c r="EL198" s="14" t="str">
        <f t="shared" si="702"/>
        <v xml:space="preserve"> </v>
      </c>
      <c r="EM198" s="14" t="str">
        <f t="shared" si="703"/>
        <v xml:space="preserve"> </v>
      </c>
      <c r="EN198" s="14" t="str">
        <f t="shared" si="704"/>
        <v xml:space="preserve"> </v>
      </c>
      <c r="EO198" s="14" t="str">
        <f t="shared" si="705"/>
        <v xml:space="preserve"> </v>
      </c>
      <c r="EP198" s="14" t="str">
        <f t="shared" si="706"/>
        <v xml:space="preserve"> </v>
      </c>
      <c r="EQ198" s="27" t="str">
        <f t="shared" si="813"/>
        <v xml:space="preserve"> </v>
      </c>
      <c r="ER198" s="14" t="str">
        <f t="shared" si="708"/>
        <v xml:space="preserve"> </v>
      </c>
      <c r="ES198" s="14" t="str">
        <f t="shared" si="709"/>
        <v xml:space="preserve"> </v>
      </c>
      <c r="ET198" s="14" t="str">
        <f t="shared" si="710"/>
        <v xml:space="preserve"> </v>
      </c>
      <c r="EU198" s="14" t="str">
        <f t="shared" si="711"/>
        <v xml:space="preserve"> </v>
      </c>
      <c r="EV198" s="14" t="str">
        <f t="shared" si="712"/>
        <v xml:space="preserve"> </v>
      </c>
      <c r="EW198" s="27" t="str">
        <f t="shared" si="813"/>
        <v xml:space="preserve"> </v>
      </c>
      <c r="EX198" s="14" t="str">
        <f t="shared" si="713"/>
        <v xml:space="preserve"> </v>
      </c>
      <c r="EY198" s="14" t="str">
        <f t="shared" si="714"/>
        <v xml:space="preserve"> </v>
      </c>
      <c r="EZ198" s="14" t="str">
        <f t="shared" si="715"/>
        <v xml:space="preserve"> </v>
      </c>
      <c r="FA198" s="14" t="str">
        <f t="shared" si="716"/>
        <v xml:space="preserve"> </v>
      </c>
      <c r="FB198" s="14" t="str">
        <f t="shared" si="717"/>
        <v xml:space="preserve"> </v>
      </c>
      <c r="FC198" s="27" t="str">
        <f t="shared" si="813"/>
        <v xml:space="preserve"> </v>
      </c>
      <c r="FD198" s="14" t="str">
        <f t="shared" si="718"/>
        <v xml:space="preserve"> </v>
      </c>
      <c r="FE198" s="14" t="str">
        <f t="shared" si="719"/>
        <v xml:space="preserve"> </v>
      </c>
      <c r="FF198" s="14" t="str">
        <f t="shared" si="720"/>
        <v xml:space="preserve"> </v>
      </c>
      <c r="FG198" s="14" t="str">
        <f t="shared" si="721"/>
        <v xml:space="preserve"> </v>
      </c>
      <c r="FH198" s="14" t="str">
        <f t="shared" si="722"/>
        <v xml:space="preserve"> </v>
      </c>
      <c r="FI198" s="27" t="str">
        <f t="shared" si="813"/>
        <v xml:space="preserve"> </v>
      </c>
      <c r="FJ198" s="14" t="str">
        <f t="shared" si="723"/>
        <v xml:space="preserve"> </v>
      </c>
      <c r="FK198" s="14" t="str">
        <f t="shared" si="724"/>
        <v xml:space="preserve"> </v>
      </c>
      <c r="FL198" s="14" t="str">
        <f t="shared" si="725"/>
        <v xml:space="preserve"> </v>
      </c>
      <c r="FM198" s="14" t="str">
        <f t="shared" si="726"/>
        <v xml:space="preserve"> </v>
      </c>
      <c r="FN198" s="14" t="str">
        <f t="shared" si="727"/>
        <v xml:space="preserve"> </v>
      </c>
      <c r="FO198" s="27" t="str">
        <f t="shared" si="813"/>
        <v xml:space="preserve"> </v>
      </c>
      <c r="FP198" s="14" t="str">
        <f t="shared" si="728"/>
        <v xml:space="preserve"> </v>
      </c>
      <c r="FQ198" s="14" t="str">
        <f t="shared" si="729"/>
        <v xml:space="preserve"> </v>
      </c>
      <c r="FR198" s="14" t="str">
        <f t="shared" si="730"/>
        <v xml:space="preserve"> </v>
      </c>
      <c r="FS198" s="14" t="str">
        <f t="shared" si="731"/>
        <v xml:space="preserve"> </v>
      </c>
      <c r="FT198" s="14" t="str">
        <f t="shared" si="732"/>
        <v xml:space="preserve"> </v>
      </c>
      <c r="FU198" s="27" t="str">
        <f t="shared" si="813"/>
        <v xml:space="preserve"> </v>
      </c>
      <c r="FV198" s="14" t="str">
        <f t="shared" si="733"/>
        <v xml:space="preserve"> </v>
      </c>
      <c r="FW198" s="14" t="str">
        <f t="shared" si="734"/>
        <v xml:space="preserve"> </v>
      </c>
      <c r="FX198" s="14" t="str">
        <f t="shared" si="735"/>
        <v xml:space="preserve"> </v>
      </c>
      <c r="FY198" s="14" t="str">
        <f t="shared" si="736"/>
        <v xml:space="preserve"> </v>
      </c>
      <c r="FZ198" s="14" t="str">
        <f t="shared" si="737"/>
        <v xml:space="preserve"> </v>
      </c>
      <c r="GA198" s="27" t="str">
        <f t="shared" si="813"/>
        <v xml:space="preserve"> </v>
      </c>
      <c r="GB198" s="14" t="str">
        <f t="shared" si="738"/>
        <v xml:space="preserve"> </v>
      </c>
      <c r="GC198" s="14" t="str">
        <f t="shared" si="739"/>
        <v xml:space="preserve"> </v>
      </c>
      <c r="GD198" s="14" t="str">
        <f t="shared" si="740"/>
        <v xml:space="preserve"> </v>
      </c>
      <c r="GE198" s="14" t="str">
        <f t="shared" si="741"/>
        <v xml:space="preserve"> </v>
      </c>
      <c r="GF198" s="14" t="str">
        <f t="shared" si="742"/>
        <v xml:space="preserve"> </v>
      </c>
      <c r="GG198" s="27" t="str">
        <f t="shared" si="813"/>
        <v xml:space="preserve"> </v>
      </c>
      <c r="GH198" s="14" t="str">
        <f t="shared" si="743"/>
        <v xml:space="preserve"> </v>
      </c>
      <c r="GI198" s="14" t="str">
        <f t="shared" si="744"/>
        <v xml:space="preserve"> </v>
      </c>
      <c r="GJ198" s="14" t="str">
        <f t="shared" si="745"/>
        <v xml:space="preserve"> </v>
      </c>
      <c r="GK198" s="14" t="str">
        <f t="shared" si="746"/>
        <v xml:space="preserve"> </v>
      </c>
      <c r="GL198" s="14" t="str">
        <f t="shared" si="747"/>
        <v xml:space="preserve"> </v>
      </c>
      <c r="GM198" s="27" t="str">
        <f t="shared" si="813"/>
        <v xml:space="preserve"> </v>
      </c>
      <c r="GN198" s="14" t="str">
        <f t="shared" si="748"/>
        <v xml:space="preserve"> </v>
      </c>
      <c r="GO198" s="14" t="str">
        <f t="shared" si="749"/>
        <v xml:space="preserve"> </v>
      </c>
      <c r="GP198" s="14" t="str">
        <f t="shared" si="750"/>
        <v xml:space="preserve"> </v>
      </c>
      <c r="GQ198" s="14" t="str">
        <f t="shared" si="751"/>
        <v xml:space="preserve"> </v>
      </c>
      <c r="GR198" s="14" t="str">
        <f t="shared" si="752"/>
        <v xml:space="preserve"> </v>
      </c>
      <c r="GS198" s="27" t="str">
        <f t="shared" si="813"/>
        <v xml:space="preserve"> </v>
      </c>
      <c r="GT198" s="14" t="str">
        <f t="shared" si="753"/>
        <v xml:space="preserve"> </v>
      </c>
      <c r="GU198" s="14" t="str">
        <f t="shared" si="754"/>
        <v xml:space="preserve"> </v>
      </c>
      <c r="GV198" s="14" t="str">
        <f t="shared" si="755"/>
        <v xml:space="preserve"> </v>
      </c>
      <c r="GW198" s="14" t="str">
        <f t="shared" si="756"/>
        <v xml:space="preserve"> </v>
      </c>
      <c r="GX198" s="14" t="str">
        <f t="shared" si="757"/>
        <v xml:space="preserve"> </v>
      </c>
      <c r="GY198" s="27" t="str">
        <f t="shared" si="813"/>
        <v xml:space="preserve"> </v>
      </c>
      <c r="GZ198" s="14" t="str">
        <f t="shared" si="758"/>
        <v xml:space="preserve"> </v>
      </c>
      <c r="HA198" s="14" t="str">
        <f t="shared" si="759"/>
        <v xml:space="preserve"> </v>
      </c>
      <c r="HB198" s="14" t="str">
        <f t="shared" si="760"/>
        <v xml:space="preserve"> </v>
      </c>
      <c r="HC198" s="14" t="str">
        <f t="shared" si="761"/>
        <v xml:space="preserve"> </v>
      </c>
      <c r="HD198" s="14" t="str">
        <f t="shared" si="762"/>
        <v xml:space="preserve"> </v>
      </c>
      <c r="HE198" s="27" t="str">
        <f t="shared" si="814"/>
        <v xml:space="preserve"> </v>
      </c>
      <c r="HF198" s="14" t="str">
        <f t="shared" si="764"/>
        <v xml:space="preserve"> </v>
      </c>
      <c r="HG198" s="14" t="str">
        <f t="shared" si="765"/>
        <v xml:space="preserve"> </v>
      </c>
      <c r="HH198" s="14" t="str">
        <f t="shared" si="766"/>
        <v xml:space="preserve"> </v>
      </c>
      <c r="HI198" s="14" t="str">
        <f t="shared" si="767"/>
        <v xml:space="preserve"> </v>
      </c>
      <c r="HJ198" s="14" t="str">
        <f t="shared" si="768"/>
        <v xml:space="preserve"> </v>
      </c>
      <c r="HK198" s="27" t="str">
        <f t="shared" si="814"/>
        <v xml:space="preserve"> </v>
      </c>
      <c r="HL198" s="14" t="str">
        <f t="shared" si="769"/>
        <v xml:space="preserve"> </v>
      </c>
      <c r="HM198" s="14" t="str">
        <f t="shared" si="770"/>
        <v xml:space="preserve"> </v>
      </c>
      <c r="HN198" s="14" t="str">
        <f t="shared" si="771"/>
        <v xml:space="preserve"> </v>
      </c>
      <c r="HO198" s="14" t="str">
        <f t="shared" si="772"/>
        <v xml:space="preserve"> </v>
      </c>
      <c r="HP198" s="14" t="str">
        <f t="shared" si="773"/>
        <v xml:space="preserve"> </v>
      </c>
      <c r="HQ198" s="27" t="str">
        <f t="shared" si="814"/>
        <v xml:space="preserve"> </v>
      </c>
    </row>
    <row r="199" spans="1:225" ht="15.75" customHeight="1">
      <c r="A199" s="7">
        <f t="shared" ref="A199:C199" si="825">A91</f>
        <v>0</v>
      </c>
      <c r="B199" s="7">
        <f t="shared" si="825"/>
        <v>0</v>
      </c>
      <c r="C199" s="7" t="str">
        <f t="shared" si="825"/>
        <v>non-profit biz</v>
      </c>
      <c r="D199" s="14" t="str">
        <f t="shared" si="775"/>
        <v xml:space="preserve"> </v>
      </c>
      <c r="E199" s="14" t="str">
        <f t="shared" si="776"/>
        <v xml:space="preserve"> </v>
      </c>
      <c r="F199" s="14" t="str">
        <f t="shared" si="777"/>
        <v xml:space="preserve"> </v>
      </c>
      <c r="G199" s="14" t="str">
        <f t="shared" si="778"/>
        <v xml:space="preserve"> </v>
      </c>
      <c r="H199" s="14" t="str">
        <f t="shared" si="779"/>
        <v xml:space="preserve"> </v>
      </c>
      <c r="I199" s="27" t="str">
        <f t="shared" ref="I199" si="826">IF(I91="",I200,$C199&amp;"("&amp;I91&amp;"),"&amp;I200)</f>
        <v xml:space="preserve"> </v>
      </c>
      <c r="J199" s="14" t="str">
        <f t="shared" si="590"/>
        <v xml:space="preserve"> </v>
      </c>
      <c r="K199" s="14" t="str">
        <f t="shared" si="591"/>
        <v xml:space="preserve"> </v>
      </c>
      <c r="L199" s="14" t="str">
        <f t="shared" si="592"/>
        <v xml:space="preserve"> </v>
      </c>
      <c r="M199" s="14" t="str">
        <f t="shared" si="593"/>
        <v xml:space="preserve"> </v>
      </c>
      <c r="N199" s="14" t="str">
        <f t="shared" si="594"/>
        <v xml:space="preserve"> </v>
      </c>
      <c r="O199" s="27" t="str">
        <f t="shared" si="811"/>
        <v xml:space="preserve"> </v>
      </c>
      <c r="P199" s="14" t="str">
        <f t="shared" si="596"/>
        <v xml:space="preserve"> </v>
      </c>
      <c r="Q199" s="14" t="str">
        <f t="shared" si="597"/>
        <v xml:space="preserve"> </v>
      </c>
      <c r="R199" s="14" t="str">
        <f t="shared" si="598"/>
        <v xml:space="preserve"> </v>
      </c>
      <c r="S199" s="14" t="str">
        <f t="shared" si="599"/>
        <v xml:space="preserve"> </v>
      </c>
      <c r="T199" s="14" t="str">
        <f t="shared" si="600"/>
        <v xml:space="preserve"> </v>
      </c>
      <c r="U199" s="27" t="str">
        <f t="shared" si="811"/>
        <v xml:space="preserve"> </v>
      </c>
      <c r="V199" s="14" t="str">
        <f t="shared" si="601"/>
        <v xml:space="preserve"> </v>
      </c>
      <c r="W199" s="14" t="str">
        <f t="shared" si="602"/>
        <v xml:space="preserve"> </v>
      </c>
      <c r="X199" s="14" t="str">
        <f t="shared" si="603"/>
        <v xml:space="preserve"> </v>
      </c>
      <c r="Y199" s="14" t="str">
        <f t="shared" si="604"/>
        <v xml:space="preserve"> </v>
      </c>
      <c r="Z199" s="14" t="str">
        <f t="shared" si="605"/>
        <v xml:space="preserve"> </v>
      </c>
      <c r="AA199" s="27" t="str">
        <f t="shared" si="811"/>
        <v xml:space="preserve"> </v>
      </c>
      <c r="AB199" s="14" t="str">
        <f t="shared" si="606"/>
        <v xml:space="preserve"> </v>
      </c>
      <c r="AC199" s="14" t="str">
        <f t="shared" si="607"/>
        <v xml:space="preserve"> </v>
      </c>
      <c r="AD199" s="14" t="str">
        <f t="shared" si="608"/>
        <v xml:space="preserve"> </v>
      </c>
      <c r="AE199" s="14" t="str">
        <f t="shared" si="609"/>
        <v xml:space="preserve"> </v>
      </c>
      <c r="AF199" s="14" t="str">
        <f t="shared" si="610"/>
        <v xml:space="preserve"> </v>
      </c>
      <c r="AG199" s="27" t="str">
        <f t="shared" si="811"/>
        <v xml:space="preserve"> </v>
      </c>
      <c r="AH199" s="14" t="str">
        <f t="shared" si="611"/>
        <v xml:space="preserve"> </v>
      </c>
      <c r="AI199" s="14" t="str">
        <f t="shared" si="612"/>
        <v xml:space="preserve"> </v>
      </c>
      <c r="AJ199" s="14" t="str">
        <f t="shared" si="613"/>
        <v xml:space="preserve"> </v>
      </c>
      <c r="AK199" s="14" t="str">
        <f t="shared" si="614"/>
        <v xml:space="preserve"> </v>
      </c>
      <c r="AL199" s="14" t="str">
        <f t="shared" si="615"/>
        <v xml:space="preserve"> </v>
      </c>
      <c r="AM199" s="27" t="str">
        <f t="shared" si="811"/>
        <v xml:space="preserve"> </v>
      </c>
      <c r="AN199" s="14" t="str">
        <f t="shared" si="616"/>
        <v xml:space="preserve"> </v>
      </c>
      <c r="AO199" s="14" t="str">
        <f t="shared" si="617"/>
        <v xml:space="preserve"> </v>
      </c>
      <c r="AP199" s="14" t="str">
        <f t="shared" si="618"/>
        <v xml:space="preserve"> </v>
      </c>
      <c r="AQ199" s="14" t="str">
        <f t="shared" si="619"/>
        <v xml:space="preserve"> </v>
      </c>
      <c r="AR199" s="14" t="str">
        <f t="shared" si="620"/>
        <v xml:space="preserve"> </v>
      </c>
      <c r="AS199" s="27" t="str">
        <f t="shared" si="811"/>
        <v xml:space="preserve"> </v>
      </c>
      <c r="AT199" s="14" t="str">
        <f t="shared" si="621"/>
        <v xml:space="preserve"> </v>
      </c>
      <c r="AU199" s="14" t="str">
        <f t="shared" si="622"/>
        <v xml:space="preserve"> </v>
      </c>
      <c r="AV199" s="14" t="str">
        <f t="shared" si="623"/>
        <v xml:space="preserve"> </v>
      </c>
      <c r="AW199" s="14" t="str">
        <f t="shared" si="624"/>
        <v xml:space="preserve"> </v>
      </c>
      <c r="AX199" s="14" t="str">
        <f t="shared" si="625"/>
        <v xml:space="preserve"> </v>
      </c>
      <c r="AY199" s="27" t="str">
        <f t="shared" si="811"/>
        <v xml:space="preserve"> </v>
      </c>
      <c r="AZ199" s="14" t="str">
        <f t="shared" si="626"/>
        <v xml:space="preserve"> </v>
      </c>
      <c r="BA199" s="14" t="str">
        <f t="shared" si="627"/>
        <v xml:space="preserve"> </v>
      </c>
      <c r="BB199" s="14" t="str">
        <f t="shared" si="628"/>
        <v xml:space="preserve"> </v>
      </c>
      <c r="BC199" s="14" t="str">
        <f t="shared" si="629"/>
        <v xml:space="preserve"> </v>
      </c>
      <c r="BD199" s="14" t="str">
        <f t="shared" si="630"/>
        <v xml:space="preserve"> </v>
      </c>
      <c r="BE199" s="27" t="str">
        <f t="shared" si="811"/>
        <v xml:space="preserve"> </v>
      </c>
      <c r="BF199" s="14" t="str">
        <f t="shared" si="631"/>
        <v xml:space="preserve"> </v>
      </c>
      <c r="BG199" s="14" t="str">
        <f t="shared" si="632"/>
        <v xml:space="preserve"> </v>
      </c>
      <c r="BH199" s="14" t="str">
        <f t="shared" si="633"/>
        <v xml:space="preserve"> </v>
      </c>
      <c r="BI199" s="14" t="str">
        <f t="shared" si="634"/>
        <v xml:space="preserve"> </v>
      </c>
      <c r="BJ199" s="14" t="str">
        <f t="shared" si="635"/>
        <v xml:space="preserve"> </v>
      </c>
      <c r="BK199" s="27" t="str">
        <f t="shared" si="811"/>
        <v xml:space="preserve"> </v>
      </c>
      <c r="BL199" s="14" t="str">
        <f t="shared" si="636"/>
        <v xml:space="preserve"> </v>
      </c>
      <c r="BM199" s="14" t="str">
        <f t="shared" si="637"/>
        <v xml:space="preserve">biz enhancement(1,%),  </v>
      </c>
      <c r="BN199" s="14" t="str">
        <f t="shared" si="638"/>
        <v xml:space="preserve"> </v>
      </c>
      <c r="BO199" s="14" t="str">
        <f t="shared" si="639"/>
        <v xml:space="preserve"> </v>
      </c>
      <c r="BP199" s="14" t="str">
        <f t="shared" si="640"/>
        <v xml:space="preserve"> </v>
      </c>
      <c r="BQ199" s="27" t="str">
        <f t="shared" si="811"/>
        <v xml:space="preserve"> </v>
      </c>
      <c r="BR199" s="14" t="str">
        <f t="shared" si="641"/>
        <v xml:space="preserve"> </v>
      </c>
      <c r="BS199" s="14" t="str">
        <f t="shared" si="642"/>
        <v xml:space="preserve">biz project(1,%),  </v>
      </c>
      <c r="BT199" s="14" t="str">
        <f t="shared" si="643"/>
        <v xml:space="preserve"> </v>
      </c>
      <c r="BU199" s="14" t="str">
        <f t="shared" si="644"/>
        <v xml:space="preserve"> </v>
      </c>
      <c r="BV199" s="14" t="str">
        <f t="shared" si="645"/>
        <v xml:space="preserve"> </v>
      </c>
      <c r="BW199" s="27" t="str">
        <f t="shared" si="811"/>
        <v xml:space="preserve"> </v>
      </c>
      <c r="BX199" s="14" t="str">
        <f t="shared" si="646"/>
        <v xml:space="preserve"> </v>
      </c>
      <c r="BY199" s="14" t="str">
        <f t="shared" si="647"/>
        <v xml:space="preserve">biz project(1,%),  </v>
      </c>
      <c r="BZ199" s="14" t="str">
        <f t="shared" si="648"/>
        <v xml:space="preserve"> </v>
      </c>
      <c r="CA199" s="14" t="str">
        <f t="shared" si="649"/>
        <v xml:space="preserve"> </v>
      </c>
      <c r="CB199" s="14" t="str">
        <f t="shared" si="650"/>
        <v xml:space="preserve"> </v>
      </c>
      <c r="CC199" s="27" t="str">
        <f t="shared" si="812"/>
        <v xml:space="preserve"> </v>
      </c>
      <c r="CD199" s="14" t="str">
        <f t="shared" si="652"/>
        <v xml:space="preserve"> </v>
      </c>
      <c r="CE199" s="14" t="str">
        <f t="shared" si="653"/>
        <v xml:space="preserve">biz project(1,%),  </v>
      </c>
      <c r="CF199" s="14" t="str">
        <f t="shared" si="654"/>
        <v xml:space="preserve"> </v>
      </c>
      <c r="CG199" s="14" t="str">
        <f t="shared" si="655"/>
        <v xml:space="preserve"> </v>
      </c>
      <c r="CH199" s="14" t="str">
        <f t="shared" si="656"/>
        <v xml:space="preserve"> </v>
      </c>
      <c r="CI199" s="27" t="str">
        <f t="shared" si="812"/>
        <v xml:space="preserve"> </v>
      </c>
      <c r="CJ199" s="14" t="str">
        <f t="shared" si="657"/>
        <v xml:space="preserve"> </v>
      </c>
      <c r="CK199" s="14" t="str">
        <f t="shared" si="658"/>
        <v xml:space="preserve">biz project(1,%),  </v>
      </c>
      <c r="CL199" s="14" t="str">
        <f t="shared" si="659"/>
        <v xml:space="preserve"> </v>
      </c>
      <c r="CM199" s="14" t="str">
        <f t="shared" si="660"/>
        <v xml:space="preserve"> </v>
      </c>
      <c r="CN199" s="14" t="str">
        <f t="shared" si="661"/>
        <v xml:space="preserve"> </v>
      </c>
      <c r="CO199" s="27" t="str">
        <f t="shared" si="812"/>
        <v xml:space="preserve"> </v>
      </c>
      <c r="CP199" s="14" t="str">
        <f t="shared" si="662"/>
        <v xml:space="preserve"> </v>
      </c>
      <c r="CQ199" s="14" t="str">
        <f t="shared" si="663"/>
        <v xml:space="preserve">biz enhancement(1,50%),  </v>
      </c>
      <c r="CR199" s="14" t="str">
        <f t="shared" si="664"/>
        <v xml:space="preserve">biz enhancement(50)
 </v>
      </c>
      <c r="CS199" s="14" t="str">
        <f t="shared" si="665"/>
        <v xml:space="preserve"> </v>
      </c>
      <c r="CT199" s="14" t="str">
        <f t="shared" si="666"/>
        <v xml:space="preserve"> </v>
      </c>
      <c r="CU199" s="27" t="str">
        <f t="shared" si="812"/>
        <v xml:space="preserve"> </v>
      </c>
      <c r="CV199" s="14" t="str">
        <f t="shared" si="667"/>
        <v xml:space="preserve"> </v>
      </c>
      <c r="CW199" s="14" t="str">
        <f t="shared" si="668"/>
        <v xml:space="preserve"> </v>
      </c>
      <c r="CX199" s="14" t="str">
        <f t="shared" si="669"/>
        <v xml:space="preserve"> </v>
      </c>
      <c r="CY199" s="14" t="str">
        <f t="shared" si="670"/>
        <v xml:space="preserve"> </v>
      </c>
      <c r="CZ199" s="14" t="str">
        <f t="shared" si="671"/>
        <v xml:space="preserve"> </v>
      </c>
      <c r="DA199" s="27" t="str">
        <f t="shared" si="812"/>
        <v xml:space="preserve"> </v>
      </c>
      <c r="DB199" s="14" t="str">
        <f t="shared" si="672"/>
        <v xml:space="preserve"> </v>
      </c>
      <c r="DC199" s="14" t="str">
        <f t="shared" si="673"/>
        <v xml:space="preserve"> </v>
      </c>
      <c r="DD199" s="14" t="str">
        <f t="shared" si="674"/>
        <v xml:space="preserve"> </v>
      </c>
      <c r="DE199" s="14" t="str">
        <f t="shared" si="675"/>
        <v xml:space="preserve"> </v>
      </c>
      <c r="DF199" s="14" t="str">
        <f t="shared" si="676"/>
        <v xml:space="preserve"> </v>
      </c>
      <c r="DG199" s="27" t="str">
        <f t="shared" si="812"/>
        <v xml:space="preserve"> </v>
      </c>
      <c r="DH199" s="14" t="str">
        <f t="shared" si="677"/>
        <v xml:space="preserve"> </v>
      </c>
      <c r="DI199" s="14" t="str">
        <f t="shared" si="678"/>
        <v xml:space="preserve"> </v>
      </c>
      <c r="DJ199" s="14" t="str">
        <f t="shared" si="679"/>
        <v xml:space="preserve"> </v>
      </c>
      <c r="DK199" s="14" t="str">
        <f t="shared" si="680"/>
        <v xml:space="preserve"> </v>
      </c>
      <c r="DL199" s="14" t="str">
        <f t="shared" si="681"/>
        <v xml:space="preserve"> </v>
      </c>
      <c r="DM199" s="27" t="str">
        <f t="shared" si="812"/>
        <v xml:space="preserve"> </v>
      </c>
      <c r="DN199" s="14" t="str">
        <f t="shared" si="682"/>
        <v xml:space="preserve">biz project(1)
 </v>
      </c>
      <c r="DO199" s="14" t="str">
        <f t="shared" si="683"/>
        <v xml:space="preserve"> </v>
      </c>
      <c r="DP199" s="14" t="str">
        <f t="shared" si="684"/>
        <v xml:space="preserve"> </v>
      </c>
      <c r="DQ199" s="14" t="str">
        <f t="shared" si="685"/>
        <v xml:space="preserve"> </v>
      </c>
      <c r="DR199" s="14" t="str">
        <f t="shared" si="686"/>
        <v xml:space="preserve"> </v>
      </c>
      <c r="DS199" s="27" t="str">
        <f t="shared" si="812"/>
        <v xml:space="preserve"> </v>
      </c>
      <c r="DT199" s="14" t="str">
        <f t="shared" si="687"/>
        <v xml:space="preserve"> </v>
      </c>
      <c r="DU199" s="14" t="str">
        <f t="shared" si="688"/>
        <v xml:space="preserve"> </v>
      </c>
      <c r="DV199" s="14" t="str">
        <f t="shared" si="689"/>
        <v xml:space="preserve"> </v>
      </c>
      <c r="DW199" s="14" t="str">
        <f t="shared" si="690"/>
        <v xml:space="preserve"> </v>
      </c>
      <c r="DX199" s="14" t="str">
        <f t="shared" si="691"/>
        <v xml:space="preserve"> </v>
      </c>
      <c r="DY199" s="27" t="str">
        <f t="shared" si="812"/>
        <v xml:space="preserve"> </v>
      </c>
      <c r="DZ199" s="14" t="str">
        <f t="shared" si="692"/>
        <v xml:space="preserve"> </v>
      </c>
      <c r="EA199" s="14" t="str">
        <f t="shared" si="693"/>
        <v xml:space="preserve"> </v>
      </c>
      <c r="EB199" s="14" t="str">
        <f t="shared" si="694"/>
        <v xml:space="preserve"> </v>
      </c>
      <c r="EC199" s="14" t="str">
        <f t="shared" si="695"/>
        <v xml:space="preserve"> </v>
      </c>
      <c r="ED199" s="14" t="str">
        <f t="shared" si="696"/>
        <v xml:space="preserve"> </v>
      </c>
      <c r="EE199" s="27" t="str">
        <f t="shared" si="812"/>
        <v xml:space="preserve"> </v>
      </c>
      <c r="EF199" s="14" t="str">
        <f t="shared" si="697"/>
        <v xml:space="preserve"> </v>
      </c>
      <c r="EG199" s="14" t="str">
        <f t="shared" si="698"/>
        <v xml:space="preserve"> </v>
      </c>
      <c r="EH199" s="14" t="str">
        <f t="shared" si="699"/>
        <v xml:space="preserve"> </v>
      </c>
      <c r="EI199" s="14" t="str">
        <f t="shared" si="700"/>
        <v xml:space="preserve"> </v>
      </c>
      <c r="EJ199" s="14" t="str">
        <f t="shared" si="701"/>
        <v xml:space="preserve"> </v>
      </c>
      <c r="EK199" s="27" t="str">
        <f t="shared" si="812"/>
        <v xml:space="preserve"> </v>
      </c>
      <c r="EL199" s="14" t="str">
        <f t="shared" si="702"/>
        <v xml:space="preserve"> </v>
      </c>
      <c r="EM199" s="14" t="str">
        <f t="shared" si="703"/>
        <v xml:space="preserve"> </v>
      </c>
      <c r="EN199" s="14" t="str">
        <f t="shared" si="704"/>
        <v xml:space="preserve"> </v>
      </c>
      <c r="EO199" s="14" t="str">
        <f t="shared" si="705"/>
        <v xml:space="preserve"> </v>
      </c>
      <c r="EP199" s="14" t="str">
        <f t="shared" si="706"/>
        <v xml:space="preserve"> </v>
      </c>
      <c r="EQ199" s="27" t="str">
        <f t="shared" si="813"/>
        <v xml:space="preserve"> </v>
      </c>
      <c r="ER199" s="14" t="str">
        <f t="shared" si="708"/>
        <v xml:space="preserve"> </v>
      </c>
      <c r="ES199" s="14" t="str">
        <f t="shared" si="709"/>
        <v xml:space="preserve"> </v>
      </c>
      <c r="ET199" s="14" t="str">
        <f t="shared" si="710"/>
        <v xml:space="preserve"> </v>
      </c>
      <c r="EU199" s="14" t="str">
        <f t="shared" si="711"/>
        <v xml:space="preserve"> </v>
      </c>
      <c r="EV199" s="14" t="str">
        <f t="shared" si="712"/>
        <v xml:space="preserve"> </v>
      </c>
      <c r="EW199" s="27" t="str">
        <f t="shared" si="813"/>
        <v xml:space="preserve"> </v>
      </c>
      <c r="EX199" s="14" t="str">
        <f t="shared" si="713"/>
        <v xml:space="preserve"> </v>
      </c>
      <c r="EY199" s="14" t="str">
        <f t="shared" si="714"/>
        <v xml:space="preserve"> </v>
      </c>
      <c r="EZ199" s="14" t="str">
        <f t="shared" si="715"/>
        <v xml:space="preserve"> </v>
      </c>
      <c r="FA199" s="14" t="str">
        <f t="shared" si="716"/>
        <v xml:space="preserve"> </v>
      </c>
      <c r="FB199" s="14" t="str">
        <f t="shared" si="717"/>
        <v xml:space="preserve"> </v>
      </c>
      <c r="FC199" s="27" t="str">
        <f t="shared" si="813"/>
        <v xml:space="preserve"> </v>
      </c>
      <c r="FD199" s="14" t="str">
        <f t="shared" si="718"/>
        <v xml:space="preserve"> </v>
      </c>
      <c r="FE199" s="14" t="str">
        <f t="shared" si="719"/>
        <v xml:space="preserve"> </v>
      </c>
      <c r="FF199" s="14" t="str">
        <f t="shared" si="720"/>
        <v xml:space="preserve"> </v>
      </c>
      <c r="FG199" s="14" t="str">
        <f t="shared" si="721"/>
        <v xml:space="preserve"> </v>
      </c>
      <c r="FH199" s="14" t="str">
        <f t="shared" si="722"/>
        <v xml:space="preserve"> </v>
      </c>
      <c r="FI199" s="27" t="str">
        <f t="shared" si="813"/>
        <v xml:space="preserve"> </v>
      </c>
      <c r="FJ199" s="14" t="str">
        <f t="shared" si="723"/>
        <v xml:space="preserve"> </v>
      </c>
      <c r="FK199" s="14" t="str">
        <f t="shared" si="724"/>
        <v xml:space="preserve"> </v>
      </c>
      <c r="FL199" s="14" t="str">
        <f t="shared" si="725"/>
        <v xml:space="preserve"> </v>
      </c>
      <c r="FM199" s="14" t="str">
        <f t="shared" si="726"/>
        <v xml:space="preserve"> </v>
      </c>
      <c r="FN199" s="14" t="str">
        <f t="shared" si="727"/>
        <v xml:space="preserve"> </v>
      </c>
      <c r="FO199" s="27" t="str">
        <f t="shared" si="813"/>
        <v xml:space="preserve"> </v>
      </c>
      <c r="FP199" s="14" t="str">
        <f t="shared" si="728"/>
        <v xml:space="preserve"> </v>
      </c>
      <c r="FQ199" s="14" t="str">
        <f t="shared" si="729"/>
        <v xml:space="preserve"> </v>
      </c>
      <c r="FR199" s="14" t="str">
        <f t="shared" si="730"/>
        <v xml:space="preserve"> </v>
      </c>
      <c r="FS199" s="14" t="str">
        <f t="shared" si="731"/>
        <v xml:space="preserve"> </v>
      </c>
      <c r="FT199" s="14" t="str">
        <f t="shared" si="732"/>
        <v xml:space="preserve"> </v>
      </c>
      <c r="FU199" s="27" t="str">
        <f t="shared" si="813"/>
        <v xml:space="preserve"> </v>
      </c>
      <c r="FV199" s="14" t="str">
        <f t="shared" si="733"/>
        <v xml:space="preserve"> </v>
      </c>
      <c r="FW199" s="14" t="str">
        <f t="shared" si="734"/>
        <v xml:space="preserve"> </v>
      </c>
      <c r="FX199" s="14" t="str">
        <f t="shared" si="735"/>
        <v xml:space="preserve"> </v>
      </c>
      <c r="FY199" s="14" t="str">
        <f t="shared" si="736"/>
        <v xml:space="preserve"> </v>
      </c>
      <c r="FZ199" s="14" t="str">
        <f t="shared" si="737"/>
        <v xml:space="preserve"> </v>
      </c>
      <c r="GA199" s="27" t="str">
        <f t="shared" si="813"/>
        <v xml:space="preserve"> </v>
      </c>
      <c r="GB199" s="14" t="str">
        <f t="shared" si="738"/>
        <v xml:space="preserve"> </v>
      </c>
      <c r="GC199" s="14" t="str">
        <f t="shared" si="739"/>
        <v xml:space="preserve"> </v>
      </c>
      <c r="GD199" s="14" t="str">
        <f t="shared" si="740"/>
        <v xml:space="preserve"> </v>
      </c>
      <c r="GE199" s="14" t="str">
        <f t="shared" si="741"/>
        <v xml:space="preserve"> </v>
      </c>
      <c r="GF199" s="14" t="str">
        <f t="shared" si="742"/>
        <v xml:space="preserve"> </v>
      </c>
      <c r="GG199" s="27" t="str">
        <f t="shared" si="813"/>
        <v xml:space="preserve"> </v>
      </c>
      <c r="GH199" s="14" t="str">
        <f t="shared" si="743"/>
        <v xml:space="preserve"> </v>
      </c>
      <c r="GI199" s="14" t="str">
        <f t="shared" si="744"/>
        <v xml:space="preserve"> </v>
      </c>
      <c r="GJ199" s="14" t="str">
        <f t="shared" si="745"/>
        <v xml:space="preserve"> </v>
      </c>
      <c r="GK199" s="14" t="str">
        <f t="shared" si="746"/>
        <v xml:space="preserve"> </v>
      </c>
      <c r="GL199" s="14" t="str">
        <f t="shared" si="747"/>
        <v xml:space="preserve"> </v>
      </c>
      <c r="GM199" s="27" t="str">
        <f t="shared" si="813"/>
        <v xml:space="preserve"> </v>
      </c>
      <c r="GN199" s="14" t="str">
        <f t="shared" si="748"/>
        <v xml:space="preserve"> </v>
      </c>
      <c r="GO199" s="14" t="str">
        <f t="shared" si="749"/>
        <v xml:space="preserve"> </v>
      </c>
      <c r="GP199" s="14" t="str">
        <f t="shared" si="750"/>
        <v xml:space="preserve"> </v>
      </c>
      <c r="GQ199" s="14" t="str">
        <f t="shared" si="751"/>
        <v xml:space="preserve"> </v>
      </c>
      <c r="GR199" s="14" t="str">
        <f t="shared" si="752"/>
        <v xml:space="preserve"> </v>
      </c>
      <c r="GS199" s="27" t="str">
        <f t="shared" si="813"/>
        <v xml:space="preserve"> </v>
      </c>
      <c r="GT199" s="14" t="str">
        <f t="shared" si="753"/>
        <v xml:space="preserve"> </v>
      </c>
      <c r="GU199" s="14" t="str">
        <f t="shared" si="754"/>
        <v xml:space="preserve"> </v>
      </c>
      <c r="GV199" s="14" t="str">
        <f t="shared" si="755"/>
        <v xml:space="preserve"> </v>
      </c>
      <c r="GW199" s="14" t="str">
        <f t="shared" si="756"/>
        <v xml:space="preserve"> </v>
      </c>
      <c r="GX199" s="14" t="str">
        <f t="shared" si="757"/>
        <v xml:space="preserve"> </v>
      </c>
      <c r="GY199" s="27" t="str">
        <f t="shared" si="813"/>
        <v xml:space="preserve"> </v>
      </c>
      <c r="GZ199" s="14" t="str">
        <f t="shared" si="758"/>
        <v xml:space="preserve"> </v>
      </c>
      <c r="HA199" s="14" t="str">
        <f t="shared" si="759"/>
        <v xml:space="preserve"> </v>
      </c>
      <c r="HB199" s="14" t="str">
        <f t="shared" si="760"/>
        <v xml:space="preserve"> </v>
      </c>
      <c r="HC199" s="14" t="str">
        <f t="shared" si="761"/>
        <v xml:space="preserve"> </v>
      </c>
      <c r="HD199" s="14" t="str">
        <f t="shared" si="762"/>
        <v xml:space="preserve"> </v>
      </c>
      <c r="HE199" s="27" t="str">
        <f t="shared" si="814"/>
        <v xml:space="preserve"> </v>
      </c>
      <c r="HF199" s="14" t="str">
        <f t="shared" si="764"/>
        <v xml:space="preserve"> </v>
      </c>
      <c r="HG199" s="14" t="str">
        <f t="shared" si="765"/>
        <v xml:space="preserve"> </v>
      </c>
      <c r="HH199" s="14" t="str">
        <f t="shared" si="766"/>
        <v xml:space="preserve"> </v>
      </c>
      <c r="HI199" s="14" t="str">
        <f t="shared" si="767"/>
        <v xml:space="preserve"> </v>
      </c>
      <c r="HJ199" s="14" t="str">
        <f t="shared" si="768"/>
        <v xml:space="preserve"> </v>
      </c>
      <c r="HK199" s="27" t="str">
        <f t="shared" si="814"/>
        <v xml:space="preserve"> </v>
      </c>
      <c r="HL199" s="14" t="str">
        <f t="shared" si="769"/>
        <v xml:space="preserve"> </v>
      </c>
      <c r="HM199" s="14" t="str">
        <f t="shared" si="770"/>
        <v xml:space="preserve"> </v>
      </c>
      <c r="HN199" s="14" t="str">
        <f t="shared" si="771"/>
        <v xml:space="preserve"> </v>
      </c>
      <c r="HO199" s="14" t="str">
        <f t="shared" si="772"/>
        <v xml:space="preserve"> </v>
      </c>
      <c r="HP199" s="14" t="str">
        <f t="shared" si="773"/>
        <v xml:space="preserve"> </v>
      </c>
      <c r="HQ199" s="27" t="str">
        <f t="shared" si="814"/>
        <v xml:space="preserve"> </v>
      </c>
    </row>
    <row r="200" spans="1:225" ht="15.75" customHeight="1">
      <c r="A200" s="7">
        <f t="shared" ref="A200:C200" si="827">A92</f>
        <v>0</v>
      </c>
      <c r="B200" s="7" t="str">
        <f t="shared" si="827"/>
        <v>commercial</v>
      </c>
      <c r="C200" s="7" t="str">
        <f t="shared" si="827"/>
        <v>biz project</v>
      </c>
      <c r="D200" s="14" t="str">
        <f t="shared" si="775"/>
        <v xml:space="preserve"> </v>
      </c>
      <c r="E200" s="14" t="str">
        <f t="shared" si="776"/>
        <v xml:space="preserve"> </v>
      </c>
      <c r="F200" s="14" t="str">
        <f t="shared" si="777"/>
        <v xml:space="preserve"> </v>
      </c>
      <c r="G200" s="14" t="str">
        <f t="shared" si="778"/>
        <v xml:space="preserve"> </v>
      </c>
      <c r="H200" s="14" t="str">
        <f t="shared" si="779"/>
        <v xml:space="preserve"> </v>
      </c>
      <c r="I200" s="27" t="str">
        <f t="shared" ref="I200" si="828">IF(I92="",I201,$C200&amp;"("&amp;I92&amp;"),"&amp;I201)</f>
        <v xml:space="preserve"> </v>
      </c>
      <c r="J200" s="14" t="str">
        <f t="shared" si="590"/>
        <v xml:space="preserve"> </v>
      </c>
      <c r="K200" s="14" t="str">
        <f t="shared" si="591"/>
        <v xml:space="preserve"> </v>
      </c>
      <c r="L200" s="14" t="str">
        <f t="shared" si="592"/>
        <v xml:space="preserve"> </v>
      </c>
      <c r="M200" s="14" t="str">
        <f t="shared" si="593"/>
        <v xml:space="preserve"> </v>
      </c>
      <c r="N200" s="14" t="str">
        <f t="shared" si="594"/>
        <v xml:space="preserve"> </v>
      </c>
      <c r="O200" s="27" t="str">
        <f t="shared" si="811"/>
        <v xml:space="preserve"> </v>
      </c>
      <c r="P200" s="14" t="str">
        <f t="shared" si="596"/>
        <v xml:space="preserve"> </v>
      </c>
      <c r="Q200" s="14" t="str">
        <f t="shared" si="597"/>
        <v xml:space="preserve"> </v>
      </c>
      <c r="R200" s="14" t="str">
        <f t="shared" si="598"/>
        <v xml:space="preserve"> </v>
      </c>
      <c r="S200" s="14" t="str">
        <f t="shared" si="599"/>
        <v xml:space="preserve"> </v>
      </c>
      <c r="T200" s="14" t="str">
        <f t="shared" si="600"/>
        <v xml:space="preserve"> </v>
      </c>
      <c r="U200" s="27" t="str">
        <f t="shared" si="811"/>
        <v xml:space="preserve"> </v>
      </c>
      <c r="V200" s="14" t="str">
        <f t="shared" si="601"/>
        <v xml:space="preserve"> </v>
      </c>
      <c r="W200" s="14" t="str">
        <f t="shared" si="602"/>
        <v xml:space="preserve"> </v>
      </c>
      <c r="X200" s="14" t="str">
        <f t="shared" si="603"/>
        <v xml:space="preserve"> </v>
      </c>
      <c r="Y200" s="14" t="str">
        <f t="shared" si="604"/>
        <v xml:space="preserve"> </v>
      </c>
      <c r="Z200" s="14" t="str">
        <f t="shared" si="605"/>
        <v xml:space="preserve"> </v>
      </c>
      <c r="AA200" s="27" t="str">
        <f t="shared" si="811"/>
        <v xml:space="preserve"> </v>
      </c>
      <c r="AB200" s="14" t="str">
        <f t="shared" si="606"/>
        <v xml:space="preserve"> </v>
      </c>
      <c r="AC200" s="14" t="str">
        <f t="shared" si="607"/>
        <v xml:space="preserve"> </v>
      </c>
      <c r="AD200" s="14" t="str">
        <f t="shared" si="608"/>
        <v xml:space="preserve"> </v>
      </c>
      <c r="AE200" s="14" t="str">
        <f t="shared" si="609"/>
        <v xml:space="preserve"> </v>
      </c>
      <c r="AF200" s="14" t="str">
        <f t="shared" si="610"/>
        <v xml:space="preserve"> </v>
      </c>
      <c r="AG200" s="27" t="str">
        <f t="shared" si="811"/>
        <v xml:space="preserve"> </v>
      </c>
      <c r="AH200" s="14" t="str">
        <f t="shared" si="611"/>
        <v xml:space="preserve"> </v>
      </c>
      <c r="AI200" s="14" t="str">
        <f t="shared" si="612"/>
        <v xml:space="preserve"> </v>
      </c>
      <c r="AJ200" s="14" t="str">
        <f t="shared" si="613"/>
        <v xml:space="preserve"> </v>
      </c>
      <c r="AK200" s="14" t="str">
        <f t="shared" si="614"/>
        <v xml:space="preserve"> </v>
      </c>
      <c r="AL200" s="14" t="str">
        <f t="shared" si="615"/>
        <v xml:space="preserve"> </v>
      </c>
      <c r="AM200" s="27" t="str">
        <f t="shared" si="811"/>
        <v xml:space="preserve"> </v>
      </c>
      <c r="AN200" s="14" t="str">
        <f t="shared" si="616"/>
        <v xml:space="preserve"> </v>
      </c>
      <c r="AO200" s="14" t="str">
        <f t="shared" si="617"/>
        <v xml:space="preserve"> </v>
      </c>
      <c r="AP200" s="14" t="str">
        <f t="shared" si="618"/>
        <v xml:space="preserve"> </v>
      </c>
      <c r="AQ200" s="14" t="str">
        <f t="shared" si="619"/>
        <v xml:space="preserve"> </v>
      </c>
      <c r="AR200" s="14" t="str">
        <f t="shared" si="620"/>
        <v xml:space="preserve"> </v>
      </c>
      <c r="AS200" s="27" t="str">
        <f t="shared" si="811"/>
        <v xml:space="preserve"> </v>
      </c>
      <c r="AT200" s="14" t="str">
        <f t="shared" si="621"/>
        <v xml:space="preserve"> </v>
      </c>
      <c r="AU200" s="14" t="str">
        <f t="shared" si="622"/>
        <v xml:space="preserve"> </v>
      </c>
      <c r="AV200" s="14" t="str">
        <f t="shared" si="623"/>
        <v xml:space="preserve"> </v>
      </c>
      <c r="AW200" s="14" t="str">
        <f t="shared" si="624"/>
        <v xml:space="preserve"> </v>
      </c>
      <c r="AX200" s="14" t="str">
        <f t="shared" si="625"/>
        <v xml:space="preserve"> </v>
      </c>
      <c r="AY200" s="27" t="str">
        <f t="shared" si="811"/>
        <v xml:space="preserve"> </v>
      </c>
      <c r="AZ200" s="14" t="str">
        <f t="shared" si="626"/>
        <v xml:space="preserve"> </v>
      </c>
      <c r="BA200" s="14" t="str">
        <f t="shared" si="627"/>
        <v xml:space="preserve"> </v>
      </c>
      <c r="BB200" s="14" t="str">
        <f t="shared" si="628"/>
        <v xml:space="preserve"> </v>
      </c>
      <c r="BC200" s="14" t="str">
        <f t="shared" si="629"/>
        <v xml:space="preserve"> </v>
      </c>
      <c r="BD200" s="14" t="str">
        <f t="shared" si="630"/>
        <v xml:space="preserve"> </v>
      </c>
      <c r="BE200" s="27" t="str">
        <f t="shared" si="811"/>
        <v xml:space="preserve"> </v>
      </c>
      <c r="BF200" s="14" t="str">
        <f t="shared" si="631"/>
        <v xml:space="preserve"> </v>
      </c>
      <c r="BG200" s="14" t="str">
        <f t="shared" si="632"/>
        <v xml:space="preserve"> </v>
      </c>
      <c r="BH200" s="14" t="str">
        <f t="shared" si="633"/>
        <v xml:space="preserve"> </v>
      </c>
      <c r="BI200" s="14" t="str">
        <f t="shared" si="634"/>
        <v xml:space="preserve"> </v>
      </c>
      <c r="BJ200" s="14" t="str">
        <f t="shared" si="635"/>
        <v xml:space="preserve"> </v>
      </c>
      <c r="BK200" s="27" t="str">
        <f t="shared" si="811"/>
        <v xml:space="preserve"> </v>
      </c>
      <c r="BL200" s="14" t="str">
        <f t="shared" si="636"/>
        <v xml:space="preserve"> </v>
      </c>
      <c r="BM200" s="14" t="str">
        <f t="shared" si="637"/>
        <v xml:space="preserve">biz enhancement(1,%),  </v>
      </c>
      <c r="BN200" s="14" t="str">
        <f t="shared" si="638"/>
        <v xml:space="preserve"> </v>
      </c>
      <c r="BO200" s="14" t="str">
        <f t="shared" si="639"/>
        <v xml:space="preserve"> </v>
      </c>
      <c r="BP200" s="14" t="str">
        <f t="shared" si="640"/>
        <v xml:space="preserve"> </v>
      </c>
      <c r="BQ200" s="27" t="str">
        <f t="shared" si="811"/>
        <v xml:space="preserve"> </v>
      </c>
      <c r="BR200" s="14" t="str">
        <f t="shared" si="641"/>
        <v xml:space="preserve"> </v>
      </c>
      <c r="BS200" s="14" t="str">
        <f t="shared" si="642"/>
        <v xml:space="preserve">biz project(1,%),  </v>
      </c>
      <c r="BT200" s="14" t="str">
        <f t="shared" si="643"/>
        <v xml:space="preserve"> </v>
      </c>
      <c r="BU200" s="14" t="str">
        <f t="shared" si="644"/>
        <v xml:space="preserve"> </v>
      </c>
      <c r="BV200" s="14" t="str">
        <f t="shared" si="645"/>
        <v xml:space="preserve"> </v>
      </c>
      <c r="BW200" s="27" t="str">
        <f t="shared" si="811"/>
        <v xml:space="preserve"> </v>
      </c>
      <c r="BX200" s="14" t="str">
        <f t="shared" si="646"/>
        <v xml:space="preserve"> </v>
      </c>
      <c r="BY200" s="14" t="str">
        <f t="shared" si="647"/>
        <v xml:space="preserve">biz project(1,%),  </v>
      </c>
      <c r="BZ200" s="14" t="str">
        <f t="shared" si="648"/>
        <v xml:space="preserve"> </v>
      </c>
      <c r="CA200" s="14" t="str">
        <f t="shared" si="649"/>
        <v xml:space="preserve"> </v>
      </c>
      <c r="CB200" s="14" t="str">
        <f t="shared" si="650"/>
        <v xml:space="preserve"> </v>
      </c>
      <c r="CC200" s="27" t="str">
        <f t="shared" si="812"/>
        <v xml:space="preserve"> </v>
      </c>
      <c r="CD200" s="14" t="str">
        <f t="shared" si="652"/>
        <v xml:space="preserve"> </v>
      </c>
      <c r="CE200" s="14" t="str">
        <f t="shared" si="653"/>
        <v xml:space="preserve">biz project(1,%),  </v>
      </c>
      <c r="CF200" s="14" t="str">
        <f t="shared" si="654"/>
        <v xml:space="preserve"> </v>
      </c>
      <c r="CG200" s="14" t="str">
        <f t="shared" si="655"/>
        <v xml:space="preserve"> </v>
      </c>
      <c r="CH200" s="14" t="str">
        <f t="shared" si="656"/>
        <v xml:space="preserve"> </v>
      </c>
      <c r="CI200" s="27" t="str">
        <f t="shared" si="812"/>
        <v xml:space="preserve"> </v>
      </c>
      <c r="CJ200" s="14" t="str">
        <f t="shared" si="657"/>
        <v xml:space="preserve"> </v>
      </c>
      <c r="CK200" s="14" t="str">
        <f t="shared" si="658"/>
        <v xml:space="preserve">biz project(1,%),  </v>
      </c>
      <c r="CL200" s="14" t="str">
        <f t="shared" si="659"/>
        <v xml:space="preserve"> </v>
      </c>
      <c r="CM200" s="14" t="str">
        <f t="shared" si="660"/>
        <v xml:space="preserve"> </v>
      </c>
      <c r="CN200" s="14" t="str">
        <f t="shared" si="661"/>
        <v xml:space="preserve"> </v>
      </c>
      <c r="CO200" s="27" t="str">
        <f t="shared" si="812"/>
        <v xml:space="preserve"> </v>
      </c>
      <c r="CP200" s="14" t="str">
        <f t="shared" si="662"/>
        <v xml:space="preserve"> </v>
      </c>
      <c r="CQ200" s="14" t="str">
        <f t="shared" si="663"/>
        <v xml:space="preserve">biz enhancement(1,50%),  </v>
      </c>
      <c r="CR200" s="14" t="str">
        <f t="shared" si="664"/>
        <v xml:space="preserve">biz enhancement(50)
 </v>
      </c>
      <c r="CS200" s="14" t="str">
        <f t="shared" si="665"/>
        <v xml:space="preserve"> </v>
      </c>
      <c r="CT200" s="14" t="str">
        <f t="shared" si="666"/>
        <v xml:space="preserve"> </v>
      </c>
      <c r="CU200" s="27" t="str">
        <f t="shared" si="812"/>
        <v xml:space="preserve"> </v>
      </c>
      <c r="CV200" s="14" t="str">
        <f t="shared" si="667"/>
        <v xml:space="preserve"> </v>
      </c>
      <c r="CW200" s="14" t="str">
        <f t="shared" si="668"/>
        <v xml:space="preserve"> </v>
      </c>
      <c r="CX200" s="14" t="str">
        <f t="shared" si="669"/>
        <v xml:space="preserve"> </v>
      </c>
      <c r="CY200" s="14" t="str">
        <f t="shared" si="670"/>
        <v xml:space="preserve"> </v>
      </c>
      <c r="CZ200" s="14" t="str">
        <f t="shared" si="671"/>
        <v xml:space="preserve"> </v>
      </c>
      <c r="DA200" s="27" t="str">
        <f t="shared" si="812"/>
        <v xml:space="preserve"> </v>
      </c>
      <c r="DB200" s="14" t="str">
        <f t="shared" si="672"/>
        <v xml:space="preserve"> </v>
      </c>
      <c r="DC200" s="14" t="str">
        <f t="shared" si="673"/>
        <v xml:space="preserve"> </v>
      </c>
      <c r="DD200" s="14" t="str">
        <f t="shared" si="674"/>
        <v xml:space="preserve"> </v>
      </c>
      <c r="DE200" s="14" t="str">
        <f t="shared" si="675"/>
        <v xml:space="preserve"> </v>
      </c>
      <c r="DF200" s="14" t="str">
        <f t="shared" si="676"/>
        <v xml:space="preserve"> </v>
      </c>
      <c r="DG200" s="27" t="str">
        <f t="shared" si="812"/>
        <v xml:space="preserve"> </v>
      </c>
      <c r="DH200" s="14" t="str">
        <f t="shared" si="677"/>
        <v xml:space="preserve"> </v>
      </c>
      <c r="DI200" s="14" t="str">
        <f t="shared" si="678"/>
        <v xml:space="preserve"> </v>
      </c>
      <c r="DJ200" s="14" t="str">
        <f t="shared" si="679"/>
        <v xml:space="preserve"> </v>
      </c>
      <c r="DK200" s="14" t="str">
        <f t="shared" si="680"/>
        <v xml:space="preserve"> </v>
      </c>
      <c r="DL200" s="14" t="str">
        <f t="shared" si="681"/>
        <v xml:space="preserve"> </v>
      </c>
      <c r="DM200" s="27" t="str">
        <f t="shared" si="812"/>
        <v xml:space="preserve"> </v>
      </c>
      <c r="DN200" s="14" t="str">
        <f t="shared" si="682"/>
        <v xml:space="preserve">biz project(1)
 </v>
      </c>
      <c r="DO200" s="14" t="str">
        <f t="shared" si="683"/>
        <v xml:space="preserve"> </v>
      </c>
      <c r="DP200" s="14" t="str">
        <f t="shared" si="684"/>
        <v xml:space="preserve"> </v>
      </c>
      <c r="DQ200" s="14" t="str">
        <f t="shared" si="685"/>
        <v xml:space="preserve"> </v>
      </c>
      <c r="DR200" s="14" t="str">
        <f t="shared" si="686"/>
        <v xml:space="preserve"> </v>
      </c>
      <c r="DS200" s="27" t="str">
        <f t="shared" si="812"/>
        <v xml:space="preserve"> </v>
      </c>
      <c r="DT200" s="14" t="str">
        <f t="shared" si="687"/>
        <v xml:space="preserve"> </v>
      </c>
      <c r="DU200" s="14" t="str">
        <f t="shared" si="688"/>
        <v xml:space="preserve"> </v>
      </c>
      <c r="DV200" s="14" t="str">
        <f t="shared" si="689"/>
        <v xml:space="preserve"> </v>
      </c>
      <c r="DW200" s="14" t="str">
        <f t="shared" si="690"/>
        <v xml:space="preserve"> </v>
      </c>
      <c r="DX200" s="14" t="str">
        <f t="shared" si="691"/>
        <v xml:space="preserve"> </v>
      </c>
      <c r="DY200" s="27" t="str">
        <f t="shared" si="812"/>
        <v xml:space="preserve"> </v>
      </c>
      <c r="DZ200" s="14" t="str">
        <f t="shared" si="692"/>
        <v xml:space="preserve"> </v>
      </c>
      <c r="EA200" s="14" t="str">
        <f t="shared" si="693"/>
        <v xml:space="preserve"> </v>
      </c>
      <c r="EB200" s="14" t="str">
        <f t="shared" si="694"/>
        <v xml:space="preserve"> </v>
      </c>
      <c r="EC200" s="14" t="str">
        <f t="shared" si="695"/>
        <v xml:space="preserve"> </v>
      </c>
      <c r="ED200" s="14" t="str">
        <f t="shared" si="696"/>
        <v xml:space="preserve"> </v>
      </c>
      <c r="EE200" s="27" t="str">
        <f t="shared" si="812"/>
        <v xml:space="preserve"> </v>
      </c>
      <c r="EF200" s="14" t="str">
        <f t="shared" si="697"/>
        <v xml:space="preserve"> </v>
      </c>
      <c r="EG200" s="14" t="str">
        <f t="shared" si="698"/>
        <v xml:space="preserve"> </v>
      </c>
      <c r="EH200" s="14" t="str">
        <f t="shared" si="699"/>
        <v xml:space="preserve"> </v>
      </c>
      <c r="EI200" s="14" t="str">
        <f t="shared" si="700"/>
        <v xml:space="preserve"> </v>
      </c>
      <c r="EJ200" s="14" t="str">
        <f t="shared" si="701"/>
        <v xml:space="preserve"> </v>
      </c>
      <c r="EK200" s="27" t="str">
        <f t="shared" si="812"/>
        <v xml:space="preserve"> </v>
      </c>
      <c r="EL200" s="14" t="str">
        <f t="shared" si="702"/>
        <v xml:space="preserve"> </v>
      </c>
      <c r="EM200" s="14" t="str">
        <f t="shared" si="703"/>
        <v xml:space="preserve"> </v>
      </c>
      <c r="EN200" s="14" t="str">
        <f t="shared" si="704"/>
        <v xml:space="preserve"> </v>
      </c>
      <c r="EO200" s="14" t="str">
        <f t="shared" si="705"/>
        <v xml:space="preserve"> </v>
      </c>
      <c r="EP200" s="14" t="str">
        <f t="shared" si="706"/>
        <v xml:space="preserve"> </v>
      </c>
      <c r="EQ200" s="27" t="str">
        <f t="shared" si="813"/>
        <v xml:space="preserve"> </v>
      </c>
      <c r="ER200" s="14" t="str">
        <f t="shared" si="708"/>
        <v xml:space="preserve"> </v>
      </c>
      <c r="ES200" s="14" t="str">
        <f t="shared" si="709"/>
        <v xml:space="preserve"> </v>
      </c>
      <c r="ET200" s="14" t="str">
        <f t="shared" si="710"/>
        <v xml:space="preserve"> </v>
      </c>
      <c r="EU200" s="14" t="str">
        <f t="shared" si="711"/>
        <v xml:space="preserve"> </v>
      </c>
      <c r="EV200" s="14" t="str">
        <f t="shared" si="712"/>
        <v xml:space="preserve"> </v>
      </c>
      <c r="EW200" s="27" t="str">
        <f t="shared" si="813"/>
        <v xml:space="preserve"> </v>
      </c>
      <c r="EX200" s="14" t="str">
        <f t="shared" si="713"/>
        <v xml:space="preserve"> </v>
      </c>
      <c r="EY200" s="14" t="str">
        <f t="shared" si="714"/>
        <v xml:space="preserve"> </v>
      </c>
      <c r="EZ200" s="14" t="str">
        <f t="shared" si="715"/>
        <v xml:space="preserve"> </v>
      </c>
      <c r="FA200" s="14" t="str">
        <f t="shared" si="716"/>
        <v xml:space="preserve"> </v>
      </c>
      <c r="FB200" s="14" t="str">
        <f t="shared" si="717"/>
        <v xml:space="preserve"> </v>
      </c>
      <c r="FC200" s="27" t="str">
        <f t="shared" si="813"/>
        <v xml:space="preserve"> </v>
      </c>
      <c r="FD200" s="14" t="str">
        <f t="shared" si="718"/>
        <v xml:space="preserve"> </v>
      </c>
      <c r="FE200" s="14" t="str">
        <f t="shared" si="719"/>
        <v xml:space="preserve"> </v>
      </c>
      <c r="FF200" s="14" t="str">
        <f t="shared" si="720"/>
        <v xml:space="preserve"> </v>
      </c>
      <c r="FG200" s="14" t="str">
        <f t="shared" si="721"/>
        <v xml:space="preserve"> </v>
      </c>
      <c r="FH200" s="14" t="str">
        <f t="shared" si="722"/>
        <v xml:space="preserve"> </v>
      </c>
      <c r="FI200" s="27" t="str">
        <f t="shared" si="813"/>
        <v xml:space="preserve"> </v>
      </c>
      <c r="FJ200" s="14" t="str">
        <f t="shared" si="723"/>
        <v xml:space="preserve"> </v>
      </c>
      <c r="FK200" s="14" t="str">
        <f t="shared" si="724"/>
        <v xml:space="preserve"> </v>
      </c>
      <c r="FL200" s="14" t="str">
        <f t="shared" si="725"/>
        <v xml:space="preserve"> </v>
      </c>
      <c r="FM200" s="14" t="str">
        <f t="shared" si="726"/>
        <v xml:space="preserve"> </v>
      </c>
      <c r="FN200" s="14" t="str">
        <f t="shared" si="727"/>
        <v xml:space="preserve"> </v>
      </c>
      <c r="FO200" s="27" t="str">
        <f t="shared" si="813"/>
        <v xml:space="preserve"> </v>
      </c>
      <c r="FP200" s="14" t="str">
        <f t="shared" si="728"/>
        <v xml:space="preserve"> </v>
      </c>
      <c r="FQ200" s="14" t="str">
        <f t="shared" si="729"/>
        <v xml:space="preserve"> </v>
      </c>
      <c r="FR200" s="14" t="str">
        <f t="shared" si="730"/>
        <v xml:space="preserve"> </v>
      </c>
      <c r="FS200" s="14" t="str">
        <f t="shared" si="731"/>
        <v xml:space="preserve"> </v>
      </c>
      <c r="FT200" s="14" t="str">
        <f t="shared" si="732"/>
        <v xml:space="preserve"> </v>
      </c>
      <c r="FU200" s="27" t="str">
        <f t="shared" si="813"/>
        <v xml:space="preserve"> </v>
      </c>
      <c r="FV200" s="14" t="str">
        <f t="shared" si="733"/>
        <v xml:space="preserve"> </v>
      </c>
      <c r="FW200" s="14" t="str">
        <f t="shared" si="734"/>
        <v xml:space="preserve"> </v>
      </c>
      <c r="FX200" s="14" t="str">
        <f t="shared" si="735"/>
        <v xml:space="preserve"> </v>
      </c>
      <c r="FY200" s="14" t="str">
        <f t="shared" si="736"/>
        <v xml:space="preserve"> </v>
      </c>
      <c r="FZ200" s="14" t="str">
        <f t="shared" si="737"/>
        <v xml:space="preserve"> </v>
      </c>
      <c r="GA200" s="27" t="str">
        <f t="shared" si="813"/>
        <v xml:space="preserve"> </v>
      </c>
      <c r="GB200" s="14" t="str">
        <f t="shared" si="738"/>
        <v xml:space="preserve"> </v>
      </c>
      <c r="GC200" s="14" t="str">
        <f t="shared" si="739"/>
        <v xml:space="preserve"> </v>
      </c>
      <c r="GD200" s="14" t="str">
        <f t="shared" si="740"/>
        <v xml:space="preserve"> </v>
      </c>
      <c r="GE200" s="14" t="str">
        <f t="shared" si="741"/>
        <v xml:space="preserve"> </v>
      </c>
      <c r="GF200" s="14" t="str">
        <f t="shared" si="742"/>
        <v xml:space="preserve"> </v>
      </c>
      <c r="GG200" s="27" t="str">
        <f t="shared" si="813"/>
        <v xml:space="preserve"> </v>
      </c>
      <c r="GH200" s="14" t="str">
        <f t="shared" si="743"/>
        <v xml:space="preserve"> </v>
      </c>
      <c r="GI200" s="14" t="str">
        <f t="shared" si="744"/>
        <v xml:space="preserve"> </v>
      </c>
      <c r="GJ200" s="14" t="str">
        <f t="shared" si="745"/>
        <v xml:space="preserve"> </v>
      </c>
      <c r="GK200" s="14" t="str">
        <f t="shared" si="746"/>
        <v xml:space="preserve"> </v>
      </c>
      <c r="GL200" s="14" t="str">
        <f t="shared" si="747"/>
        <v xml:space="preserve"> </v>
      </c>
      <c r="GM200" s="27" t="str">
        <f t="shared" si="813"/>
        <v xml:space="preserve"> </v>
      </c>
      <c r="GN200" s="14" t="str">
        <f t="shared" si="748"/>
        <v xml:space="preserve"> </v>
      </c>
      <c r="GO200" s="14" t="str">
        <f t="shared" si="749"/>
        <v xml:space="preserve"> </v>
      </c>
      <c r="GP200" s="14" t="str">
        <f t="shared" si="750"/>
        <v xml:space="preserve"> </v>
      </c>
      <c r="GQ200" s="14" t="str">
        <f t="shared" si="751"/>
        <v xml:space="preserve"> </v>
      </c>
      <c r="GR200" s="14" t="str">
        <f t="shared" si="752"/>
        <v xml:space="preserve"> </v>
      </c>
      <c r="GS200" s="27" t="str">
        <f t="shared" si="813"/>
        <v xml:space="preserve"> </v>
      </c>
      <c r="GT200" s="14" t="str">
        <f t="shared" si="753"/>
        <v xml:space="preserve"> </v>
      </c>
      <c r="GU200" s="14" t="str">
        <f t="shared" si="754"/>
        <v xml:space="preserve"> </v>
      </c>
      <c r="GV200" s="14" t="str">
        <f t="shared" si="755"/>
        <v xml:space="preserve"> </v>
      </c>
      <c r="GW200" s="14" t="str">
        <f t="shared" si="756"/>
        <v xml:space="preserve"> </v>
      </c>
      <c r="GX200" s="14" t="str">
        <f t="shared" si="757"/>
        <v xml:space="preserve"> </v>
      </c>
      <c r="GY200" s="27" t="str">
        <f t="shared" si="813"/>
        <v xml:space="preserve"> </v>
      </c>
      <c r="GZ200" s="14" t="str">
        <f t="shared" si="758"/>
        <v xml:space="preserve"> </v>
      </c>
      <c r="HA200" s="14" t="str">
        <f t="shared" si="759"/>
        <v xml:space="preserve"> </v>
      </c>
      <c r="HB200" s="14" t="str">
        <f t="shared" si="760"/>
        <v xml:space="preserve"> </v>
      </c>
      <c r="HC200" s="14" t="str">
        <f t="shared" si="761"/>
        <v xml:space="preserve"> </v>
      </c>
      <c r="HD200" s="14" t="str">
        <f t="shared" si="762"/>
        <v xml:space="preserve"> </v>
      </c>
      <c r="HE200" s="27" t="str">
        <f t="shared" si="814"/>
        <v xml:space="preserve"> </v>
      </c>
      <c r="HF200" s="14" t="str">
        <f t="shared" si="764"/>
        <v xml:space="preserve"> </v>
      </c>
      <c r="HG200" s="14" t="str">
        <f t="shared" si="765"/>
        <v xml:space="preserve"> </v>
      </c>
      <c r="HH200" s="14" t="str">
        <f t="shared" si="766"/>
        <v xml:space="preserve"> </v>
      </c>
      <c r="HI200" s="14" t="str">
        <f t="shared" si="767"/>
        <v xml:space="preserve"> </v>
      </c>
      <c r="HJ200" s="14" t="str">
        <f t="shared" si="768"/>
        <v xml:space="preserve"> </v>
      </c>
      <c r="HK200" s="27" t="str">
        <f t="shared" si="814"/>
        <v xml:space="preserve"> </v>
      </c>
      <c r="HL200" s="14" t="str">
        <f t="shared" si="769"/>
        <v xml:space="preserve"> </v>
      </c>
      <c r="HM200" s="14" t="str">
        <f t="shared" si="770"/>
        <v xml:space="preserve"> </v>
      </c>
      <c r="HN200" s="14" t="str">
        <f t="shared" si="771"/>
        <v xml:space="preserve"> </v>
      </c>
      <c r="HO200" s="14" t="str">
        <f t="shared" si="772"/>
        <v xml:space="preserve"> </v>
      </c>
      <c r="HP200" s="14" t="str">
        <f t="shared" si="773"/>
        <v xml:space="preserve"> </v>
      </c>
      <c r="HQ200" s="27" t="str">
        <f t="shared" si="814"/>
        <v xml:space="preserve"> </v>
      </c>
    </row>
    <row r="201" spans="1:225" ht="15.75" customHeight="1">
      <c r="A201" s="7">
        <f t="shared" ref="A201:C201" si="829">A93</f>
        <v>0</v>
      </c>
      <c r="B201" s="7">
        <f t="shared" si="829"/>
        <v>0</v>
      </c>
      <c r="C201" s="7" t="str">
        <f t="shared" si="829"/>
        <v>biz enhancement</v>
      </c>
      <c r="D201" s="14" t="str">
        <f t="shared" si="775"/>
        <v xml:space="preserve"> </v>
      </c>
      <c r="E201" s="14" t="str">
        <f t="shared" si="776"/>
        <v xml:space="preserve"> </v>
      </c>
      <c r="F201" s="14" t="str">
        <f t="shared" si="777"/>
        <v xml:space="preserve"> </v>
      </c>
      <c r="G201" s="14" t="str">
        <f t="shared" si="778"/>
        <v xml:space="preserve"> </v>
      </c>
      <c r="H201" s="14" t="str">
        <f t="shared" si="779"/>
        <v xml:space="preserve"> </v>
      </c>
      <c r="I201" s="27" t="str">
        <f t="shared" ref="I201" si="830">IF(I93="",I202,$C201&amp;"("&amp;I93&amp;"),"&amp;I202)</f>
        <v xml:space="preserve"> </v>
      </c>
      <c r="J201" s="14" t="str">
        <f t="shared" si="590"/>
        <v xml:space="preserve"> </v>
      </c>
      <c r="K201" s="14" t="str">
        <f t="shared" si="591"/>
        <v xml:space="preserve"> </v>
      </c>
      <c r="L201" s="14" t="str">
        <f t="shared" si="592"/>
        <v xml:space="preserve"> </v>
      </c>
      <c r="M201" s="14" t="str">
        <f t="shared" si="593"/>
        <v xml:space="preserve"> </v>
      </c>
      <c r="N201" s="14" t="str">
        <f t="shared" si="594"/>
        <v xml:space="preserve"> </v>
      </c>
      <c r="O201" s="27" t="str">
        <f t="shared" si="811"/>
        <v xml:space="preserve"> </v>
      </c>
      <c r="P201" s="14" t="str">
        <f t="shared" si="596"/>
        <v xml:space="preserve"> </v>
      </c>
      <c r="Q201" s="14" t="str">
        <f t="shared" si="597"/>
        <v xml:space="preserve"> </v>
      </c>
      <c r="R201" s="14" t="str">
        <f t="shared" si="598"/>
        <v xml:space="preserve"> </v>
      </c>
      <c r="S201" s="14" t="str">
        <f t="shared" si="599"/>
        <v xml:space="preserve"> </v>
      </c>
      <c r="T201" s="14" t="str">
        <f t="shared" si="600"/>
        <v xml:space="preserve"> </v>
      </c>
      <c r="U201" s="27" t="str">
        <f t="shared" si="811"/>
        <v xml:space="preserve"> </v>
      </c>
      <c r="V201" s="14" t="str">
        <f t="shared" si="601"/>
        <v xml:space="preserve"> </v>
      </c>
      <c r="W201" s="14" t="str">
        <f t="shared" si="602"/>
        <v xml:space="preserve"> </v>
      </c>
      <c r="X201" s="14" t="str">
        <f t="shared" si="603"/>
        <v xml:space="preserve"> </v>
      </c>
      <c r="Y201" s="14" t="str">
        <f t="shared" si="604"/>
        <v xml:space="preserve"> </v>
      </c>
      <c r="Z201" s="14" t="str">
        <f t="shared" si="605"/>
        <v xml:space="preserve"> </v>
      </c>
      <c r="AA201" s="27" t="str">
        <f t="shared" si="811"/>
        <v xml:space="preserve"> </v>
      </c>
      <c r="AB201" s="14" t="str">
        <f t="shared" si="606"/>
        <v xml:space="preserve"> </v>
      </c>
      <c r="AC201" s="14" t="str">
        <f t="shared" si="607"/>
        <v xml:space="preserve"> </v>
      </c>
      <c r="AD201" s="14" t="str">
        <f t="shared" si="608"/>
        <v xml:space="preserve"> </v>
      </c>
      <c r="AE201" s="14" t="str">
        <f t="shared" si="609"/>
        <v xml:space="preserve"> </v>
      </c>
      <c r="AF201" s="14" t="str">
        <f t="shared" si="610"/>
        <v xml:space="preserve"> </v>
      </c>
      <c r="AG201" s="27" t="str">
        <f t="shared" si="811"/>
        <v xml:space="preserve"> </v>
      </c>
      <c r="AH201" s="14" t="str">
        <f t="shared" si="611"/>
        <v xml:space="preserve"> </v>
      </c>
      <c r="AI201" s="14" t="str">
        <f t="shared" si="612"/>
        <v xml:space="preserve"> </v>
      </c>
      <c r="AJ201" s="14" t="str">
        <f t="shared" si="613"/>
        <v xml:space="preserve"> </v>
      </c>
      <c r="AK201" s="14" t="str">
        <f t="shared" si="614"/>
        <v xml:space="preserve"> </v>
      </c>
      <c r="AL201" s="14" t="str">
        <f t="shared" si="615"/>
        <v xml:space="preserve"> </v>
      </c>
      <c r="AM201" s="27" t="str">
        <f t="shared" si="811"/>
        <v xml:space="preserve"> </v>
      </c>
      <c r="AN201" s="14" t="str">
        <f t="shared" si="616"/>
        <v xml:space="preserve"> </v>
      </c>
      <c r="AO201" s="14" t="str">
        <f t="shared" si="617"/>
        <v xml:space="preserve"> </v>
      </c>
      <c r="AP201" s="14" t="str">
        <f t="shared" si="618"/>
        <v xml:space="preserve"> </v>
      </c>
      <c r="AQ201" s="14" t="str">
        <f t="shared" si="619"/>
        <v xml:space="preserve"> </v>
      </c>
      <c r="AR201" s="14" t="str">
        <f t="shared" si="620"/>
        <v xml:space="preserve"> </v>
      </c>
      <c r="AS201" s="27" t="str">
        <f t="shared" si="811"/>
        <v xml:space="preserve"> </v>
      </c>
      <c r="AT201" s="14" t="str">
        <f t="shared" si="621"/>
        <v xml:space="preserve"> </v>
      </c>
      <c r="AU201" s="14" t="str">
        <f t="shared" si="622"/>
        <v xml:space="preserve"> </v>
      </c>
      <c r="AV201" s="14" t="str">
        <f t="shared" si="623"/>
        <v xml:space="preserve"> </v>
      </c>
      <c r="AW201" s="14" t="str">
        <f t="shared" si="624"/>
        <v xml:space="preserve"> </v>
      </c>
      <c r="AX201" s="14" t="str">
        <f t="shared" si="625"/>
        <v xml:space="preserve"> </v>
      </c>
      <c r="AY201" s="27" t="str">
        <f t="shared" si="811"/>
        <v xml:space="preserve"> </v>
      </c>
      <c r="AZ201" s="14" t="str">
        <f t="shared" si="626"/>
        <v xml:space="preserve"> </v>
      </c>
      <c r="BA201" s="14" t="str">
        <f t="shared" si="627"/>
        <v xml:space="preserve"> </v>
      </c>
      <c r="BB201" s="14" t="str">
        <f t="shared" si="628"/>
        <v xml:space="preserve"> </v>
      </c>
      <c r="BC201" s="14" t="str">
        <f t="shared" si="629"/>
        <v xml:space="preserve"> </v>
      </c>
      <c r="BD201" s="14" t="str">
        <f t="shared" si="630"/>
        <v xml:space="preserve"> </v>
      </c>
      <c r="BE201" s="27" t="str">
        <f t="shared" si="811"/>
        <v xml:space="preserve"> </v>
      </c>
      <c r="BF201" s="14" t="str">
        <f t="shared" si="631"/>
        <v xml:space="preserve"> </v>
      </c>
      <c r="BG201" s="14" t="str">
        <f t="shared" si="632"/>
        <v xml:space="preserve"> </v>
      </c>
      <c r="BH201" s="14" t="str">
        <f t="shared" si="633"/>
        <v xml:space="preserve"> </v>
      </c>
      <c r="BI201" s="14" t="str">
        <f t="shared" si="634"/>
        <v xml:space="preserve"> </v>
      </c>
      <c r="BJ201" s="14" t="str">
        <f t="shared" si="635"/>
        <v xml:space="preserve"> </v>
      </c>
      <c r="BK201" s="27" t="str">
        <f t="shared" si="811"/>
        <v xml:space="preserve"> </v>
      </c>
      <c r="BL201" s="14" t="str">
        <f t="shared" si="636"/>
        <v xml:space="preserve"> </v>
      </c>
      <c r="BM201" s="14" t="str">
        <f t="shared" si="637"/>
        <v xml:space="preserve">biz enhancement(1,%),  </v>
      </c>
      <c r="BN201" s="14" t="str">
        <f t="shared" si="638"/>
        <v xml:space="preserve"> </v>
      </c>
      <c r="BO201" s="14" t="str">
        <f t="shared" si="639"/>
        <v xml:space="preserve"> </v>
      </c>
      <c r="BP201" s="14" t="str">
        <f t="shared" si="640"/>
        <v xml:space="preserve"> </v>
      </c>
      <c r="BQ201" s="27" t="str">
        <f t="shared" si="811"/>
        <v xml:space="preserve"> </v>
      </c>
      <c r="BR201" s="14" t="str">
        <f t="shared" si="641"/>
        <v xml:space="preserve"> </v>
      </c>
      <c r="BS201" s="14" t="str">
        <f t="shared" si="642"/>
        <v xml:space="preserve"> </v>
      </c>
      <c r="BT201" s="14" t="str">
        <f t="shared" si="643"/>
        <v xml:space="preserve"> </v>
      </c>
      <c r="BU201" s="14" t="str">
        <f t="shared" si="644"/>
        <v xml:space="preserve"> </v>
      </c>
      <c r="BV201" s="14" t="str">
        <f t="shared" si="645"/>
        <v xml:space="preserve"> </v>
      </c>
      <c r="BW201" s="27" t="str">
        <f t="shared" si="811"/>
        <v xml:space="preserve"> </v>
      </c>
      <c r="BX201" s="14" t="str">
        <f t="shared" si="646"/>
        <v xml:space="preserve"> </v>
      </c>
      <c r="BY201" s="14" t="str">
        <f t="shared" si="647"/>
        <v xml:space="preserve"> </v>
      </c>
      <c r="BZ201" s="14" t="str">
        <f t="shared" si="648"/>
        <v xml:space="preserve"> </v>
      </c>
      <c r="CA201" s="14" t="str">
        <f t="shared" si="649"/>
        <v xml:space="preserve"> </v>
      </c>
      <c r="CB201" s="14" t="str">
        <f t="shared" si="650"/>
        <v xml:space="preserve"> </v>
      </c>
      <c r="CC201" s="27" t="str">
        <f t="shared" si="812"/>
        <v xml:space="preserve"> </v>
      </c>
      <c r="CD201" s="14" t="str">
        <f t="shared" si="652"/>
        <v xml:space="preserve"> </v>
      </c>
      <c r="CE201" s="14" t="str">
        <f t="shared" si="653"/>
        <v xml:space="preserve"> </v>
      </c>
      <c r="CF201" s="14" t="str">
        <f t="shared" si="654"/>
        <v xml:space="preserve"> </v>
      </c>
      <c r="CG201" s="14" t="str">
        <f t="shared" si="655"/>
        <v xml:space="preserve"> </v>
      </c>
      <c r="CH201" s="14" t="str">
        <f t="shared" si="656"/>
        <v xml:space="preserve"> </v>
      </c>
      <c r="CI201" s="27" t="str">
        <f t="shared" si="812"/>
        <v xml:space="preserve"> </v>
      </c>
      <c r="CJ201" s="14" t="str">
        <f t="shared" si="657"/>
        <v xml:space="preserve"> </v>
      </c>
      <c r="CK201" s="14" t="str">
        <f t="shared" si="658"/>
        <v xml:space="preserve"> </v>
      </c>
      <c r="CL201" s="14" t="str">
        <f t="shared" si="659"/>
        <v xml:space="preserve"> </v>
      </c>
      <c r="CM201" s="14" t="str">
        <f t="shared" si="660"/>
        <v xml:space="preserve"> </v>
      </c>
      <c r="CN201" s="14" t="str">
        <f t="shared" si="661"/>
        <v xml:space="preserve"> </v>
      </c>
      <c r="CO201" s="27" t="str">
        <f t="shared" si="812"/>
        <v xml:space="preserve"> </v>
      </c>
      <c r="CP201" s="14" t="str">
        <f t="shared" si="662"/>
        <v xml:space="preserve"> </v>
      </c>
      <c r="CQ201" s="14" t="str">
        <f t="shared" si="663"/>
        <v xml:space="preserve">biz enhancement(1,50%),  </v>
      </c>
      <c r="CR201" s="14" t="str">
        <f t="shared" si="664"/>
        <v xml:space="preserve">biz enhancement(50)
 </v>
      </c>
      <c r="CS201" s="14" t="str">
        <f t="shared" si="665"/>
        <v xml:space="preserve"> </v>
      </c>
      <c r="CT201" s="14" t="str">
        <f t="shared" si="666"/>
        <v xml:space="preserve"> </v>
      </c>
      <c r="CU201" s="27" t="str">
        <f t="shared" si="812"/>
        <v xml:space="preserve"> </v>
      </c>
      <c r="CV201" s="14" t="str">
        <f t="shared" si="667"/>
        <v xml:space="preserve"> </v>
      </c>
      <c r="CW201" s="14" t="str">
        <f t="shared" si="668"/>
        <v xml:space="preserve"> </v>
      </c>
      <c r="CX201" s="14" t="str">
        <f t="shared" si="669"/>
        <v xml:space="preserve"> </v>
      </c>
      <c r="CY201" s="14" t="str">
        <f t="shared" si="670"/>
        <v xml:space="preserve"> </v>
      </c>
      <c r="CZ201" s="14" t="str">
        <f t="shared" si="671"/>
        <v xml:space="preserve"> </v>
      </c>
      <c r="DA201" s="27" t="str">
        <f t="shared" si="812"/>
        <v xml:space="preserve"> </v>
      </c>
      <c r="DB201" s="14" t="str">
        <f t="shared" si="672"/>
        <v xml:space="preserve"> </v>
      </c>
      <c r="DC201" s="14" t="str">
        <f t="shared" si="673"/>
        <v xml:space="preserve"> </v>
      </c>
      <c r="DD201" s="14" t="str">
        <f t="shared" si="674"/>
        <v xml:space="preserve"> </v>
      </c>
      <c r="DE201" s="14" t="str">
        <f t="shared" si="675"/>
        <v xml:space="preserve"> </v>
      </c>
      <c r="DF201" s="14" t="str">
        <f t="shared" si="676"/>
        <v xml:space="preserve"> </v>
      </c>
      <c r="DG201" s="27" t="str">
        <f t="shared" si="812"/>
        <v xml:space="preserve"> </v>
      </c>
      <c r="DH201" s="14" t="str">
        <f t="shared" si="677"/>
        <v xml:space="preserve"> </v>
      </c>
      <c r="DI201" s="14" t="str">
        <f t="shared" si="678"/>
        <v xml:space="preserve"> </v>
      </c>
      <c r="DJ201" s="14" t="str">
        <f t="shared" si="679"/>
        <v xml:space="preserve"> </v>
      </c>
      <c r="DK201" s="14" t="str">
        <f t="shared" si="680"/>
        <v xml:space="preserve"> </v>
      </c>
      <c r="DL201" s="14" t="str">
        <f t="shared" si="681"/>
        <v xml:space="preserve"> </v>
      </c>
      <c r="DM201" s="27" t="str">
        <f t="shared" si="812"/>
        <v xml:space="preserve"> </v>
      </c>
      <c r="DN201" s="14" t="str">
        <f t="shared" si="682"/>
        <v xml:space="preserve"> </v>
      </c>
      <c r="DO201" s="14" t="str">
        <f t="shared" si="683"/>
        <v xml:space="preserve"> </v>
      </c>
      <c r="DP201" s="14" t="str">
        <f t="shared" si="684"/>
        <v xml:space="preserve"> </v>
      </c>
      <c r="DQ201" s="14" t="str">
        <f t="shared" si="685"/>
        <v xml:space="preserve"> </v>
      </c>
      <c r="DR201" s="14" t="str">
        <f t="shared" si="686"/>
        <v xml:space="preserve"> </v>
      </c>
      <c r="DS201" s="27" t="str">
        <f t="shared" si="812"/>
        <v xml:space="preserve"> </v>
      </c>
      <c r="DT201" s="14" t="str">
        <f t="shared" si="687"/>
        <v xml:space="preserve"> </v>
      </c>
      <c r="DU201" s="14" t="str">
        <f t="shared" si="688"/>
        <v xml:space="preserve"> </v>
      </c>
      <c r="DV201" s="14" t="str">
        <f t="shared" si="689"/>
        <v xml:space="preserve"> </v>
      </c>
      <c r="DW201" s="14" t="str">
        <f t="shared" si="690"/>
        <v xml:space="preserve"> </v>
      </c>
      <c r="DX201" s="14" t="str">
        <f t="shared" si="691"/>
        <v xml:space="preserve"> </v>
      </c>
      <c r="DY201" s="27" t="str">
        <f t="shared" si="812"/>
        <v xml:space="preserve"> </v>
      </c>
      <c r="DZ201" s="14" t="str">
        <f t="shared" si="692"/>
        <v xml:space="preserve"> </v>
      </c>
      <c r="EA201" s="14" t="str">
        <f t="shared" si="693"/>
        <v xml:space="preserve"> </v>
      </c>
      <c r="EB201" s="14" t="str">
        <f t="shared" si="694"/>
        <v xml:space="preserve"> </v>
      </c>
      <c r="EC201" s="14" t="str">
        <f t="shared" si="695"/>
        <v xml:space="preserve"> </v>
      </c>
      <c r="ED201" s="14" t="str">
        <f t="shared" si="696"/>
        <v xml:space="preserve"> </v>
      </c>
      <c r="EE201" s="27" t="str">
        <f t="shared" si="812"/>
        <v xml:space="preserve"> </v>
      </c>
      <c r="EF201" s="14" t="str">
        <f t="shared" si="697"/>
        <v xml:space="preserve"> </v>
      </c>
      <c r="EG201" s="14" t="str">
        <f t="shared" si="698"/>
        <v xml:space="preserve"> </v>
      </c>
      <c r="EH201" s="14" t="str">
        <f t="shared" si="699"/>
        <v xml:space="preserve"> </v>
      </c>
      <c r="EI201" s="14" t="str">
        <f t="shared" si="700"/>
        <v xml:space="preserve"> </v>
      </c>
      <c r="EJ201" s="14" t="str">
        <f t="shared" si="701"/>
        <v xml:space="preserve"> </v>
      </c>
      <c r="EK201" s="27" t="str">
        <f t="shared" si="812"/>
        <v xml:space="preserve"> </v>
      </c>
      <c r="EL201" s="14" t="str">
        <f t="shared" si="702"/>
        <v xml:space="preserve"> </v>
      </c>
      <c r="EM201" s="14" t="str">
        <f t="shared" si="703"/>
        <v xml:space="preserve"> </v>
      </c>
      <c r="EN201" s="14" t="str">
        <f t="shared" si="704"/>
        <v xml:space="preserve"> </v>
      </c>
      <c r="EO201" s="14" t="str">
        <f t="shared" si="705"/>
        <v xml:space="preserve"> </v>
      </c>
      <c r="EP201" s="14" t="str">
        <f t="shared" si="706"/>
        <v xml:space="preserve"> </v>
      </c>
      <c r="EQ201" s="27" t="str">
        <f t="shared" si="813"/>
        <v xml:space="preserve"> </v>
      </c>
      <c r="ER201" s="14" t="str">
        <f t="shared" si="708"/>
        <v xml:space="preserve"> </v>
      </c>
      <c r="ES201" s="14" t="str">
        <f t="shared" si="709"/>
        <v xml:space="preserve"> </v>
      </c>
      <c r="ET201" s="14" t="str">
        <f t="shared" si="710"/>
        <v xml:space="preserve"> </v>
      </c>
      <c r="EU201" s="14" t="str">
        <f t="shared" si="711"/>
        <v xml:space="preserve"> </v>
      </c>
      <c r="EV201" s="14" t="str">
        <f t="shared" si="712"/>
        <v xml:space="preserve"> </v>
      </c>
      <c r="EW201" s="27" t="str">
        <f t="shared" si="813"/>
        <v xml:space="preserve"> </v>
      </c>
      <c r="EX201" s="14" t="str">
        <f t="shared" si="713"/>
        <v xml:space="preserve"> </v>
      </c>
      <c r="EY201" s="14" t="str">
        <f t="shared" si="714"/>
        <v xml:space="preserve"> </v>
      </c>
      <c r="EZ201" s="14" t="str">
        <f t="shared" si="715"/>
        <v xml:space="preserve"> </v>
      </c>
      <c r="FA201" s="14" t="str">
        <f t="shared" si="716"/>
        <v xml:space="preserve"> </v>
      </c>
      <c r="FB201" s="14" t="str">
        <f t="shared" si="717"/>
        <v xml:space="preserve"> </v>
      </c>
      <c r="FC201" s="27" t="str">
        <f t="shared" si="813"/>
        <v xml:space="preserve"> </v>
      </c>
      <c r="FD201" s="14" t="str">
        <f t="shared" si="718"/>
        <v xml:space="preserve"> </v>
      </c>
      <c r="FE201" s="14" t="str">
        <f t="shared" si="719"/>
        <v xml:space="preserve"> </v>
      </c>
      <c r="FF201" s="14" t="str">
        <f t="shared" si="720"/>
        <v xml:space="preserve"> </v>
      </c>
      <c r="FG201" s="14" t="str">
        <f t="shared" si="721"/>
        <v xml:space="preserve"> </v>
      </c>
      <c r="FH201" s="14" t="str">
        <f t="shared" si="722"/>
        <v xml:space="preserve"> </v>
      </c>
      <c r="FI201" s="27" t="str">
        <f t="shared" si="813"/>
        <v xml:space="preserve"> </v>
      </c>
      <c r="FJ201" s="14" t="str">
        <f t="shared" si="723"/>
        <v xml:space="preserve"> </v>
      </c>
      <c r="FK201" s="14" t="str">
        <f t="shared" si="724"/>
        <v xml:space="preserve"> </v>
      </c>
      <c r="FL201" s="14" t="str">
        <f t="shared" si="725"/>
        <v xml:space="preserve"> </v>
      </c>
      <c r="FM201" s="14" t="str">
        <f t="shared" si="726"/>
        <v xml:space="preserve"> </v>
      </c>
      <c r="FN201" s="14" t="str">
        <f t="shared" si="727"/>
        <v xml:space="preserve"> </v>
      </c>
      <c r="FO201" s="27" t="str">
        <f t="shared" si="813"/>
        <v xml:space="preserve"> </v>
      </c>
      <c r="FP201" s="14" t="str">
        <f t="shared" si="728"/>
        <v xml:space="preserve"> </v>
      </c>
      <c r="FQ201" s="14" t="str">
        <f t="shared" si="729"/>
        <v xml:space="preserve"> </v>
      </c>
      <c r="FR201" s="14" t="str">
        <f t="shared" si="730"/>
        <v xml:space="preserve"> </v>
      </c>
      <c r="FS201" s="14" t="str">
        <f t="shared" si="731"/>
        <v xml:space="preserve"> </v>
      </c>
      <c r="FT201" s="14" t="str">
        <f t="shared" si="732"/>
        <v xml:space="preserve"> </v>
      </c>
      <c r="FU201" s="27" t="str">
        <f t="shared" si="813"/>
        <v xml:space="preserve"> </v>
      </c>
      <c r="FV201" s="14" t="str">
        <f t="shared" si="733"/>
        <v xml:space="preserve"> </v>
      </c>
      <c r="FW201" s="14" t="str">
        <f t="shared" si="734"/>
        <v xml:space="preserve"> </v>
      </c>
      <c r="FX201" s="14" t="str">
        <f t="shared" si="735"/>
        <v xml:space="preserve"> </v>
      </c>
      <c r="FY201" s="14" t="str">
        <f t="shared" si="736"/>
        <v xml:space="preserve"> </v>
      </c>
      <c r="FZ201" s="14" t="str">
        <f t="shared" si="737"/>
        <v xml:space="preserve"> </v>
      </c>
      <c r="GA201" s="27" t="str">
        <f t="shared" si="813"/>
        <v xml:space="preserve"> </v>
      </c>
      <c r="GB201" s="14" t="str">
        <f t="shared" si="738"/>
        <v xml:space="preserve"> </v>
      </c>
      <c r="GC201" s="14" t="str">
        <f t="shared" si="739"/>
        <v xml:space="preserve"> </v>
      </c>
      <c r="GD201" s="14" t="str">
        <f t="shared" si="740"/>
        <v xml:space="preserve"> </v>
      </c>
      <c r="GE201" s="14" t="str">
        <f t="shared" si="741"/>
        <v xml:space="preserve"> </v>
      </c>
      <c r="GF201" s="14" t="str">
        <f t="shared" si="742"/>
        <v xml:space="preserve"> </v>
      </c>
      <c r="GG201" s="27" t="str">
        <f t="shared" si="813"/>
        <v xml:space="preserve"> </v>
      </c>
      <c r="GH201" s="14" t="str">
        <f t="shared" si="743"/>
        <v xml:space="preserve"> </v>
      </c>
      <c r="GI201" s="14" t="str">
        <f t="shared" si="744"/>
        <v xml:space="preserve"> </v>
      </c>
      <c r="GJ201" s="14" t="str">
        <f t="shared" si="745"/>
        <v xml:space="preserve"> </v>
      </c>
      <c r="GK201" s="14" t="str">
        <f t="shared" si="746"/>
        <v xml:space="preserve"> </v>
      </c>
      <c r="GL201" s="14" t="str">
        <f t="shared" si="747"/>
        <v xml:space="preserve"> </v>
      </c>
      <c r="GM201" s="27" t="str">
        <f t="shared" si="813"/>
        <v xml:space="preserve"> </v>
      </c>
      <c r="GN201" s="14" t="str">
        <f t="shared" si="748"/>
        <v xml:space="preserve"> </v>
      </c>
      <c r="GO201" s="14" t="str">
        <f t="shared" si="749"/>
        <v xml:space="preserve"> </v>
      </c>
      <c r="GP201" s="14" t="str">
        <f t="shared" si="750"/>
        <v xml:space="preserve"> </v>
      </c>
      <c r="GQ201" s="14" t="str">
        <f t="shared" si="751"/>
        <v xml:space="preserve"> </v>
      </c>
      <c r="GR201" s="14" t="str">
        <f t="shared" si="752"/>
        <v xml:space="preserve"> </v>
      </c>
      <c r="GS201" s="27" t="str">
        <f t="shared" si="813"/>
        <v xml:space="preserve"> </v>
      </c>
      <c r="GT201" s="14" t="str">
        <f t="shared" si="753"/>
        <v xml:space="preserve"> </v>
      </c>
      <c r="GU201" s="14" t="str">
        <f t="shared" si="754"/>
        <v xml:space="preserve"> </v>
      </c>
      <c r="GV201" s="14" t="str">
        <f t="shared" si="755"/>
        <v xml:space="preserve"> </v>
      </c>
      <c r="GW201" s="14" t="str">
        <f t="shared" si="756"/>
        <v xml:space="preserve"> </v>
      </c>
      <c r="GX201" s="14" t="str">
        <f t="shared" si="757"/>
        <v xml:space="preserve"> </v>
      </c>
      <c r="GY201" s="27" t="str">
        <f t="shared" si="813"/>
        <v xml:space="preserve"> </v>
      </c>
      <c r="GZ201" s="14" t="str">
        <f t="shared" si="758"/>
        <v xml:space="preserve"> </v>
      </c>
      <c r="HA201" s="14" t="str">
        <f t="shared" si="759"/>
        <v xml:space="preserve"> </v>
      </c>
      <c r="HB201" s="14" t="str">
        <f t="shared" si="760"/>
        <v xml:space="preserve"> </v>
      </c>
      <c r="HC201" s="14" t="str">
        <f t="shared" si="761"/>
        <v xml:space="preserve"> </v>
      </c>
      <c r="HD201" s="14" t="str">
        <f t="shared" si="762"/>
        <v xml:space="preserve"> </v>
      </c>
      <c r="HE201" s="27" t="str">
        <f t="shared" si="814"/>
        <v xml:space="preserve"> </v>
      </c>
      <c r="HF201" s="14" t="str">
        <f t="shared" si="764"/>
        <v xml:space="preserve"> </v>
      </c>
      <c r="HG201" s="14" t="str">
        <f t="shared" si="765"/>
        <v xml:space="preserve"> </v>
      </c>
      <c r="HH201" s="14" t="str">
        <f t="shared" si="766"/>
        <v xml:space="preserve"> </v>
      </c>
      <c r="HI201" s="14" t="str">
        <f t="shared" si="767"/>
        <v xml:space="preserve"> </v>
      </c>
      <c r="HJ201" s="14" t="str">
        <f t="shared" si="768"/>
        <v xml:space="preserve"> </v>
      </c>
      <c r="HK201" s="27" t="str">
        <f t="shared" si="814"/>
        <v xml:space="preserve"> </v>
      </c>
      <c r="HL201" s="14" t="str">
        <f t="shared" si="769"/>
        <v xml:space="preserve"> </v>
      </c>
      <c r="HM201" s="14" t="str">
        <f t="shared" si="770"/>
        <v xml:space="preserve"> </v>
      </c>
      <c r="HN201" s="14" t="str">
        <f t="shared" si="771"/>
        <v xml:space="preserve"> </v>
      </c>
      <c r="HO201" s="14" t="str">
        <f t="shared" si="772"/>
        <v xml:space="preserve"> </v>
      </c>
      <c r="HP201" s="14" t="str">
        <f t="shared" si="773"/>
        <v xml:space="preserve"> </v>
      </c>
      <c r="HQ201" s="27" t="str">
        <f t="shared" si="814"/>
        <v xml:space="preserve"> </v>
      </c>
    </row>
    <row r="202" spans="1:225" ht="15.75" customHeight="1">
      <c r="A202" s="7">
        <f t="shared" ref="A202:C202" si="831">A94</f>
        <v>0</v>
      </c>
      <c r="B202" s="7">
        <f t="shared" si="831"/>
        <v>0</v>
      </c>
      <c r="C202" s="7" t="str">
        <f t="shared" si="831"/>
        <v>job creation</v>
      </c>
      <c r="D202" s="14" t="str">
        <f t="shared" si="775"/>
        <v xml:space="preserve"> </v>
      </c>
      <c r="E202" s="14" t="str">
        <f t="shared" si="776"/>
        <v xml:space="preserve"> </v>
      </c>
      <c r="F202" s="14" t="str">
        <f t="shared" si="777"/>
        <v xml:space="preserve"> </v>
      </c>
      <c r="G202" s="14" t="str">
        <f t="shared" si="778"/>
        <v xml:space="preserve"> </v>
      </c>
      <c r="H202" s="14" t="str">
        <f t="shared" si="779"/>
        <v xml:space="preserve"> </v>
      </c>
      <c r="I202" s="27" t="str">
        <f t="shared" ref="I202" si="832">IF(I94="",I203,$C202&amp;"("&amp;I94&amp;"),"&amp;I203)</f>
        <v xml:space="preserve"> </v>
      </c>
      <c r="J202" s="14" t="str">
        <f t="shared" si="590"/>
        <v xml:space="preserve"> </v>
      </c>
      <c r="K202" s="14" t="str">
        <f t="shared" si="591"/>
        <v xml:space="preserve"> </v>
      </c>
      <c r="L202" s="14" t="str">
        <f t="shared" si="592"/>
        <v xml:space="preserve"> </v>
      </c>
      <c r="M202" s="14" t="str">
        <f t="shared" si="593"/>
        <v xml:space="preserve"> </v>
      </c>
      <c r="N202" s="14" t="str">
        <f t="shared" si="594"/>
        <v xml:space="preserve"> </v>
      </c>
      <c r="O202" s="27" t="str">
        <f t="shared" si="811"/>
        <v xml:space="preserve"> </v>
      </c>
      <c r="P202" s="14" t="str">
        <f t="shared" si="596"/>
        <v xml:space="preserve"> </v>
      </c>
      <c r="Q202" s="14" t="str">
        <f t="shared" si="597"/>
        <v xml:space="preserve"> </v>
      </c>
      <c r="R202" s="14" t="str">
        <f t="shared" si="598"/>
        <v xml:space="preserve"> </v>
      </c>
      <c r="S202" s="14" t="str">
        <f t="shared" si="599"/>
        <v xml:space="preserve"> </v>
      </c>
      <c r="T202" s="14" t="str">
        <f t="shared" si="600"/>
        <v xml:space="preserve"> </v>
      </c>
      <c r="U202" s="27" t="str">
        <f t="shared" si="811"/>
        <v xml:space="preserve"> </v>
      </c>
      <c r="V202" s="14" t="str">
        <f t="shared" si="601"/>
        <v xml:space="preserve"> </v>
      </c>
      <c r="W202" s="14" t="str">
        <f t="shared" si="602"/>
        <v xml:space="preserve"> </v>
      </c>
      <c r="X202" s="14" t="str">
        <f t="shared" si="603"/>
        <v xml:space="preserve"> </v>
      </c>
      <c r="Y202" s="14" t="str">
        <f t="shared" si="604"/>
        <v xml:space="preserve"> </v>
      </c>
      <c r="Z202" s="14" t="str">
        <f t="shared" si="605"/>
        <v xml:space="preserve"> </v>
      </c>
      <c r="AA202" s="27" t="str">
        <f t="shared" si="811"/>
        <v xml:space="preserve"> </v>
      </c>
      <c r="AB202" s="14" t="str">
        <f t="shared" si="606"/>
        <v xml:space="preserve"> </v>
      </c>
      <c r="AC202" s="14" t="str">
        <f t="shared" si="607"/>
        <v xml:space="preserve"> </v>
      </c>
      <c r="AD202" s="14" t="str">
        <f t="shared" si="608"/>
        <v xml:space="preserve"> </v>
      </c>
      <c r="AE202" s="14" t="str">
        <f t="shared" si="609"/>
        <v xml:space="preserve"> </v>
      </c>
      <c r="AF202" s="14" t="str">
        <f t="shared" si="610"/>
        <v xml:space="preserve"> </v>
      </c>
      <c r="AG202" s="27" t="str">
        <f t="shared" si="811"/>
        <v xml:space="preserve"> </v>
      </c>
      <c r="AH202" s="14" t="str">
        <f t="shared" si="611"/>
        <v xml:space="preserve"> </v>
      </c>
      <c r="AI202" s="14" t="str">
        <f t="shared" si="612"/>
        <v xml:space="preserve"> </v>
      </c>
      <c r="AJ202" s="14" t="str">
        <f t="shared" si="613"/>
        <v xml:space="preserve"> </v>
      </c>
      <c r="AK202" s="14" t="str">
        <f t="shared" si="614"/>
        <v xml:space="preserve"> </v>
      </c>
      <c r="AL202" s="14" t="str">
        <f t="shared" si="615"/>
        <v xml:space="preserve"> </v>
      </c>
      <c r="AM202" s="27" t="str">
        <f t="shared" si="811"/>
        <v xml:space="preserve"> </v>
      </c>
      <c r="AN202" s="14" t="str">
        <f t="shared" si="616"/>
        <v xml:space="preserve"> </v>
      </c>
      <c r="AO202" s="14" t="str">
        <f t="shared" si="617"/>
        <v xml:space="preserve"> </v>
      </c>
      <c r="AP202" s="14" t="str">
        <f t="shared" si="618"/>
        <v xml:space="preserve"> </v>
      </c>
      <c r="AQ202" s="14" t="str">
        <f t="shared" si="619"/>
        <v xml:space="preserve"> </v>
      </c>
      <c r="AR202" s="14" t="str">
        <f t="shared" si="620"/>
        <v xml:space="preserve"> </v>
      </c>
      <c r="AS202" s="27" t="str">
        <f t="shared" si="811"/>
        <v xml:space="preserve"> </v>
      </c>
      <c r="AT202" s="14" t="str">
        <f t="shared" si="621"/>
        <v xml:space="preserve"> </v>
      </c>
      <c r="AU202" s="14" t="str">
        <f t="shared" si="622"/>
        <v xml:space="preserve"> </v>
      </c>
      <c r="AV202" s="14" t="str">
        <f t="shared" si="623"/>
        <v xml:space="preserve"> </v>
      </c>
      <c r="AW202" s="14" t="str">
        <f t="shared" si="624"/>
        <v xml:space="preserve"> </v>
      </c>
      <c r="AX202" s="14" t="str">
        <f t="shared" si="625"/>
        <v xml:space="preserve"> </v>
      </c>
      <c r="AY202" s="27" t="str">
        <f t="shared" si="811"/>
        <v xml:space="preserve"> </v>
      </c>
      <c r="AZ202" s="14" t="str">
        <f t="shared" si="626"/>
        <v xml:space="preserve"> </v>
      </c>
      <c r="BA202" s="14" t="str">
        <f t="shared" si="627"/>
        <v xml:space="preserve"> </v>
      </c>
      <c r="BB202" s="14" t="str">
        <f t="shared" si="628"/>
        <v xml:space="preserve"> </v>
      </c>
      <c r="BC202" s="14" t="str">
        <f t="shared" si="629"/>
        <v xml:space="preserve"> </v>
      </c>
      <c r="BD202" s="14" t="str">
        <f t="shared" si="630"/>
        <v xml:space="preserve"> </v>
      </c>
      <c r="BE202" s="27" t="str">
        <f t="shared" si="811"/>
        <v xml:space="preserve"> </v>
      </c>
      <c r="BF202" s="14" t="str">
        <f t="shared" si="631"/>
        <v xml:space="preserve"> </v>
      </c>
      <c r="BG202" s="14" t="str">
        <f t="shared" si="632"/>
        <v xml:space="preserve"> </v>
      </c>
      <c r="BH202" s="14" t="str">
        <f t="shared" si="633"/>
        <v xml:space="preserve"> </v>
      </c>
      <c r="BI202" s="14" t="str">
        <f t="shared" si="634"/>
        <v xml:space="preserve"> </v>
      </c>
      <c r="BJ202" s="14" t="str">
        <f t="shared" si="635"/>
        <v xml:space="preserve"> </v>
      </c>
      <c r="BK202" s="27" t="str">
        <f t="shared" si="811"/>
        <v xml:space="preserve"> </v>
      </c>
      <c r="BL202" s="14" t="str">
        <f t="shared" si="636"/>
        <v xml:space="preserve"> </v>
      </c>
      <c r="BM202" s="14" t="str">
        <f t="shared" si="637"/>
        <v xml:space="preserve"> </v>
      </c>
      <c r="BN202" s="14" t="str">
        <f t="shared" si="638"/>
        <v xml:space="preserve"> </v>
      </c>
      <c r="BO202" s="14" t="str">
        <f t="shared" si="639"/>
        <v xml:space="preserve"> </v>
      </c>
      <c r="BP202" s="14" t="str">
        <f t="shared" si="640"/>
        <v xml:space="preserve"> </v>
      </c>
      <c r="BQ202" s="27" t="str">
        <f t="shared" si="811"/>
        <v xml:space="preserve"> </v>
      </c>
      <c r="BR202" s="14" t="str">
        <f t="shared" si="641"/>
        <v xml:space="preserve"> </v>
      </c>
      <c r="BS202" s="14" t="str">
        <f t="shared" si="642"/>
        <v xml:space="preserve"> </v>
      </c>
      <c r="BT202" s="14" t="str">
        <f t="shared" si="643"/>
        <v xml:space="preserve"> </v>
      </c>
      <c r="BU202" s="14" t="str">
        <f t="shared" si="644"/>
        <v xml:space="preserve"> </v>
      </c>
      <c r="BV202" s="14" t="str">
        <f t="shared" si="645"/>
        <v xml:space="preserve"> </v>
      </c>
      <c r="BW202" s="27" t="str">
        <f t="shared" si="811"/>
        <v xml:space="preserve"> </v>
      </c>
      <c r="BX202" s="14" t="str">
        <f t="shared" si="646"/>
        <v xml:space="preserve"> </v>
      </c>
      <c r="BY202" s="14" t="str">
        <f t="shared" si="647"/>
        <v xml:space="preserve"> </v>
      </c>
      <c r="BZ202" s="14" t="str">
        <f t="shared" si="648"/>
        <v xml:space="preserve"> </v>
      </c>
      <c r="CA202" s="14" t="str">
        <f t="shared" si="649"/>
        <v xml:space="preserve"> </v>
      </c>
      <c r="CB202" s="14" t="str">
        <f t="shared" si="650"/>
        <v xml:space="preserve"> </v>
      </c>
      <c r="CC202" s="27" t="str">
        <f t="shared" si="812"/>
        <v xml:space="preserve"> </v>
      </c>
      <c r="CD202" s="14" t="str">
        <f t="shared" si="652"/>
        <v xml:space="preserve"> </v>
      </c>
      <c r="CE202" s="14" t="str">
        <f t="shared" si="653"/>
        <v xml:space="preserve"> </v>
      </c>
      <c r="CF202" s="14" t="str">
        <f t="shared" si="654"/>
        <v xml:space="preserve"> </v>
      </c>
      <c r="CG202" s="14" t="str">
        <f t="shared" si="655"/>
        <v xml:space="preserve"> </v>
      </c>
      <c r="CH202" s="14" t="str">
        <f t="shared" si="656"/>
        <v xml:space="preserve"> </v>
      </c>
      <c r="CI202" s="27" t="str">
        <f t="shared" si="812"/>
        <v xml:space="preserve"> </v>
      </c>
      <c r="CJ202" s="14" t="str">
        <f t="shared" si="657"/>
        <v xml:space="preserve"> </v>
      </c>
      <c r="CK202" s="14" t="str">
        <f t="shared" si="658"/>
        <v xml:space="preserve"> </v>
      </c>
      <c r="CL202" s="14" t="str">
        <f t="shared" si="659"/>
        <v xml:space="preserve"> </v>
      </c>
      <c r="CM202" s="14" t="str">
        <f t="shared" si="660"/>
        <v xml:space="preserve"> </v>
      </c>
      <c r="CN202" s="14" t="str">
        <f t="shared" si="661"/>
        <v xml:space="preserve"> </v>
      </c>
      <c r="CO202" s="27" t="str">
        <f t="shared" si="812"/>
        <v xml:space="preserve"> </v>
      </c>
      <c r="CP202" s="14" t="str">
        <f t="shared" si="662"/>
        <v xml:space="preserve"> </v>
      </c>
      <c r="CQ202" s="14" t="str">
        <f t="shared" si="663"/>
        <v xml:space="preserve"> </v>
      </c>
      <c r="CR202" s="14" t="str">
        <f t="shared" si="664"/>
        <v xml:space="preserve"> </v>
      </c>
      <c r="CS202" s="14" t="str">
        <f t="shared" si="665"/>
        <v xml:space="preserve"> </v>
      </c>
      <c r="CT202" s="14" t="str">
        <f t="shared" si="666"/>
        <v xml:space="preserve"> </v>
      </c>
      <c r="CU202" s="27" t="str">
        <f t="shared" si="812"/>
        <v xml:space="preserve"> </v>
      </c>
      <c r="CV202" s="14" t="str">
        <f t="shared" si="667"/>
        <v xml:space="preserve"> </v>
      </c>
      <c r="CW202" s="14" t="str">
        <f t="shared" si="668"/>
        <v xml:space="preserve"> </v>
      </c>
      <c r="CX202" s="14" t="str">
        <f t="shared" si="669"/>
        <v xml:space="preserve"> </v>
      </c>
      <c r="CY202" s="14" t="str">
        <f t="shared" si="670"/>
        <v xml:space="preserve"> </v>
      </c>
      <c r="CZ202" s="14" t="str">
        <f t="shared" si="671"/>
        <v xml:space="preserve"> </v>
      </c>
      <c r="DA202" s="27" t="str">
        <f t="shared" si="812"/>
        <v xml:space="preserve"> </v>
      </c>
      <c r="DB202" s="14" t="str">
        <f t="shared" si="672"/>
        <v xml:space="preserve"> </v>
      </c>
      <c r="DC202" s="14" t="str">
        <f t="shared" si="673"/>
        <v xml:space="preserve"> </v>
      </c>
      <c r="DD202" s="14" t="str">
        <f t="shared" si="674"/>
        <v xml:space="preserve"> </v>
      </c>
      <c r="DE202" s="14" t="str">
        <f t="shared" si="675"/>
        <v xml:space="preserve"> </v>
      </c>
      <c r="DF202" s="14" t="str">
        <f t="shared" si="676"/>
        <v xml:space="preserve"> </v>
      </c>
      <c r="DG202" s="27" t="str">
        <f t="shared" si="812"/>
        <v xml:space="preserve"> </v>
      </c>
      <c r="DH202" s="14" t="str">
        <f t="shared" si="677"/>
        <v xml:space="preserve"> </v>
      </c>
      <c r="DI202" s="14" t="str">
        <f t="shared" si="678"/>
        <v xml:space="preserve"> </v>
      </c>
      <c r="DJ202" s="14" t="str">
        <f t="shared" si="679"/>
        <v xml:space="preserve"> </v>
      </c>
      <c r="DK202" s="14" t="str">
        <f t="shared" si="680"/>
        <v xml:space="preserve"> </v>
      </c>
      <c r="DL202" s="14" t="str">
        <f t="shared" si="681"/>
        <v xml:space="preserve"> </v>
      </c>
      <c r="DM202" s="27" t="str">
        <f t="shared" si="812"/>
        <v xml:space="preserve"> </v>
      </c>
      <c r="DN202" s="14" t="str">
        <f t="shared" si="682"/>
        <v xml:space="preserve"> </v>
      </c>
      <c r="DO202" s="14" t="str">
        <f t="shared" si="683"/>
        <v xml:space="preserve"> </v>
      </c>
      <c r="DP202" s="14" t="str">
        <f t="shared" si="684"/>
        <v xml:space="preserve"> </v>
      </c>
      <c r="DQ202" s="14" t="str">
        <f t="shared" si="685"/>
        <v xml:space="preserve"> </v>
      </c>
      <c r="DR202" s="14" t="str">
        <f t="shared" si="686"/>
        <v xml:space="preserve"> </v>
      </c>
      <c r="DS202" s="27" t="str">
        <f t="shared" si="812"/>
        <v xml:space="preserve"> </v>
      </c>
      <c r="DT202" s="14" t="str">
        <f t="shared" si="687"/>
        <v xml:space="preserve"> </v>
      </c>
      <c r="DU202" s="14" t="str">
        <f t="shared" si="688"/>
        <v xml:space="preserve"> </v>
      </c>
      <c r="DV202" s="14" t="str">
        <f t="shared" si="689"/>
        <v xml:space="preserve"> </v>
      </c>
      <c r="DW202" s="14" t="str">
        <f t="shared" si="690"/>
        <v xml:space="preserve"> </v>
      </c>
      <c r="DX202" s="14" t="str">
        <f t="shared" si="691"/>
        <v xml:space="preserve"> </v>
      </c>
      <c r="DY202" s="27" t="str">
        <f t="shared" si="812"/>
        <v xml:space="preserve"> </v>
      </c>
      <c r="DZ202" s="14" t="str">
        <f t="shared" si="692"/>
        <v xml:space="preserve"> </v>
      </c>
      <c r="EA202" s="14" t="str">
        <f t="shared" si="693"/>
        <v xml:space="preserve"> </v>
      </c>
      <c r="EB202" s="14" t="str">
        <f t="shared" si="694"/>
        <v xml:space="preserve"> </v>
      </c>
      <c r="EC202" s="14" t="str">
        <f t="shared" si="695"/>
        <v xml:space="preserve"> </v>
      </c>
      <c r="ED202" s="14" t="str">
        <f t="shared" si="696"/>
        <v xml:space="preserve"> </v>
      </c>
      <c r="EE202" s="27" t="str">
        <f t="shared" si="812"/>
        <v xml:space="preserve"> </v>
      </c>
      <c r="EF202" s="14" t="str">
        <f t="shared" si="697"/>
        <v xml:space="preserve"> </v>
      </c>
      <c r="EG202" s="14" t="str">
        <f t="shared" si="698"/>
        <v xml:space="preserve"> </v>
      </c>
      <c r="EH202" s="14" t="str">
        <f t="shared" si="699"/>
        <v xml:space="preserve"> </v>
      </c>
      <c r="EI202" s="14" t="str">
        <f t="shared" si="700"/>
        <v xml:space="preserve"> </v>
      </c>
      <c r="EJ202" s="14" t="str">
        <f t="shared" si="701"/>
        <v xml:space="preserve"> </v>
      </c>
      <c r="EK202" s="27" t="str">
        <f t="shared" si="812"/>
        <v xml:space="preserve"> </v>
      </c>
      <c r="EL202" s="14" t="str">
        <f t="shared" si="702"/>
        <v xml:space="preserve"> </v>
      </c>
      <c r="EM202" s="14" t="str">
        <f t="shared" si="703"/>
        <v xml:space="preserve"> </v>
      </c>
      <c r="EN202" s="14" t="str">
        <f t="shared" si="704"/>
        <v xml:space="preserve"> </v>
      </c>
      <c r="EO202" s="14" t="str">
        <f t="shared" si="705"/>
        <v xml:space="preserve"> </v>
      </c>
      <c r="EP202" s="14" t="str">
        <f t="shared" si="706"/>
        <v xml:space="preserve"> </v>
      </c>
      <c r="EQ202" s="27" t="str">
        <f t="shared" si="813"/>
        <v xml:space="preserve"> </v>
      </c>
      <c r="ER202" s="14" t="str">
        <f t="shared" si="708"/>
        <v xml:space="preserve"> </v>
      </c>
      <c r="ES202" s="14" t="str">
        <f t="shared" si="709"/>
        <v xml:space="preserve"> </v>
      </c>
      <c r="ET202" s="14" t="str">
        <f t="shared" si="710"/>
        <v xml:space="preserve"> </v>
      </c>
      <c r="EU202" s="14" t="str">
        <f t="shared" si="711"/>
        <v xml:space="preserve"> </v>
      </c>
      <c r="EV202" s="14" t="str">
        <f t="shared" si="712"/>
        <v xml:space="preserve"> </v>
      </c>
      <c r="EW202" s="27" t="str">
        <f t="shared" si="813"/>
        <v xml:space="preserve"> </v>
      </c>
      <c r="EX202" s="14" t="str">
        <f t="shared" si="713"/>
        <v xml:space="preserve"> </v>
      </c>
      <c r="EY202" s="14" t="str">
        <f t="shared" si="714"/>
        <v xml:space="preserve"> </v>
      </c>
      <c r="EZ202" s="14" t="str">
        <f t="shared" si="715"/>
        <v xml:space="preserve"> </v>
      </c>
      <c r="FA202" s="14" t="str">
        <f t="shared" si="716"/>
        <v xml:space="preserve"> </v>
      </c>
      <c r="FB202" s="14" t="str">
        <f t="shared" si="717"/>
        <v xml:space="preserve"> </v>
      </c>
      <c r="FC202" s="27" t="str">
        <f t="shared" si="813"/>
        <v xml:space="preserve"> </v>
      </c>
      <c r="FD202" s="14" t="str">
        <f t="shared" si="718"/>
        <v xml:space="preserve"> </v>
      </c>
      <c r="FE202" s="14" t="str">
        <f t="shared" si="719"/>
        <v xml:space="preserve"> </v>
      </c>
      <c r="FF202" s="14" t="str">
        <f t="shared" si="720"/>
        <v xml:space="preserve"> </v>
      </c>
      <c r="FG202" s="14" t="str">
        <f t="shared" si="721"/>
        <v xml:space="preserve"> </v>
      </c>
      <c r="FH202" s="14" t="str">
        <f t="shared" si="722"/>
        <v xml:space="preserve"> </v>
      </c>
      <c r="FI202" s="27" t="str">
        <f t="shared" si="813"/>
        <v xml:space="preserve"> </v>
      </c>
      <c r="FJ202" s="14" t="str">
        <f t="shared" si="723"/>
        <v xml:space="preserve"> </v>
      </c>
      <c r="FK202" s="14" t="str">
        <f t="shared" si="724"/>
        <v xml:space="preserve"> </v>
      </c>
      <c r="FL202" s="14" t="str">
        <f t="shared" si="725"/>
        <v xml:space="preserve"> </v>
      </c>
      <c r="FM202" s="14" t="str">
        <f t="shared" si="726"/>
        <v xml:space="preserve"> </v>
      </c>
      <c r="FN202" s="14" t="str">
        <f t="shared" si="727"/>
        <v xml:space="preserve"> </v>
      </c>
      <c r="FO202" s="27" t="str">
        <f t="shared" si="813"/>
        <v xml:space="preserve"> </v>
      </c>
      <c r="FP202" s="14" t="str">
        <f t="shared" si="728"/>
        <v xml:space="preserve"> </v>
      </c>
      <c r="FQ202" s="14" t="str">
        <f t="shared" si="729"/>
        <v xml:space="preserve"> </v>
      </c>
      <c r="FR202" s="14" t="str">
        <f t="shared" si="730"/>
        <v xml:space="preserve"> </v>
      </c>
      <c r="FS202" s="14" t="str">
        <f t="shared" si="731"/>
        <v xml:space="preserve"> </v>
      </c>
      <c r="FT202" s="14" t="str">
        <f t="shared" si="732"/>
        <v xml:space="preserve"> </v>
      </c>
      <c r="FU202" s="27" t="str">
        <f t="shared" si="813"/>
        <v xml:space="preserve"> </v>
      </c>
      <c r="FV202" s="14" t="str">
        <f t="shared" si="733"/>
        <v xml:space="preserve"> </v>
      </c>
      <c r="FW202" s="14" t="str">
        <f t="shared" si="734"/>
        <v xml:space="preserve"> </v>
      </c>
      <c r="FX202" s="14" t="str">
        <f t="shared" si="735"/>
        <v xml:space="preserve"> </v>
      </c>
      <c r="FY202" s="14" t="str">
        <f t="shared" si="736"/>
        <v xml:space="preserve"> </v>
      </c>
      <c r="FZ202" s="14" t="str">
        <f t="shared" si="737"/>
        <v xml:space="preserve"> </v>
      </c>
      <c r="GA202" s="27" t="str">
        <f t="shared" si="813"/>
        <v xml:space="preserve"> </v>
      </c>
      <c r="GB202" s="14" t="str">
        <f t="shared" si="738"/>
        <v xml:space="preserve"> </v>
      </c>
      <c r="GC202" s="14" t="str">
        <f t="shared" si="739"/>
        <v xml:space="preserve"> </v>
      </c>
      <c r="GD202" s="14" t="str">
        <f t="shared" si="740"/>
        <v xml:space="preserve"> </v>
      </c>
      <c r="GE202" s="14" t="str">
        <f t="shared" si="741"/>
        <v xml:space="preserve"> </v>
      </c>
      <c r="GF202" s="14" t="str">
        <f t="shared" si="742"/>
        <v xml:space="preserve"> </v>
      </c>
      <c r="GG202" s="27" t="str">
        <f t="shared" si="813"/>
        <v xml:space="preserve"> </v>
      </c>
      <c r="GH202" s="14" t="str">
        <f t="shared" si="743"/>
        <v xml:space="preserve"> </v>
      </c>
      <c r="GI202" s="14" t="str">
        <f t="shared" si="744"/>
        <v xml:space="preserve"> </v>
      </c>
      <c r="GJ202" s="14" t="str">
        <f t="shared" si="745"/>
        <v xml:space="preserve"> </v>
      </c>
      <c r="GK202" s="14" t="str">
        <f t="shared" si="746"/>
        <v xml:space="preserve"> </v>
      </c>
      <c r="GL202" s="14" t="str">
        <f t="shared" si="747"/>
        <v xml:space="preserve"> </v>
      </c>
      <c r="GM202" s="27" t="str">
        <f t="shared" si="813"/>
        <v xml:space="preserve"> </v>
      </c>
      <c r="GN202" s="14" t="str">
        <f t="shared" si="748"/>
        <v xml:space="preserve"> </v>
      </c>
      <c r="GO202" s="14" t="str">
        <f t="shared" si="749"/>
        <v xml:space="preserve"> </v>
      </c>
      <c r="GP202" s="14" t="str">
        <f t="shared" si="750"/>
        <v xml:space="preserve"> </v>
      </c>
      <c r="GQ202" s="14" t="str">
        <f t="shared" si="751"/>
        <v xml:space="preserve"> </v>
      </c>
      <c r="GR202" s="14" t="str">
        <f t="shared" si="752"/>
        <v xml:space="preserve"> </v>
      </c>
      <c r="GS202" s="27" t="str">
        <f t="shared" si="813"/>
        <v xml:space="preserve"> </v>
      </c>
      <c r="GT202" s="14" t="str">
        <f t="shared" si="753"/>
        <v xml:space="preserve"> </v>
      </c>
      <c r="GU202" s="14" t="str">
        <f t="shared" si="754"/>
        <v xml:space="preserve"> </v>
      </c>
      <c r="GV202" s="14" t="str">
        <f t="shared" si="755"/>
        <v xml:space="preserve"> </v>
      </c>
      <c r="GW202" s="14" t="str">
        <f t="shared" si="756"/>
        <v xml:space="preserve"> </v>
      </c>
      <c r="GX202" s="14" t="str">
        <f t="shared" si="757"/>
        <v xml:space="preserve"> </v>
      </c>
      <c r="GY202" s="27" t="str">
        <f t="shared" si="813"/>
        <v xml:space="preserve"> </v>
      </c>
      <c r="GZ202" s="14" t="str">
        <f t="shared" si="758"/>
        <v xml:space="preserve"> </v>
      </c>
      <c r="HA202" s="14" t="str">
        <f t="shared" si="759"/>
        <v xml:space="preserve"> </v>
      </c>
      <c r="HB202" s="14" t="str">
        <f t="shared" si="760"/>
        <v xml:space="preserve"> </v>
      </c>
      <c r="HC202" s="14" t="str">
        <f t="shared" si="761"/>
        <v xml:space="preserve"> </v>
      </c>
      <c r="HD202" s="14" t="str">
        <f t="shared" si="762"/>
        <v xml:space="preserve"> </v>
      </c>
      <c r="HE202" s="27" t="str">
        <f t="shared" si="814"/>
        <v xml:space="preserve"> </v>
      </c>
      <c r="HF202" s="14" t="str">
        <f t="shared" si="764"/>
        <v xml:space="preserve"> </v>
      </c>
      <c r="HG202" s="14" t="str">
        <f t="shared" si="765"/>
        <v xml:space="preserve"> </v>
      </c>
      <c r="HH202" s="14" t="str">
        <f t="shared" si="766"/>
        <v xml:space="preserve"> </v>
      </c>
      <c r="HI202" s="14" t="str">
        <f t="shared" si="767"/>
        <v xml:space="preserve"> </v>
      </c>
      <c r="HJ202" s="14" t="str">
        <f t="shared" si="768"/>
        <v xml:space="preserve"> </v>
      </c>
      <c r="HK202" s="27" t="str">
        <f t="shared" si="814"/>
        <v xml:space="preserve"> </v>
      </c>
      <c r="HL202" s="14" t="str">
        <f t="shared" si="769"/>
        <v xml:space="preserve"> </v>
      </c>
      <c r="HM202" s="14" t="str">
        <f t="shared" si="770"/>
        <v xml:space="preserve"> </v>
      </c>
      <c r="HN202" s="14" t="str">
        <f t="shared" si="771"/>
        <v xml:space="preserve"> </v>
      </c>
      <c r="HO202" s="14" t="str">
        <f t="shared" si="772"/>
        <v xml:space="preserve"> </v>
      </c>
      <c r="HP202" s="14" t="str">
        <f t="shared" si="773"/>
        <v xml:space="preserve"> </v>
      </c>
      <c r="HQ202" s="27" t="str">
        <f t="shared" si="814"/>
        <v xml:space="preserve"> </v>
      </c>
    </row>
    <row r="203" spans="1:225" ht="15.75" customHeight="1">
      <c r="A203" s="7">
        <f t="shared" ref="A203:C203" si="833">A95</f>
        <v>0</v>
      </c>
      <c r="B203" s="7">
        <f t="shared" si="833"/>
        <v>0</v>
      </c>
      <c r="C203" s="7" t="str">
        <f t="shared" si="833"/>
        <v>business</v>
      </c>
      <c r="D203" s="14" t="str">
        <f t="shared" si="775"/>
        <v xml:space="preserve"> </v>
      </c>
      <c r="E203" s="14" t="str">
        <f t="shared" si="776"/>
        <v xml:space="preserve"> </v>
      </c>
      <c r="F203" s="14" t="str">
        <f t="shared" si="777"/>
        <v xml:space="preserve"> </v>
      </c>
      <c r="G203" s="14" t="str">
        <f t="shared" si="778"/>
        <v xml:space="preserve"> </v>
      </c>
      <c r="H203" s="14" t="str">
        <f t="shared" si="779"/>
        <v xml:space="preserve"> </v>
      </c>
      <c r="I203" s="27" t="str">
        <f t="shared" ref="I203" si="834">IF(I95="",I204,$C203&amp;"("&amp;I95&amp;"),"&amp;I204)</f>
        <v xml:space="preserve"> </v>
      </c>
      <c r="J203" s="14" t="str">
        <f t="shared" si="590"/>
        <v xml:space="preserve"> </v>
      </c>
      <c r="K203" s="14" t="str">
        <f t="shared" si="591"/>
        <v xml:space="preserve"> </v>
      </c>
      <c r="L203" s="14" t="str">
        <f t="shared" si="592"/>
        <v xml:space="preserve"> </v>
      </c>
      <c r="M203" s="14" t="str">
        <f t="shared" si="593"/>
        <v xml:space="preserve"> </v>
      </c>
      <c r="N203" s="14" t="str">
        <f t="shared" si="594"/>
        <v xml:space="preserve"> </v>
      </c>
      <c r="O203" s="27" t="str">
        <f t="shared" si="811"/>
        <v xml:space="preserve"> </v>
      </c>
      <c r="P203" s="14" t="str">
        <f t="shared" si="596"/>
        <v xml:space="preserve"> </v>
      </c>
      <c r="Q203" s="14" t="str">
        <f t="shared" si="597"/>
        <v xml:space="preserve"> </v>
      </c>
      <c r="R203" s="14" t="str">
        <f t="shared" si="598"/>
        <v xml:space="preserve"> </v>
      </c>
      <c r="S203" s="14" t="str">
        <f t="shared" si="599"/>
        <v xml:space="preserve"> </v>
      </c>
      <c r="T203" s="14" t="str">
        <f t="shared" si="600"/>
        <v xml:space="preserve"> </v>
      </c>
      <c r="U203" s="27" t="str">
        <f t="shared" si="811"/>
        <v xml:space="preserve"> </v>
      </c>
      <c r="V203" s="14" t="str">
        <f t="shared" si="601"/>
        <v xml:space="preserve"> </v>
      </c>
      <c r="W203" s="14" t="str">
        <f t="shared" si="602"/>
        <v xml:space="preserve"> </v>
      </c>
      <c r="X203" s="14" t="str">
        <f t="shared" si="603"/>
        <v xml:space="preserve"> </v>
      </c>
      <c r="Y203" s="14" t="str">
        <f t="shared" si="604"/>
        <v xml:space="preserve"> </v>
      </c>
      <c r="Z203" s="14" t="str">
        <f t="shared" si="605"/>
        <v xml:space="preserve"> </v>
      </c>
      <c r="AA203" s="27" t="str">
        <f t="shared" si="811"/>
        <v xml:space="preserve"> </v>
      </c>
      <c r="AB203" s="14" t="str">
        <f t="shared" si="606"/>
        <v xml:space="preserve"> </v>
      </c>
      <c r="AC203" s="14" t="str">
        <f t="shared" si="607"/>
        <v xml:space="preserve"> </v>
      </c>
      <c r="AD203" s="14" t="str">
        <f t="shared" si="608"/>
        <v xml:space="preserve"> </v>
      </c>
      <c r="AE203" s="14" t="str">
        <f t="shared" si="609"/>
        <v xml:space="preserve"> </v>
      </c>
      <c r="AF203" s="14" t="str">
        <f t="shared" si="610"/>
        <v xml:space="preserve"> </v>
      </c>
      <c r="AG203" s="27" t="str">
        <f t="shared" si="811"/>
        <v xml:space="preserve"> </v>
      </c>
      <c r="AH203" s="14" t="str">
        <f t="shared" si="611"/>
        <v xml:space="preserve"> </v>
      </c>
      <c r="AI203" s="14" t="str">
        <f t="shared" si="612"/>
        <v xml:space="preserve"> </v>
      </c>
      <c r="AJ203" s="14" t="str">
        <f t="shared" si="613"/>
        <v xml:space="preserve"> </v>
      </c>
      <c r="AK203" s="14" t="str">
        <f t="shared" si="614"/>
        <v xml:space="preserve"> </v>
      </c>
      <c r="AL203" s="14" t="str">
        <f t="shared" si="615"/>
        <v xml:space="preserve"> </v>
      </c>
      <c r="AM203" s="27" t="str">
        <f t="shared" si="811"/>
        <v xml:space="preserve"> </v>
      </c>
      <c r="AN203" s="14" t="str">
        <f t="shared" si="616"/>
        <v xml:space="preserve"> </v>
      </c>
      <c r="AO203" s="14" t="str">
        <f t="shared" si="617"/>
        <v xml:space="preserve"> </v>
      </c>
      <c r="AP203" s="14" t="str">
        <f t="shared" si="618"/>
        <v xml:space="preserve"> </v>
      </c>
      <c r="AQ203" s="14" t="str">
        <f t="shared" si="619"/>
        <v xml:space="preserve"> </v>
      </c>
      <c r="AR203" s="14" t="str">
        <f t="shared" si="620"/>
        <v xml:space="preserve"> </v>
      </c>
      <c r="AS203" s="27" t="str">
        <f t="shared" si="811"/>
        <v xml:space="preserve"> </v>
      </c>
      <c r="AT203" s="14" t="str">
        <f t="shared" si="621"/>
        <v xml:space="preserve"> </v>
      </c>
      <c r="AU203" s="14" t="str">
        <f t="shared" si="622"/>
        <v xml:space="preserve"> </v>
      </c>
      <c r="AV203" s="14" t="str">
        <f t="shared" si="623"/>
        <v xml:space="preserve"> </v>
      </c>
      <c r="AW203" s="14" t="str">
        <f t="shared" si="624"/>
        <v xml:space="preserve"> </v>
      </c>
      <c r="AX203" s="14" t="str">
        <f t="shared" si="625"/>
        <v xml:space="preserve"> </v>
      </c>
      <c r="AY203" s="27" t="str">
        <f t="shared" si="811"/>
        <v xml:space="preserve"> </v>
      </c>
      <c r="AZ203" s="14" t="str">
        <f t="shared" si="626"/>
        <v xml:space="preserve"> </v>
      </c>
      <c r="BA203" s="14" t="str">
        <f t="shared" si="627"/>
        <v xml:space="preserve"> </v>
      </c>
      <c r="BB203" s="14" t="str">
        <f t="shared" si="628"/>
        <v xml:space="preserve"> </v>
      </c>
      <c r="BC203" s="14" t="str">
        <f t="shared" si="629"/>
        <v xml:space="preserve"> </v>
      </c>
      <c r="BD203" s="14" t="str">
        <f t="shared" si="630"/>
        <v xml:space="preserve"> </v>
      </c>
      <c r="BE203" s="27" t="str">
        <f t="shared" si="811"/>
        <v xml:space="preserve"> </v>
      </c>
      <c r="BF203" s="14" t="str">
        <f t="shared" si="631"/>
        <v xml:space="preserve"> </v>
      </c>
      <c r="BG203" s="14" t="str">
        <f t="shared" si="632"/>
        <v xml:space="preserve"> </v>
      </c>
      <c r="BH203" s="14" t="str">
        <f t="shared" si="633"/>
        <v xml:space="preserve"> </v>
      </c>
      <c r="BI203" s="14" t="str">
        <f t="shared" si="634"/>
        <v xml:space="preserve"> </v>
      </c>
      <c r="BJ203" s="14" t="str">
        <f t="shared" si="635"/>
        <v xml:space="preserve"> </v>
      </c>
      <c r="BK203" s="27" t="str">
        <f t="shared" si="811"/>
        <v xml:space="preserve"> </v>
      </c>
      <c r="BL203" s="14" t="str">
        <f t="shared" si="636"/>
        <v xml:space="preserve"> </v>
      </c>
      <c r="BM203" s="14" t="str">
        <f t="shared" si="637"/>
        <v xml:space="preserve"> </v>
      </c>
      <c r="BN203" s="14" t="str">
        <f t="shared" si="638"/>
        <v xml:space="preserve"> </v>
      </c>
      <c r="BO203" s="14" t="str">
        <f t="shared" si="639"/>
        <v xml:space="preserve"> </v>
      </c>
      <c r="BP203" s="14" t="str">
        <f t="shared" si="640"/>
        <v xml:space="preserve"> </v>
      </c>
      <c r="BQ203" s="27" t="str">
        <f t="shared" si="811"/>
        <v xml:space="preserve"> </v>
      </c>
      <c r="BR203" s="14" t="str">
        <f t="shared" si="641"/>
        <v xml:space="preserve"> </v>
      </c>
      <c r="BS203" s="14" t="str">
        <f t="shared" si="642"/>
        <v xml:space="preserve"> </v>
      </c>
      <c r="BT203" s="14" t="str">
        <f t="shared" si="643"/>
        <v xml:space="preserve"> </v>
      </c>
      <c r="BU203" s="14" t="str">
        <f t="shared" si="644"/>
        <v xml:space="preserve"> </v>
      </c>
      <c r="BV203" s="14" t="str">
        <f t="shared" si="645"/>
        <v xml:space="preserve"> </v>
      </c>
      <c r="BW203" s="27" t="str">
        <f t="shared" si="811"/>
        <v xml:space="preserve"> </v>
      </c>
      <c r="BX203" s="14" t="str">
        <f t="shared" si="646"/>
        <v xml:space="preserve"> </v>
      </c>
      <c r="BY203" s="14" t="str">
        <f t="shared" si="647"/>
        <v xml:space="preserve"> </v>
      </c>
      <c r="BZ203" s="14" t="str">
        <f t="shared" si="648"/>
        <v xml:space="preserve"> </v>
      </c>
      <c r="CA203" s="14" t="str">
        <f t="shared" si="649"/>
        <v xml:space="preserve"> </v>
      </c>
      <c r="CB203" s="14" t="str">
        <f t="shared" si="650"/>
        <v xml:space="preserve"> </v>
      </c>
      <c r="CC203" s="27" t="str">
        <f t="shared" si="812"/>
        <v xml:space="preserve"> </v>
      </c>
      <c r="CD203" s="14" t="str">
        <f t="shared" si="652"/>
        <v xml:space="preserve"> </v>
      </c>
      <c r="CE203" s="14" t="str">
        <f t="shared" si="653"/>
        <v xml:space="preserve"> </v>
      </c>
      <c r="CF203" s="14" t="str">
        <f t="shared" si="654"/>
        <v xml:space="preserve"> </v>
      </c>
      <c r="CG203" s="14" t="str">
        <f t="shared" si="655"/>
        <v xml:space="preserve"> </v>
      </c>
      <c r="CH203" s="14" t="str">
        <f t="shared" si="656"/>
        <v xml:space="preserve"> </v>
      </c>
      <c r="CI203" s="27" t="str">
        <f t="shared" si="812"/>
        <v xml:space="preserve"> </v>
      </c>
      <c r="CJ203" s="14" t="str">
        <f t="shared" si="657"/>
        <v xml:space="preserve"> </v>
      </c>
      <c r="CK203" s="14" t="str">
        <f t="shared" si="658"/>
        <v xml:space="preserve"> </v>
      </c>
      <c r="CL203" s="14" t="str">
        <f t="shared" si="659"/>
        <v xml:space="preserve"> </v>
      </c>
      <c r="CM203" s="14" t="str">
        <f t="shared" si="660"/>
        <v xml:space="preserve"> </v>
      </c>
      <c r="CN203" s="14" t="str">
        <f t="shared" si="661"/>
        <v xml:space="preserve"> </v>
      </c>
      <c r="CO203" s="27" t="str">
        <f t="shared" si="812"/>
        <v xml:space="preserve"> </v>
      </c>
      <c r="CP203" s="14" t="str">
        <f t="shared" si="662"/>
        <v xml:space="preserve"> </v>
      </c>
      <c r="CQ203" s="14" t="str">
        <f t="shared" si="663"/>
        <v xml:space="preserve"> </v>
      </c>
      <c r="CR203" s="14" t="str">
        <f t="shared" si="664"/>
        <v xml:space="preserve"> </v>
      </c>
      <c r="CS203" s="14" t="str">
        <f t="shared" si="665"/>
        <v xml:space="preserve"> </v>
      </c>
      <c r="CT203" s="14" t="str">
        <f t="shared" si="666"/>
        <v xml:space="preserve"> </v>
      </c>
      <c r="CU203" s="27" t="str">
        <f t="shared" si="812"/>
        <v xml:space="preserve"> </v>
      </c>
      <c r="CV203" s="14" t="str">
        <f t="shared" si="667"/>
        <v xml:space="preserve"> </v>
      </c>
      <c r="CW203" s="14" t="str">
        <f t="shared" si="668"/>
        <v xml:space="preserve"> </v>
      </c>
      <c r="CX203" s="14" t="str">
        <f t="shared" si="669"/>
        <v xml:space="preserve"> </v>
      </c>
      <c r="CY203" s="14" t="str">
        <f t="shared" si="670"/>
        <v xml:space="preserve"> </v>
      </c>
      <c r="CZ203" s="14" t="str">
        <f t="shared" si="671"/>
        <v xml:space="preserve"> </v>
      </c>
      <c r="DA203" s="27" t="str">
        <f t="shared" si="812"/>
        <v xml:space="preserve"> </v>
      </c>
      <c r="DB203" s="14" t="str">
        <f t="shared" si="672"/>
        <v xml:space="preserve"> </v>
      </c>
      <c r="DC203" s="14" t="str">
        <f t="shared" si="673"/>
        <v xml:space="preserve"> </v>
      </c>
      <c r="DD203" s="14" t="str">
        <f t="shared" si="674"/>
        <v xml:space="preserve"> </v>
      </c>
      <c r="DE203" s="14" t="str">
        <f t="shared" si="675"/>
        <v xml:space="preserve"> </v>
      </c>
      <c r="DF203" s="14" t="str">
        <f t="shared" si="676"/>
        <v xml:space="preserve"> </v>
      </c>
      <c r="DG203" s="27" t="str">
        <f t="shared" si="812"/>
        <v xml:space="preserve"> </v>
      </c>
      <c r="DH203" s="14" t="str">
        <f t="shared" si="677"/>
        <v xml:space="preserve"> </v>
      </c>
      <c r="DI203" s="14" t="str">
        <f t="shared" si="678"/>
        <v xml:space="preserve"> </v>
      </c>
      <c r="DJ203" s="14" t="str">
        <f t="shared" si="679"/>
        <v xml:space="preserve"> </v>
      </c>
      <c r="DK203" s="14" t="str">
        <f t="shared" si="680"/>
        <v xml:space="preserve"> </v>
      </c>
      <c r="DL203" s="14" t="str">
        <f t="shared" si="681"/>
        <v xml:space="preserve"> </v>
      </c>
      <c r="DM203" s="27" t="str">
        <f t="shared" si="812"/>
        <v xml:space="preserve"> </v>
      </c>
      <c r="DN203" s="14" t="str">
        <f t="shared" si="682"/>
        <v xml:space="preserve"> </v>
      </c>
      <c r="DO203" s="14" t="str">
        <f t="shared" si="683"/>
        <v xml:space="preserve"> </v>
      </c>
      <c r="DP203" s="14" t="str">
        <f t="shared" si="684"/>
        <v xml:space="preserve"> </v>
      </c>
      <c r="DQ203" s="14" t="str">
        <f t="shared" si="685"/>
        <v xml:space="preserve"> </v>
      </c>
      <c r="DR203" s="14" t="str">
        <f t="shared" si="686"/>
        <v xml:space="preserve"> </v>
      </c>
      <c r="DS203" s="27" t="str">
        <f t="shared" si="812"/>
        <v xml:space="preserve"> </v>
      </c>
      <c r="DT203" s="14" t="str">
        <f t="shared" si="687"/>
        <v xml:space="preserve"> </v>
      </c>
      <c r="DU203" s="14" t="str">
        <f t="shared" si="688"/>
        <v xml:space="preserve"> </v>
      </c>
      <c r="DV203" s="14" t="str">
        <f t="shared" si="689"/>
        <v xml:space="preserve"> </v>
      </c>
      <c r="DW203" s="14" t="str">
        <f t="shared" si="690"/>
        <v xml:space="preserve"> </v>
      </c>
      <c r="DX203" s="14" t="str">
        <f t="shared" si="691"/>
        <v xml:space="preserve"> </v>
      </c>
      <c r="DY203" s="27" t="str">
        <f t="shared" si="812"/>
        <v xml:space="preserve"> </v>
      </c>
      <c r="DZ203" s="14" t="str">
        <f t="shared" si="692"/>
        <v xml:space="preserve"> </v>
      </c>
      <c r="EA203" s="14" t="str">
        <f t="shared" si="693"/>
        <v xml:space="preserve"> </v>
      </c>
      <c r="EB203" s="14" t="str">
        <f t="shared" si="694"/>
        <v xml:space="preserve"> </v>
      </c>
      <c r="EC203" s="14" t="str">
        <f t="shared" si="695"/>
        <v xml:space="preserve"> </v>
      </c>
      <c r="ED203" s="14" t="str">
        <f t="shared" si="696"/>
        <v xml:space="preserve"> </v>
      </c>
      <c r="EE203" s="27" t="str">
        <f t="shared" si="812"/>
        <v xml:space="preserve"> </v>
      </c>
      <c r="EF203" s="14" t="str">
        <f t="shared" si="697"/>
        <v xml:space="preserve"> </v>
      </c>
      <c r="EG203" s="14" t="str">
        <f t="shared" si="698"/>
        <v xml:space="preserve"> </v>
      </c>
      <c r="EH203" s="14" t="str">
        <f t="shared" si="699"/>
        <v xml:space="preserve"> </v>
      </c>
      <c r="EI203" s="14" t="str">
        <f t="shared" si="700"/>
        <v xml:space="preserve"> </v>
      </c>
      <c r="EJ203" s="14" t="str">
        <f t="shared" si="701"/>
        <v xml:space="preserve"> </v>
      </c>
      <c r="EK203" s="27" t="str">
        <f t="shared" si="812"/>
        <v xml:space="preserve"> </v>
      </c>
      <c r="EL203" s="14" t="str">
        <f t="shared" si="702"/>
        <v xml:space="preserve"> </v>
      </c>
      <c r="EM203" s="14" t="str">
        <f t="shared" si="703"/>
        <v xml:space="preserve"> </v>
      </c>
      <c r="EN203" s="14" t="str">
        <f t="shared" si="704"/>
        <v xml:space="preserve"> </v>
      </c>
      <c r="EO203" s="14" t="str">
        <f t="shared" si="705"/>
        <v xml:space="preserve"> </v>
      </c>
      <c r="EP203" s="14" t="str">
        <f t="shared" si="706"/>
        <v xml:space="preserve"> </v>
      </c>
      <c r="EQ203" s="27" t="str">
        <f t="shared" si="813"/>
        <v xml:space="preserve"> </v>
      </c>
      <c r="ER203" s="14" t="str">
        <f t="shared" si="708"/>
        <v xml:space="preserve"> </v>
      </c>
      <c r="ES203" s="14" t="str">
        <f t="shared" si="709"/>
        <v xml:space="preserve"> </v>
      </c>
      <c r="ET203" s="14" t="str">
        <f t="shared" si="710"/>
        <v xml:space="preserve"> </v>
      </c>
      <c r="EU203" s="14" t="str">
        <f t="shared" si="711"/>
        <v xml:space="preserve"> </v>
      </c>
      <c r="EV203" s="14" t="str">
        <f t="shared" si="712"/>
        <v xml:space="preserve"> </v>
      </c>
      <c r="EW203" s="27" t="str">
        <f t="shared" si="813"/>
        <v xml:space="preserve"> </v>
      </c>
      <c r="EX203" s="14" t="str">
        <f t="shared" si="713"/>
        <v xml:space="preserve"> </v>
      </c>
      <c r="EY203" s="14" t="str">
        <f t="shared" si="714"/>
        <v xml:space="preserve"> </v>
      </c>
      <c r="EZ203" s="14" t="str">
        <f t="shared" si="715"/>
        <v xml:space="preserve"> </v>
      </c>
      <c r="FA203" s="14" t="str">
        <f t="shared" si="716"/>
        <v xml:space="preserve"> </v>
      </c>
      <c r="FB203" s="14" t="str">
        <f t="shared" si="717"/>
        <v xml:space="preserve"> </v>
      </c>
      <c r="FC203" s="27" t="str">
        <f t="shared" si="813"/>
        <v xml:space="preserve"> </v>
      </c>
      <c r="FD203" s="14" t="str">
        <f t="shared" si="718"/>
        <v xml:space="preserve"> </v>
      </c>
      <c r="FE203" s="14" t="str">
        <f t="shared" si="719"/>
        <v xml:space="preserve"> </v>
      </c>
      <c r="FF203" s="14" t="str">
        <f t="shared" si="720"/>
        <v xml:space="preserve"> </v>
      </c>
      <c r="FG203" s="14" t="str">
        <f t="shared" si="721"/>
        <v xml:space="preserve"> </v>
      </c>
      <c r="FH203" s="14" t="str">
        <f t="shared" si="722"/>
        <v xml:space="preserve"> </v>
      </c>
      <c r="FI203" s="27" t="str">
        <f t="shared" si="813"/>
        <v xml:space="preserve"> </v>
      </c>
      <c r="FJ203" s="14" t="str">
        <f t="shared" si="723"/>
        <v xml:space="preserve"> </v>
      </c>
      <c r="FK203" s="14" t="str">
        <f t="shared" si="724"/>
        <v xml:space="preserve"> </v>
      </c>
      <c r="FL203" s="14" t="str">
        <f t="shared" si="725"/>
        <v xml:space="preserve"> </v>
      </c>
      <c r="FM203" s="14" t="str">
        <f t="shared" si="726"/>
        <v xml:space="preserve"> </v>
      </c>
      <c r="FN203" s="14" t="str">
        <f t="shared" si="727"/>
        <v xml:space="preserve"> </v>
      </c>
      <c r="FO203" s="27" t="str">
        <f t="shared" si="813"/>
        <v xml:space="preserve"> </v>
      </c>
      <c r="FP203" s="14" t="str">
        <f t="shared" si="728"/>
        <v xml:space="preserve"> </v>
      </c>
      <c r="FQ203" s="14" t="str">
        <f t="shared" si="729"/>
        <v xml:space="preserve"> </v>
      </c>
      <c r="FR203" s="14" t="str">
        <f t="shared" si="730"/>
        <v xml:space="preserve"> </v>
      </c>
      <c r="FS203" s="14" t="str">
        <f t="shared" si="731"/>
        <v xml:space="preserve"> </v>
      </c>
      <c r="FT203" s="14" t="str">
        <f t="shared" si="732"/>
        <v xml:space="preserve"> </v>
      </c>
      <c r="FU203" s="27" t="str">
        <f t="shared" si="813"/>
        <v xml:space="preserve"> </v>
      </c>
      <c r="FV203" s="14" t="str">
        <f t="shared" si="733"/>
        <v xml:space="preserve"> </v>
      </c>
      <c r="FW203" s="14" t="str">
        <f t="shared" si="734"/>
        <v xml:space="preserve"> </v>
      </c>
      <c r="FX203" s="14" t="str">
        <f t="shared" si="735"/>
        <v xml:space="preserve"> </v>
      </c>
      <c r="FY203" s="14" t="str">
        <f t="shared" si="736"/>
        <v xml:space="preserve"> </v>
      </c>
      <c r="FZ203" s="14" t="str">
        <f t="shared" si="737"/>
        <v xml:space="preserve"> </v>
      </c>
      <c r="GA203" s="27" t="str">
        <f t="shared" si="813"/>
        <v xml:space="preserve"> </v>
      </c>
      <c r="GB203" s="14" t="str">
        <f t="shared" si="738"/>
        <v xml:space="preserve"> </v>
      </c>
      <c r="GC203" s="14" t="str">
        <f t="shared" si="739"/>
        <v xml:space="preserve"> </v>
      </c>
      <c r="GD203" s="14" t="str">
        <f t="shared" si="740"/>
        <v xml:space="preserve"> </v>
      </c>
      <c r="GE203" s="14" t="str">
        <f t="shared" si="741"/>
        <v xml:space="preserve"> </v>
      </c>
      <c r="GF203" s="14" t="str">
        <f t="shared" si="742"/>
        <v xml:space="preserve"> </v>
      </c>
      <c r="GG203" s="27" t="str">
        <f t="shared" si="813"/>
        <v xml:space="preserve"> </v>
      </c>
      <c r="GH203" s="14" t="str">
        <f t="shared" si="743"/>
        <v xml:space="preserve"> </v>
      </c>
      <c r="GI203" s="14" t="str">
        <f t="shared" si="744"/>
        <v xml:space="preserve"> </v>
      </c>
      <c r="GJ203" s="14" t="str">
        <f t="shared" si="745"/>
        <v xml:space="preserve"> </v>
      </c>
      <c r="GK203" s="14" t="str">
        <f t="shared" si="746"/>
        <v xml:space="preserve"> </v>
      </c>
      <c r="GL203" s="14" t="str">
        <f t="shared" si="747"/>
        <v xml:space="preserve"> </v>
      </c>
      <c r="GM203" s="27" t="str">
        <f t="shared" si="813"/>
        <v xml:space="preserve"> </v>
      </c>
      <c r="GN203" s="14" t="str">
        <f t="shared" si="748"/>
        <v xml:space="preserve"> </v>
      </c>
      <c r="GO203" s="14" t="str">
        <f t="shared" si="749"/>
        <v xml:space="preserve"> </v>
      </c>
      <c r="GP203" s="14" t="str">
        <f t="shared" si="750"/>
        <v xml:space="preserve"> </v>
      </c>
      <c r="GQ203" s="14" t="str">
        <f t="shared" si="751"/>
        <v xml:space="preserve"> </v>
      </c>
      <c r="GR203" s="14" t="str">
        <f t="shared" si="752"/>
        <v xml:space="preserve"> </v>
      </c>
      <c r="GS203" s="27" t="str">
        <f t="shared" si="813"/>
        <v xml:space="preserve"> </v>
      </c>
      <c r="GT203" s="14" t="str">
        <f t="shared" si="753"/>
        <v xml:space="preserve"> </v>
      </c>
      <c r="GU203" s="14" t="str">
        <f t="shared" si="754"/>
        <v xml:space="preserve"> </v>
      </c>
      <c r="GV203" s="14" t="str">
        <f t="shared" si="755"/>
        <v xml:space="preserve"> </v>
      </c>
      <c r="GW203" s="14" t="str">
        <f t="shared" si="756"/>
        <v xml:space="preserve"> </v>
      </c>
      <c r="GX203" s="14" t="str">
        <f t="shared" si="757"/>
        <v xml:space="preserve"> </v>
      </c>
      <c r="GY203" s="27" t="str">
        <f t="shared" si="813"/>
        <v xml:space="preserve"> </v>
      </c>
      <c r="GZ203" s="14" t="str">
        <f t="shared" si="758"/>
        <v xml:space="preserve"> </v>
      </c>
      <c r="HA203" s="14" t="str">
        <f t="shared" si="759"/>
        <v xml:space="preserve"> </v>
      </c>
      <c r="HB203" s="14" t="str">
        <f t="shared" si="760"/>
        <v xml:space="preserve"> </v>
      </c>
      <c r="HC203" s="14" t="str">
        <f t="shared" si="761"/>
        <v xml:space="preserve"> </v>
      </c>
      <c r="HD203" s="14" t="str">
        <f t="shared" si="762"/>
        <v xml:space="preserve"> </v>
      </c>
      <c r="HE203" s="27" t="str">
        <f t="shared" si="814"/>
        <v xml:space="preserve"> </v>
      </c>
      <c r="HF203" s="14" t="str">
        <f t="shared" si="764"/>
        <v xml:space="preserve"> </v>
      </c>
      <c r="HG203" s="14" t="str">
        <f t="shared" si="765"/>
        <v xml:space="preserve"> </v>
      </c>
      <c r="HH203" s="14" t="str">
        <f t="shared" si="766"/>
        <v xml:space="preserve"> </v>
      </c>
      <c r="HI203" s="14" t="str">
        <f t="shared" si="767"/>
        <v xml:space="preserve"> </v>
      </c>
      <c r="HJ203" s="14" t="str">
        <f t="shared" si="768"/>
        <v xml:space="preserve"> </v>
      </c>
      <c r="HK203" s="27" t="str">
        <f t="shared" si="814"/>
        <v xml:space="preserve"> </v>
      </c>
      <c r="HL203" s="14" t="str">
        <f t="shared" si="769"/>
        <v xml:space="preserve"> </v>
      </c>
      <c r="HM203" s="14" t="str">
        <f t="shared" si="770"/>
        <v xml:space="preserve"> </v>
      </c>
      <c r="HN203" s="14" t="str">
        <f t="shared" si="771"/>
        <v xml:space="preserve"> </v>
      </c>
      <c r="HO203" s="14" t="str">
        <f t="shared" si="772"/>
        <v xml:space="preserve"> </v>
      </c>
      <c r="HP203" s="14" t="str">
        <f t="shared" si="773"/>
        <v xml:space="preserve"> </v>
      </c>
      <c r="HQ203" s="27" t="str">
        <f t="shared" si="814"/>
        <v xml:space="preserve"> </v>
      </c>
    </row>
    <row r="204" spans="1:225" ht="15.75" customHeight="1">
      <c r="A204" s="7">
        <f t="shared" ref="A204:C204" si="835">A96</f>
        <v>0</v>
      </c>
      <c r="B204" s="7" t="str">
        <f t="shared" si="835"/>
        <v>start-up</v>
      </c>
      <c r="C204" s="7" t="str">
        <f t="shared" si="835"/>
        <v>start-up</v>
      </c>
      <c r="D204" s="14" t="str">
        <f t="shared" si="775"/>
        <v xml:space="preserve"> </v>
      </c>
      <c r="E204" s="14" t="str">
        <f t="shared" si="776"/>
        <v xml:space="preserve"> </v>
      </c>
      <c r="F204" s="14" t="str">
        <f t="shared" si="777"/>
        <v xml:space="preserve"> </v>
      </c>
      <c r="G204" s="14" t="str">
        <f t="shared" si="778"/>
        <v xml:space="preserve"> </v>
      </c>
      <c r="H204" s="14" t="str">
        <f t="shared" si="779"/>
        <v xml:space="preserve"> </v>
      </c>
      <c r="I204" s="27" t="str">
        <f t="shared" ref="I204" si="836">IF(I96="",I205,$C204&amp;"("&amp;I96&amp;"),"&amp;I205)</f>
        <v xml:space="preserve"> </v>
      </c>
      <c r="J204" s="14" t="str">
        <f t="shared" si="590"/>
        <v xml:space="preserve"> </v>
      </c>
      <c r="K204" s="14" t="str">
        <f t="shared" si="591"/>
        <v xml:space="preserve"> </v>
      </c>
      <c r="L204" s="14" t="str">
        <f t="shared" si="592"/>
        <v xml:space="preserve"> </v>
      </c>
      <c r="M204" s="14" t="str">
        <f t="shared" si="593"/>
        <v xml:space="preserve"> </v>
      </c>
      <c r="N204" s="14" t="str">
        <f t="shared" si="594"/>
        <v xml:space="preserve"> </v>
      </c>
      <c r="O204" s="27" t="str">
        <f t="shared" si="811"/>
        <v xml:space="preserve"> </v>
      </c>
      <c r="P204" s="14" t="str">
        <f t="shared" si="596"/>
        <v xml:space="preserve"> </v>
      </c>
      <c r="Q204" s="14" t="str">
        <f t="shared" si="597"/>
        <v xml:space="preserve"> </v>
      </c>
      <c r="R204" s="14" t="str">
        <f t="shared" si="598"/>
        <v xml:space="preserve"> </v>
      </c>
      <c r="S204" s="14" t="str">
        <f t="shared" si="599"/>
        <v xml:space="preserve"> </v>
      </c>
      <c r="T204" s="14" t="str">
        <f t="shared" si="600"/>
        <v xml:space="preserve"> </v>
      </c>
      <c r="U204" s="27" t="str">
        <f t="shared" si="811"/>
        <v xml:space="preserve"> </v>
      </c>
      <c r="V204" s="14" t="str">
        <f t="shared" si="601"/>
        <v xml:space="preserve"> </v>
      </c>
      <c r="W204" s="14" t="str">
        <f t="shared" si="602"/>
        <v xml:space="preserve"> </v>
      </c>
      <c r="X204" s="14" t="str">
        <f t="shared" si="603"/>
        <v xml:space="preserve"> </v>
      </c>
      <c r="Y204" s="14" t="str">
        <f t="shared" si="604"/>
        <v xml:space="preserve"> </v>
      </c>
      <c r="Z204" s="14" t="str">
        <f t="shared" si="605"/>
        <v xml:space="preserve"> </v>
      </c>
      <c r="AA204" s="27" t="str">
        <f t="shared" si="811"/>
        <v xml:space="preserve"> </v>
      </c>
      <c r="AB204" s="14" t="str">
        <f t="shared" si="606"/>
        <v xml:space="preserve"> </v>
      </c>
      <c r="AC204" s="14" t="str">
        <f t="shared" si="607"/>
        <v xml:space="preserve"> </v>
      </c>
      <c r="AD204" s="14" t="str">
        <f t="shared" si="608"/>
        <v xml:space="preserve"> </v>
      </c>
      <c r="AE204" s="14" t="str">
        <f t="shared" si="609"/>
        <v xml:space="preserve"> </v>
      </c>
      <c r="AF204" s="14" t="str">
        <f t="shared" si="610"/>
        <v xml:space="preserve"> </v>
      </c>
      <c r="AG204" s="27" t="str">
        <f t="shared" si="811"/>
        <v xml:space="preserve"> </v>
      </c>
      <c r="AH204" s="14" t="str">
        <f t="shared" si="611"/>
        <v xml:space="preserve"> </v>
      </c>
      <c r="AI204" s="14" t="str">
        <f t="shared" si="612"/>
        <v xml:space="preserve"> </v>
      </c>
      <c r="AJ204" s="14" t="str">
        <f t="shared" si="613"/>
        <v xml:space="preserve"> </v>
      </c>
      <c r="AK204" s="14" t="str">
        <f t="shared" si="614"/>
        <v xml:space="preserve"> </v>
      </c>
      <c r="AL204" s="14" t="str">
        <f t="shared" si="615"/>
        <v xml:space="preserve"> </v>
      </c>
      <c r="AM204" s="27" t="str">
        <f t="shared" si="811"/>
        <v xml:space="preserve"> </v>
      </c>
      <c r="AN204" s="14" t="str">
        <f t="shared" si="616"/>
        <v xml:space="preserve"> </v>
      </c>
      <c r="AO204" s="14" t="str">
        <f t="shared" si="617"/>
        <v xml:space="preserve"> </v>
      </c>
      <c r="AP204" s="14" t="str">
        <f t="shared" si="618"/>
        <v xml:space="preserve"> </v>
      </c>
      <c r="AQ204" s="14" t="str">
        <f t="shared" si="619"/>
        <v xml:space="preserve"> </v>
      </c>
      <c r="AR204" s="14" t="str">
        <f t="shared" si="620"/>
        <v xml:space="preserve"> </v>
      </c>
      <c r="AS204" s="27" t="str">
        <f t="shared" si="811"/>
        <v xml:space="preserve"> </v>
      </c>
      <c r="AT204" s="14" t="str">
        <f t="shared" si="621"/>
        <v xml:space="preserve"> </v>
      </c>
      <c r="AU204" s="14" t="str">
        <f t="shared" si="622"/>
        <v xml:space="preserve"> </v>
      </c>
      <c r="AV204" s="14" t="str">
        <f t="shared" si="623"/>
        <v xml:space="preserve"> </v>
      </c>
      <c r="AW204" s="14" t="str">
        <f t="shared" si="624"/>
        <v xml:space="preserve"> </v>
      </c>
      <c r="AX204" s="14" t="str">
        <f t="shared" si="625"/>
        <v xml:space="preserve"> </v>
      </c>
      <c r="AY204" s="27" t="str">
        <f t="shared" si="811"/>
        <v xml:space="preserve"> </v>
      </c>
      <c r="AZ204" s="14" t="str">
        <f t="shared" si="626"/>
        <v xml:space="preserve"> </v>
      </c>
      <c r="BA204" s="14" t="str">
        <f t="shared" si="627"/>
        <v xml:space="preserve"> </v>
      </c>
      <c r="BB204" s="14" t="str">
        <f t="shared" si="628"/>
        <v xml:space="preserve"> </v>
      </c>
      <c r="BC204" s="14" t="str">
        <f t="shared" si="629"/>
        <v xml:space="preserve"> </v>
      </c>
      <c r="BD204" s="14" t="str">
        <f t="shared" si="630"/>
        <v xml:space="preserve"> </v>
      </c>
      <c r="BE204" s="27" t="str">
        <f t="shared" si="811"/>
        <v xml:space="preserve"> </v>
      </c>
      <c r="BF204" s="14" t="str">
        <f t="shared" si="631"/>
        <v xml:space="preserve"> </v>
      </c>
      <c r="BG204" s="14" t="str">
        <f t="shared" si="632"/>
        <v xml:space="preserve"> </v>
      </c>
      <c r="BH204" s="14" t="str">
        <f t="shared" si="633"/>
        <v xml:space="preserve"> </v>
      </c>
      <c r="BI204" s="14" t="str">
        <f t="shared" si="634"/>
        <v xml:space="preserve"> </v>
      </c>
      <c r="BJ204" s="14" t="str">
        <f t="shared" si="635"/>
        <v xml:space="preserve"> </v>
      </c>
      <c r="BK204" s="27" t="str">
        <f t="shared" si="811"/>
        <v xml:space="preserve"> </v>
      </c>
      <c r="BL204" s="14" t="str">
        <f t="shared" si="636"/>
        <v xml:space="preserve"> </v>
      </c>
      <c r="BM204" s="14" t="str">
        <f t="shared" si="637"/>
        <v xml:space="preserve"> </v>
      </c>
      <c r="BN204" s="14" t="str">
        <f t="shared" si="638"/>
        <v xml:space="preserve"> </v>
      </c>
      <c r="BO204" s="14" t="str">
        <f t="shared" si="639"/>
        <v xml:space="preserve"> </v>
      </c>
      <c r="BP204" s="14" t="str">
        <f t="shared" si="640"/>
        <v xml:space="preserve"> </v>
      </c>
      <c r="BQ204" s="27" t="str">
        <f t="shared" si="811"/>
        <v xml:space="preserve"> </v>
      </c>
      <c r="BR204" s="14" t="str">
        <f t="shared" si="641"/>
        <v xml:space="preserve"> </v>
      </c>
      <c r="BS204" s="14" t="str">
        <f t="shared" si="642"/>
        <v xml:space="preserve"> </v>
      </c>
      <c r="BT204" s="14" t="str">
        <f t="shared" si="643"/>
        <v xml:space="preserve"> </v>
      </c>
      <c r="BU204" s="14" t="str">
        <f t="shared" si="644"/>
        <v xml:space="preserve"> </v>
      </c>
      <c r="BV204" s="14" t="str">
        <f t="shared" si="645"/>
        <v xml:space="preserve"> </v>
      </c>
      <c r="BW204" s="27" t="str">
        <f t="shared" si="811"/>
        <v xml:space="preserve"> </v>
      </c>
      <c r="BX204" s="14" t="str">
        <f t="shared" si="646"/>
        <v xml:space="preserve"> </v>
      </c>
      <c r="BY204" s="14" t="str">
        <f t="shared" si="647"/>
        <v xml:space="preserve"> </v>
      </c>
      <c r="BZ204" s="14" t="str">
        <f t="shared" si="648"/>
        <v xml:space="preserve"> </v>
      </c>
      <c r="CA204" s="14" t="str">
        <f t="shared" si="649"/>
        <v xml:space="preserve"> </v>
      </c>
      <c r="CB204" s="14" t="str">
        <f t="shared" si="650"/>
        <v xml:space="preserve"> </v>
      </c>
      <c r="CC204" s="27" t="str">
        <f t="shared" si="812"/>
        <v xml:space="preserve"> </v>
      </c>
      <c r="CD204" s="14" t="str">
        <f t="shared" si="652"/>
        <v xml:space="preserve"> </v>
      </c>
      <c r="CE204" s="14" t="str">
        <f t="shared" si="653"/>
        <v xml:space="preserve"> </v>
      </c>
      <c r="CF204" s="14" t="str">
        <f t="shared" si="654"/>
        <v xml:space="preserve"> </v>
      </c>
      <c r="CG204" s="14" t="str">
        <f t="shared" si="655"/>
        <v xml:space="preserve"> </v>
      </c>
      <c r="CH204" s="14" t="str">
        <f t="shared" si="656"/>
        <v xml:space="preserve"> </v>
      </c>
      <c r="CI204" s="27" t="str">
        <f t="shared" si="812"/>
        <v xml:space="preserve"> </v>
      </c>
      <c r="CJ204" s="14" t="str">
        <f t="shared" si="657"/>
        <v xml:space="preserve"> </v>
      </c>
      <c r="CK204" s="14" t="str">
        <f t="shared" si="658"/>
        <v xml:space="preserve"> </v>
      </c>
      <c r="CL204" s="14" t="str">
        <f t="shared" si="659"/>
        <v xml:space="preserve"> </v>
      </c>
      <c r="CM204" s="14" t="str">
        <f t="shared" si="660"/>
        <v xml:space="preserve"> </v>
      </c>
      <c r="CN204" s="14" t="str">
        <f t="shared" si="661"/>
        <v xml:space="preserve"> </v>
      </c>
      <c r="CO204" s="27" t="str">
        <f t="shared" si="812"/>
        <v xml:space="preserve"> </v>
      </c>
      <c r="CP204" s="14" t="str">
        <f t="shared" si="662"/>
        <v xml:space="preserve"> </v>
      </c>
      <c r="CQ204" s="14" t="str">
        <f t="shared" si="663"/>
        <v xml:space="preserve"> </v>
      </c>
      <c r="CR204" s="14" t="str">
        <f t="shared" si="664"/>
        <v xml:space="preserve"> </v>
      </c>
      <c r="CS204" s="14" t="str">
        <f t="shared" si="665"/>
        <v xml:space="preserve"> </v>
      </c>
      <c r="CT204" s="14" t="str">
        <f t="shared" si="666"/>
        <v xml:space="preserve"> </v>
      </c>
      <c r="CU204" s="27" t="str">
        <f t="shared" si="812"/>
        <v xml:space="preserve"> </v>
      </c>
      <c r="CV204" s="14" t="str">
        <f t="shared" si="667"/>
        <v xml:space="preserve"> </v>
      </c>
      <c r="CW204" s="14" t="str">
        <f t="shared" si="668"/>
        <v xml:space="preserve"> </v>
      </c>
      <c r="CX204" s="14" t="str">
        <f t="shared" si="669"/>
        <v xml:space="preserve"> </v>
      </c>
      <c r="CY204" s="14" t="str">
        <f t="shared" si="670"/>
        <v xml:space="preserve"> </v>
      </c>
      <c r="CZ204" s="14" t="str">
        <f t="shared" si="671"/>
        <v xml:space="preserve"> </v>
      </c>
      <c r="DA204" s="27" t="str">
        <f t="shared" si="812"/>
        <v xml:space="preserve"> </v>
      </c>
      <c r="DB204" s="14" t="str">
        <f t="shared" si="672"/>
        <v xml:space="preserve"> </v>
      </c>
      <c r="DC204" s="14" t="str">
        <f t="shared" si="673"/>
        <v xml:space="preserve"> </v>
      </c>
      <c r="DD204" s="14" t="str">
        <f t="shared" si="674"/>
        <v xml:space="preserve"> </v>
      </c>
      <c r="DE204" s="14" t="str">
        <f t="shared" si="675"/>
        <v xml:space="preserve"> </v>
      </c>
      <c r="DF204" s="14" t="str">
        <f t="shared" si="676"/>
        <v xml:space="preserve"> </v>
      </c>
      <c r="DG204" s="27" t="str">
        <f t="shared" si="812"/>
        <v xml:space="preserve"> </v>
      </c>
      <c r="DH204" s="14" t="str">
        <f t="shared" si="677"/>
        <v xml:space="preserve"> </v>
      </c>
      <c r="DI204" s="14" t="str">
        <f t="shared" si="678"/>
        <v xml:space="preserve"> </v>
      </c>
      <c r="DJ204" s="14" t="str">
        <f t="shared" si="679"/>
        <v xml:space="preserve"> </v>
      </c>
      <c r="DK204" s="14" t="str">
        <f t="shared" si="680"/>
        <v xml:space="preserve"> </v>
      </c>
      <c r="DL204" s="14" t="str">
        <f t="shared" si="681"/>
        <v xml:space="preserve"> </v>
      </c>
      <c r="DM204" s="27" t="str">
        <f t="shared" si="812"/>
        <v xml:space="preserve"> </v>
      </c>
      <c r="DN204" s="14" t="str">
        <f t="shared" si="682"/>
        <v xml:space="preserve"> </v>
      </c>
      <c r="DO204" s="14" t="str">
        <f t="shared" si="683"/>
        <v xml:space="preserve"> </v>
      </c>
      <c r="DP204" s="14" t="str">
        <f t="shared" si="684"/>
        <v xml:space="preserve"> </v>
      </c>
      <c r="DQ204" s="14" t="str">
        <f t="shared" si="685"/>
        <v xml:space="preserve"> </v>
      </c>
      <c r="DR204" s="14" t="str">
        <f t="shared" si="686"/>
        <v xml:space="preserve"> </v>
      </c>
      <c r="DS204" s="27" t="str">
        <f t="shared" si="812"/>
        <v xml:space="preserve"> </v>
      </c>
      <c r="DT204" s="14" t="str">
        <f t="shared" si="687"/>
        <v xml:space="preserve"> </v>
      </c>
      <c r="DU204" s="14" t="str">
        <f t="shared" si="688"/>
        <v xml:space="preserve"> </v>
      </c>
      <c r="DV204" s="14" t="str">
        <f t="shared" si="689"/>
        <v xml:space="preserve"> </v>
      </c>
      <c r="DW204" s="14" t="str">
        <f t="shared" si="690"/>
        <v xml:space="preserve"> </v>
      </c>
      <c r="DX204" s="14" t="str">
        <f t="shared" si="691"/>
        <v xml:space="preserve"> </v>
      </c>
      <c r="DY204" s="27" t="str">
        <f t="shared" si="812"/>
        <v xml:space="preserve"> </v>
      </c>
      <c r="DZ204" s="14" t="str">
        <f t="shared" si="692"/>
        <v xml:space="preserve"> </v>
      </c>
      <c r="EA204" s="14" t="str">
        <f t="shared" si="693"/>
        <v xml:space="preserve"> </v>
      </c>
      <c r="EB204" s="14" t="str">
        <f t="shared" si="694"/>
        <v xml:space="preserve"> </v>
      </c>
      <c r="EC204" s="14" t="str">
        <f t="shared" si="695"/>
        <v xml:space="preserve"> </v>
      </c>
      <c r="ED204" s="14" t="str">
        <f t="shared" si="696"/>
        <v xml:space="preserve"> </v>
      </c>
      <c r="EE204" s="27" t="str">
        <f t="shared" si="812"/>
        <v xml:space="preserve"> </v>
      </c>
      <c r="EF204" s="14" t="str">
        <f t="shared" si="697"/>
        <v xml:space="preserve"> </v>
      </c>
      <c r="EG204" s="14" t="str">
        <f t="shared" si="698"/>
        <v xml:space="preserve"> </v>
      </c>
      <c r="EH204" s="14" t="str">
        <f t="shared" si="699"/>
        <v xml:space="preserve"> </v>
      </c>
      <c r="EI204" s="14" t="str">
        <f t="shared" si="700"/>
        <v xml:space="preserve"> </v>
      </c>
      <c r="EJ204" s="14" t="str">
        <f t="shared" si="701"/>
        <v xml:space="preserve"> </v>
      </c>
      <c r="EK204" s="27" t="str">
        <f t="shared" si="812"/>
        <v xml:space="preserve"> </v>
      </c>
      <c r="EL204" s="14" t="str">
        <f t="shared" si="702"/>
        <v xml:space="preserve"> </v>
      </c>
      <c r="EM204" s="14" t="str">
        <f t="shared" si="703"/>
        <v xml:space="preserve"> </v>
      </c>
      <c r="EN204" s="14" t="str">
        <f t="shared" si="704"/>
        <v xml:space="preserve"> </v>
      </c>
      <c r="EO204" s="14" t="str">
        <f t="shared" si="705"/>
        <v xml:space="preserve"> </v>
      </c>
      <c r="EP204" s="14" t="str">
        <f t="shared" si="706"/>
        <v xml:space="preserve"> </v>
      </c>
      <c r="EQ204" s="27" t="str">
        <f t="shared" si="813"/>
        <v xml:space="preserve"> </v>
      </c>
      <c r="ER204" s="14" t="str">
        <f t="shared" si="708"/>
        <v xml:space="preserve"> </v>
      </c>
      <c r="ES204" s="14" t="str">
        <f t="shared" si="709"/>
        <v xml:space="preserve"> </v>
      </c>
      <c r="ET204" s="14" t="str">
        <f t="shared" si="710"/>
        <v xml:space="preserve"> </v>
      </c>
      <c r="EU204" s="14" t="str">
        <f t="shared" si="711"/>
        <v xml:space="preserve"> </v>
      </c>
      <c r="EV204" s="14" t="str">
        <f t="shared" si="712"/>
        <v xml:space="preserve"> </v>
      </c>
      <c r="EW204" s="27" t="str">
        <f t="shared" si="813"/>
        <v xml:space="preserve"> </v>
      </c>
      <c r="EX204" s="14" t="str">
        <f t="shared" si="713"/>
        <v xml:space="preserve"> </v>
      </c>
      <c r="EY204" s="14" t="str">
        <f t="shared" si="714"/>
        <v xml:space="preserve"> </v>
      </c>
      <c r="EZ204" s="14" t="str">
        <f t="shared" si="715"/>
        <v xml:space="preserve"> </v>
      </c>
      <c r="FA204" s="14" t="str">
        <f t="shared" si="716"/>
        <v xml:space="preserve"> </v>
      </c>
      <c r="FB204" s="14" t="str">
        <f t="shared" si="717"/>
        <v xml:space="preserve"> </v>
      </c>
      <c r="FC204" s="27" t="str">
        <f t="shared" si="813"/>
        <v xml:space="preserve"> </v>
      </c>
      <c r="FD204" s="14" t="str">
        <f t="shared" si="718"/>
        <v xml:space="preserve"> </v>
      </c>
      <c r="FE204" s="14" t="str">
        <f t="shared" si="719"/>
        <v xml:space="preserve"> </v>
      </c>
      <c r="FF204" s="14" t="str">
        <f t="shared" si="720"/>
        <v xml:space="preserve"> </v>
      </c>
      <c r="FG204" s="14" t="str">
        <f t="shared" si="721"/>
        <v xml:space="preserve"> </v>
      </c>
      <c r="FH204" s="14" t="str">
        <f t="shared" si="722"/>
        <v xml:space="preserve"> </v>
      </c>
      <c r="FI204" s="27" t="str">
        <f t="shared" si="813"/>
        <v xml:space="preserve"> </v>
      </c>
      <c r="FJ204" s="14" t="str">
        <f t="shared" si="723"/>
        <v xml:space="preserve"> </v>
      </c>
      <c r="FK204" s="14" t="str">
        <f t="shared" si="724"/>
        <v xml:space="preserve"> </v>
      </c>
      <c r="FL204" s="14" t="str">
        <f t="shared" si="725"/>
        <v xml:space="preserve"> </v>
      </c>
      <c r="FM204" s="14" t="str">
        <f t="shared" si="726"/>
        <v xml:space="preserve"> </v>
      </c>
      <c r="FN204" s="14" t="str">
        <f t="shared" si="727"/>
        <v xml:space="preserve"> </v>
      </c>
      <c r="FO204" s="27" t="str">
        <f t="shared" si="813"/>
        <v xml:space="preserve"> </v>
      </c>
      <c r="FP204" s="14" t="str">
        <f t="shared" si="728"/>
        <v xml:space="preserve"> </v>
      </c>
      <c r="FQ204" s="14" t="str">
        <f t="shared" si="729"/>
        <v xml:space="preserve"> </v>
      </c>
      <c r="FR204" s="14" t="str">
        <f t="shared" si="730"/>
        <v xml:space="preserve"> </v>
      </c>
      <c r="FS204" s="14" t="str">
        <f t="shared" si="731"/>
        <v xml:space="preserve"> </v>
      </c>
      <c r="FT204" s="14" t="str">
        <f t="shared" si="732"/>
        <v xml:space="preserve"> </v>
      </c>
      <c r="FU204" s="27" t="str">
        <f t="shared" si="813"/>
        <v xml:space="preserve"> </v>
      </c>
      <c r="FV204" s="14" t="str">
        <f t="shared" si="733"/>
        <v xml:space="preserve"> </v>
      </c>
      <c r="FW204" s="14" t="str">
        <f t="shared" si="734"/>
        <v xml:space="preserve"> </v>
      </c>
      <c r="FX204" s="14" t="str">
        <f t="shared" si="735"/>
        <v xml:space="preserve"> </v>
      </c>
      <c r="FY204" s="14" t="str">
        <f t="shared" si="736"/>
        <v xml:space="preserve"> </v>
      </c>
      <c r="FZ204" s="14" t="str">
        <f t="shared" si="737"/>
        <v xml:space="preserve"> </v>
      </c>
      <c r="GA204" s="27" t="str">
        <f t="shared" si="813"/>
        <v xml:space="preserve"> </v>
      </c>
      <c r="GB204" s="14" t="str">
        <f t="shared" si="738"/>
        <v xml:space="preserve"> </v>
      </c>
      <c r="GC204" s="14" t="str">
        <f t="shared" si="739"/>
        <v xml:space="preserve"> </v>
      </c>
      <c r="GD204" s="14" t="str">
        <f t="shared" si="740"/>
        <v xml:space="preserve"> </v>
      </c>
      <c r="GE204" s="14" t="str">
        <f t="shared" si="741"/>
        <v xml:space="preserve"> </v>
      </c>
      <c r="GF204" s="14" t="str">
        <f t="shared" si="742"/>
        <v xml:space="preserve"> </v>
      </c>
      <c r="GG204" s="27" t="str">
        <f t="shared" si="813"/>
        <v xml:space="preserve"> </v>
      </c>
      <c r="GH204" s="14" t="str">
        <f t="shared" si="743"/>
        <v xml:space="preserve"> </v>
      </c>
      <c r="GI204" s="14" t="str">
        <f t="shared" si="744"/>
        <v xml:space="preserve"> </v>
      </c>
      <c r="GJ204" s="14" t="str">
        <f t="shared" si="745"/>
        <v xml:space="preserve"> </v>
      </c>
      <c r="GK204" s="14" t="str">
        <f t="shared" si="746"/>
        <v xml:space="preserve"> </v>
      </c>
      <c r="GL204" s="14" t="str">
        <f t="shared" si="747"/>
        <v xml:space="preserve"> </v>
      </c>
      <c r="GM204" s="27" t="str">
        <f t="shared" si="813"/>
        <v xml:space="preserve"> </v>
      </c>
      <c r="GN204" s="14" t="str">
        <f t="shared" si="748"/>
        <v xml:space="preserve"> </v>
      </c>
      <c r="GO204" s="14" t="str">
        <f t="shared" si="749"/>
        <v xml:space="preserve"> </v>
      </c>
      <c r="GP204" s="14" t="str">
        <f t="shared" si="750"/>
        <v xml:space="preserve"> </v>
      </c>
      <c r="GQ204" s="14" t="str">
        <f t="shared" si="751"/>
        <v xml:space="preserve"> </v>
      </c>
      <c r="GR204" s="14" t="str">
        <f t="shared" si="752"/>
        <v xml:space="preserve"> </v>
      </c>
      <c r="GS204" s="27" t="str">
        <f t="shared" si="813"/>
        <v xml:space="preserve"> </v>
      </c>
      <c r="GT204" s="14" t="str">
        <f t="shared" si="753"/>
        <v xml:space="preserve"> </v>
      </c>
      <c r="GU204" s="14" t="str">
        <f t="shared" si="754"/>
        <v xml:space="preserve"> </v>
      </c>
      <c r="GV204" s="14" t="str">
        <f t="shared" si="755"/>
        <v xml:space="preserve"> </v>
      </c>
      <c r="GW204" s="14" t="str">
        <f t="shared" si="756"/>
        <v xml:space="preserve"> </v>
      </c>
      <c r="GX204" s="14" t="str">
        <f t="shared" si="757"/>
        <v xml:space="preserve"> </v>
      </c>
      <c r="GY204" s="27" t="str">
        <f t="shared" si="813"/>
        <v xml:space="preserve"> </v>
      </c>
      <c r="GZ204" s="14" t="str">
        <f t="shared" si="758"/>
        <v xml:space="preserve"> </v>
      </c>
      <c r="HA204" s="14" t="str">
        <f t="shared" si="759"/>
        <v xml:space="preserve"> </v>
      </c>
      <c r="HB204" s="14" t="str">
        <f t="shared" si="760"/>
        <v xml:space="preserve"> </v>
      </c>
      <c r="HC204" s="14" t="str">
        <f t="shared" si="761"/>
        <v xml:space="preserve"> </v>
      </c>
      <c r="HD204" s="14" t="str">
        <f t="shared" si="762"/>
        <v xml:space="preserve"> </v>
      </c>
      <c r="HE204" s="27" t="str">
        <f t="shared" si="814"/>
        <v xml:space="preserve"> </v>
      </c>
      <c r="HF204" s="14" t="str">
        <f t="shared" si="764"/>
        <v xml:space="preserve"> </v>
      </c>
      <c r="HG204" s="14" t="str">
        <f t="shared" si="765"/>
        <v xml:space="preserve"> </v>
      </c>
      <c r="HH204" s="14" t="str">
        <f t="shared" si="766"/>
        <v xml:space="preserve"> </v>
      </c>
      <c r="HI204" s="14" t="str">
        <f t="shared" si="767"/>
        <v xml:space="preserve"> </v>
      </c>
      <c r="HJ204" s="14" t="str">
        <f t="shared" si="768"/>
        <v xml:space="preserve"> </v>
      </c>
      <c r="HK204" s="27" t="str">
        <f t="shared" si="814"/>
        <v xml:space="preserve"> </v>
      </c>
      <c r="HL204" s="14" t="str">
        <f t="shared" si="769"/>
        <v xml:space="preserve"> </v>
      </c>
      <c r="HM204" s="14" t="str">
        <f t="shared" si="770"/>
        <v xml:space="preserve"> </v>
      </c>
      <c r="HN204" s="14" t="str">
        <f t="shared" si="771"/>
        <v xml:space="preserve"> </v>
      </c>
      <c r="HO204" s="14" t="str">
        <f t="shared" si="772"/>
        <v xml:space="preserve"> </v>
      </c>
      <c r="HP204" s="14" t="str">
        <f t="shared" si="773"/>
        <v xml:space="preserve"> </v>
      </c>
      <c r="HQ204" s="27" t="str">
        <f t="shared" si="814"/>
        <v xml:space="preserve"> </v>
      </c>
    </row>
    <row r="205" spans="1:225" ht="15.75" customHeight="1">
      <c r="A205" s="7">
        <f t="shared" ref="A205:C205" si="837">A97</f>
        <v>0</v>
      </c>
      <c r="B205" s="7">
        <f t="shared" si="837"/>
        <v>0</v>
      </c>
      <c r="C205" s="7" t="str">
        <f t="shared" si="837"/>
        <v>start-up with mvp</v>
      </c>
      <c r="D205" s="14" t="str">
        <f t="shared" si="775"/>
        <v xml:space="preserve"> </v>
      </c>
      <c r="E205" s="14" t="str">
        <f t="shared" si="776"/>
        <v xml:space="preserve"> </v>
      </c>
      <c r="F205" s="14" t="str">
        <f t="shared" si="777"/>
        <v xml:space="preserve"> </v>
      </c>
      <c r="G205" s="14" t="str">
        <f t="shared" si="778"/>
        <v xml:space="preserve"> </v>
      </c>
      <c r="H205" s="14" t="str">
        <f t="shared" si="779"/>
        <v xml:space="preserve"> </v>
      </c>
      <c r="I205" s="27" t="str">
        <f t="shared" ref="I205" si="838">IF(I97="",I206,$C205&amp;"("&amp;I97&amp;"),"&amp;I206)</f>
        <v xml:space="preserve"> </v>
      </c>
      <c r="J205" s="14" t="str">
        <f t="shared" si="590"/>
        <v xml:space="preserve"> </v>
      </c>
      <c r="K205" s="14" t="str">
        <f t="shared" si="591"/>
        <v xml:space="preserve"> </v>
      </c>
      <c r="L205" s="14" t="str">
        <f t="shared" si="592"/>
        <v xml:space="preserve"> </v>
      </c>
      <c r="M205" s="14" t="str">
        <f t="shared" si="593"/>
        <v xml:space="preserve"> </v>
      </c>
      <c r="N205" s="14" t="str">
        <f t="shared" si="594"/>
        <v xml:space="preserve"> </v>
      </c>
      <c r="O205" s="27" t="str">
        <f t="shared" si="811"/>
        <v xml:space="preserve"> </v>
      </c>
      <c r="P205" s="14" t="str">
        <f t="shared" si="596"/>
        <v xml:space="preserve"> </v>
      </c>
      <c r="Q205" s="14" t="str">
        <f t="shared" si="597"/>
        <v xml:space="preserve"> </v>
      </c>
      <c r="R205" s="14" t="str">
        <f t="shared" si="598"/>
        <v xml:space="preserve"> </v>
      </c>
      <c r="S205" s="14" t="str">
        <f t="shared" si="599"/>
        <v xml:space="preserve"> </v>
      </c>
      <c r="T205" s="14" t="str">
        <f t="shared" si="600"/>
        <v xml:space="preserve"> </v>
      </c>
      <c r="U205" s="27" t="str">
        <f t="shared" si="811"/>
        <v xml:space="preserve"> </v>
      </c>
      <c r="V205" s="14" t="str">
        <f t="shared" si="601"/>
        <v xml:space="preserve"> </v>
      </c>
      <c r="W205" s="14" t="str">
        <f t="shared" si="602"/>
        <v xml:space="preserve"> </v>
      </c>
      <c r="X205" s="14" t="str">
        <f t="shared" si="603"/>
        <v xml:space="preserve"> </v>
      </c>
      <c r="Y205" s="14" t="str">
        <f t="shared" si="604"/>
        <v xml:space="preserve"> </v>
      </c>
      <c r="Z205" s="14" t="str">
        <f t="shared" si="605"/>
        <v xml:space="preserve"> </v>
      </c>
      <c r="AA205" s="27" t="str">
        <f t="shared" si="811"/>
        <v xml:space="preserve"> </v>
      </c>
      <c r="AB205" s="14" t="str">
        <f t="shared" si="606"/>
        <v xml:space="preserve"> </v>
      </c>
      <c r="AC205" s="14" t="str">
        <f t="shared" si="607"/>
        <v xml:space="preserve"> </v>
      </c>
      <c r="AD205" s="14" t="str">
        <f t="shared" si="608"/>
        <v xml:space="preserve"> </v>
      </c>
      <c r="AE205" s="14" t="str">
        <f t="shared" si="609"/>
        <v xml:space="preserve"> </v>
      </c>
      <c r="AF205" s="14" t="str">
        <f t="shared" si="610"/>
        <v xml:space="preserve"> </v>
      </c>
      <c r="AG205" s="27" t="str">
        <f t="shared" si="811"/>
        <v xml:space="preserve"> </v>
      </c>
      <c r="AH205" s="14" t="str">
        <f t="shared" si="611"/>
        <v xml:space="preserve"> </v>
      </c>
      <c r="AI205" s="14" t="str">
        <f t="shared" si="612"/>
        <v xml:space="preserve"> </v>
      </c>
      <c r="AJ205" s="14" t="str">
        <f t="shared" si="613"/>
        <v xml:space="preserve"> </v>
      </c>
      <c r="AK205" s="14" t="str">
        <f t="shared" si="614"/>
        <v xml:space="preserve"> </v>
      </c>
      <c r="AL205" s="14" t="str">
        <f t="shared" si="615"/>
        <v xml:space="preserve"> </v>
      </c>
      <c r="AM205" s="27" t="str">
        <f t="shared" si="811"/>
        <v xml:space="preserve"> </v>
      </c>
      <c r="AN205" s="14" t="str">
        <f t="shared" si="616"/>
        <v xml:space="preserve"> </v>
      </c>
      <c r="AO205" s="14" t="str">
        <f t="shared" si="617"/>
        <v xml:space="preserve"> </v>
      </c>
      <c r="AP205" s="14" t="str">
        <f t="shared" si="618"/>
        <v xml:space="preserve"> </v>
      </c>
      <c r="AQ205" s="14" t="str">
        <f t="shared" si="619"/>
        <v xml:space="preserve"> </v>
      </c>
      <c r="AR205" s="14" t="str">
        <f t="shared" si="620"/>
        <v xml:space="preserve"> </v>
      </c>
      <c r="AS205" s="27" t="str">
        <f t="shared" si="811"/>
        <v xml:space="preserve"> </v>
      </c>
      <c r="AT205" s="14" t="str">
        <f t="shared" si="621"/>
        <v xml:space="preserve"> </v>
      </c>
      <c r="AU205" s="14" t="str">
        <f t="shared" si="622"/>
        <v xml:space="preserve"> </v>
      </c>
      <c r="AV205" s="14" t="str">
        <f t="shared" si="623"/>
        <v xml:space="preserve"> </v>
      </c>
      <c r="AW205" s="14" t="str">
        <f t="shared" si="624"/>
        <v xml:space="preserve"> </v>
      </c>
      <c r="AX205" s="14" t="str">
        <f t="shared" si="625"/>
        <v xml:space="preserve"> </v>
      </c>
      <c r="AY205" s="27" t="str">
        <f t="shared" si="811"/>
        <v xml:space="preserve"> </v>
      </c>
      <c r="AZ205" s="14" t="str">
        <f t="shared" si="626"/>
        <v xml:space="preserve"> </v>
      </c>
      <c r="BA205" s="14" t="str">
        <f t="shared" si="627"/>
        <v xml:space="preserve"> </v>
      </c>
      <c r="BB205" s="14" t="str">
        <f t="shared" si="628"/>
        <v xml:space="preserve"> </v>
      </c>
      <c r="BC205" s="14" t="str">
        <f t="shared" si="629"/>
        <v xml:space="preserve"> </v>
      </c>
      <c r="BD205" s="14" t="str">
        <f t="shared" si="630"/>
        <v xml:space="preserve"> </v>
      </c>
      <c r="BE205" s="27" t="str">
        <f t="shared" si="811"/>
        <v xml:space="preserve"> </v>
      </c>
      <c r="BF205" s="14" t="str">
        <f t="shared" si="631"/>
        <v xml:space="preserve"> </v>
      </c>
      <c r="BG205" s="14" t="str">
        <f t="shared" si="632"/>
        <v xml:space="preserve"> </v>
      </c>
      <c r="BH205" s="14" t="str">
        <f t="shared" si="633"/>
        <v xml:space="preserve"> </v>
      </c>
      <c r="BI205" s="14" t="str">
        <f t="shared" si="634"/>
        <v xml:space="preserve"> </v>
      </c>
      <c r="BJ205" s="14" t="str">
        <f t="shared" si="635"/>
        <v xml:space="preserve"> </v>
      </c>
      <c r="BK205" s="27" t="str">
        <f t="shared" si="811"/>
        <v xml:space="preserve"> </v>
      </c>
      <c r="BL205" s="14" t="str">
        <f t="shared" si="636"/>
        <v xml:space="preserve"> </v>
      </c>
      <c r="BM205" s="14" t="str">
        <f t="shared" si="637"/>
        <v xml:space="preserve"> </v>
      </c>
      <c r="BN205" s="14" t="str">
        <f t="shared" si="638"/>
        <v xml:space="preserve"> </v>
      </c>
      <c r="BO205" s="14" t="str">
        <f t="shared" si="639"/>
        <v xml:space="preserve"> </v>
      </c>
      <c r="BP205" s="14" t="str">
        <f t="shared" si="640"/>
        <v xml:space="preserve"> </v>
      </c>
      <c r="BQ205" s="27" t="str">
        <f t="shared" si="811"/>
        <v xml:space="preserve"> </v>
      </c>
      <c r="BR205" s="14" t="str">
        <f t="shared" si="641"/>
        <v xml:space="preserve"> </v>
      </c>
      <c r="BS205" s="14" t="str">
        <f t="shared" si="642"/>
        <v xml:space="preserve"> </v>
      </c>
      <c r="BT205" s="14" t="str">
        <f t="shared" si="643"/>
        <v xml:space="preserve"> </v>
      </c>
      <c r="BU205" s="14" t="str">
        <f t="shared" si="644"/>
        <v xml:space="preserve"> </v>
      </c>
      <c r="BV205" s="14" t="str">
        <f t="shared" si="645"/>
        <v xml:space="preserve"> </v>
      </c>
      <c r="BW205" s="27" t="str">
        <f t="shared" si="811"/>
        <v xml:space="preserve"> </v>
      </c>
      <c r="BX205" s="14" t="str">
        <f t="shared" si="646"/>
        <v xml:space="preserve"> </v>
      </c>
      <c r="BY205" s="14" t="str">
        <f t="shared" si="647"/>
        <v xml:space="preserve"> </v>
      </c>
      <c r="BZ205" s="14" t="str">
        <f t="shared" si="648"/>
        <v xml:space="preserve"> </v>
      </c>
      <c r="CA205" s="14" t="str">
        <f t="shared" si="649"/>
        <v xml:space="preserve"> </v>
      </c>
      <c r="CB205" s="14" t="str">
        <f t="shared" si="650"/>
        <v xml:space="preserve"> </v>
      </c>
      <c r="CC205" s="27" t="str">
        <f t="shared" si="812"/>
        <v xml:space="preserve"> </v>
      </c>
      <c r="CD205" s="14" t="str">
        <f t="shared" si="652"/>
        <v xml:space="preserve"> </v>
      </c>
      <c r="CE205" s="14" t="str">
        <f t="shared" si="653"/>
        <v xml:space="preserve"> </v>
      </c>
      <c r="CF205" s="14" t="str">
        <f t="shared" si="654"/>
        <v xml:space="preserve"> </v>
      </c>
      <c r="CG205" s="14" t="str">
        <f t="shared" si="655"/>
        <v xml:space="preserve"> </v>
      </c>
      <c r="CH205" s="14" t="str">
        <f t="shared" si="656"/>
        <v xml:space="preserve"> </v>
      </c>
      <c r="CI205" s="27" t="str">
        <f t="shared" si="812"/>
        <v xml:space="preserve"> </v>
      </c>
      <c r="CJ205" s="14" t="str">
        <f t="shared" si="657"/>
        <v xml:space="preserve"> </v>
      </c>
      <c r="CK205" s="14" t="str">
        <f t="shared" si="658"/>
        <v xml:space="preserve"> </v>
      </c>
      <c r="CL205" s="14" t="str">
        <f t="shared" si="659"/>
        <v xml:space="preserve"> </v>
      </c>
      <c r="CM205" s="14" t="str">
        <f t="shared" si="660"/>
        <v xml:space="preserve"> </v>
      </c>
      <c r="CN205" s="14" t="str">
        <f t="shared" si="661"/>
        <v xml:space="preserve"> </v>
      </c>
      <c r="CO205" s="27" t="str">
        <f t="shared" si="812"/>
        <v xml:space="preserve"> </v>
      </c>
      <c r="CP205" s="14" t="str">
        <f t="shared" si="662"/>
        <v xml:space="preserve"> </v>
      </c>
      <c r="CQ205" s="14" t="str">
        <f t="shared" si="663"/>
        <v xml:space="preserve"> </v>
      </c>
      <c r="CR205" s="14" t="str">
        <f t="shared" si="664"/>
        <v xml:space="preserve"> </v>
      </c>
      <c r="CS205" s="14" t="str">
        <f t="shared" si="665"/>
        <v xml:space="preserve"> </v>
      </c>
      <c r="CT205" s="14" t="str">
        <f t="shared" si="666"/>
        <v xml:space="preserve"> </v>
      </c>
      <c r="CU205" s="27" t="str">
        <f t="shared" si="812"/>
        <v xml:space="preserve"> </v>
      </c>
      <c r="CV205" s="14" t="str">
        <f t="shared" si="667"/>
        <v xml:space="preserve"> </v>
      </c>
      <c r="CW205" s="14" t="str">
        <f t="shared" si="668"/>
        <v xml:space="preserve"> </v>
      </c>
      <c r="CX205" s="14" t="str">
        <f t="shared" si="669"/>
        <v xml:space="preserve"> </v>
      </c>
      <c r="CY205" s="14" t="str">
        <f t="shared" si="670"/>
        <v xml:space="preserve"> </v>
      </c>
      <c r="CZ205" s="14" t="str">
        <f t="shared" si="671"/>
        <v xml:space="preserve"> </v>
      </c>
      <c r="DA205" s="27" t="str">
        <f t="shared" si="812"/>
        <v xml:space="preserve"> </v>
      </c>
      <c r="DB205" s="14" t="str">
        <f t="shared" si="672"/>
        <v xml:space="preserve"> </v>
      </c>
      <c r="DC205" s="14" t="str">
        <f t="shared" si="673"/>
        <v xml:space="preserve"> </v>
      </c>
      <c r="DD205" s="14" t="str">
        <f t="shared" si="674"/>
        <v xml:space="preserve"> </v>
      </c>
      <c r="DE205" s="14" t="str">
        <f t="shared" si="675"/>
        <v xml:space="preserve"> </v>
      </c>
      <c r="DF205" s="14" t="str">
        <f t="shared" si="676"/>
        <v xml:space="preserve"> </v>
      </c>
      <c r="DG205" s="27" t="str">
        <f t="shared" si="812"/>
        <v xml:space="preserve"> </v>
      </c>
      <c r="DH205" s="14" t="str">
        <f t="shared" si="677"/>
        <v xml:space="preserve"> </v>
      </c>
      <c r="DI205" s="14" t="str">
        <f t="shared" si="678"/>
        <v xml:space="preserve"> </v>
      </c>
      <c r="DJ205" s="14" t="str">
        <f t="shared" si="679"/>
        <v xml:space="preserve"> </v>
      </c>
      <c r="DK205" s="14" t="str">
        <f t="shared" si="680"/>
        <v xml:space="preserve"> </v>
      </c>
      <c r="DL205" s="14" t="str">
        <f t="shared" si="681"/>
        <v xml:space="preserve"> </v>
      </c>
      <c r="DM205" s="27" t="str">
        <f t="shared" si="812"/>
        <v xml:space="preserve"> </v>
      </c>
      <c r="DN205" s="14" t="str">
        <f t="shared" si="682"/>
        <v xml:space="preserve"> </v>
      </c>
      <c r="DO205" s="14" t="str">
        <f t="shared" si="683"/>
        <v xml:space="preserve"> </v>
      </c>
      <c r="DP205" s="14" t="str">
        <f t="shared" si="684"/>
        <v xml:space="preserve"> </v>
      </c>
      <c r="DQ205" s="14" t="str">
        <f t="shared" si="685"/>
        <v xml:space="preserve"> </v>
      </c>
      <c r="DR205" s="14" t="str">
        <f t="shared" si="686"/>
        <v xml:space="preserve"> </v>
      </c>
      <c r="DS205" s="27" t="str">
        <f t="shared" si="812"/>
        <v xml:space="preserve"> </v>
      </c>
      <c r="DT205" s="14" t="str">
        <f t="shared" si="687"/>
        <v xml:space="preserve"> </v>
      </c>
      <c r="DU205" s="14" t="str">
        <f t="shared" si="688"/>
        <v xml:space="preserve"> </v>
      </c>
      <c r="DV205" s="14" t="str">
        <f t="shared" si="689"/>
        <v xml:space="preserve"> </v>
      </c>
      <c r="DW205" s="14" t="str">
        <f t="shared" si="690"/>
        <v xml:space="preserve"> </v>
      </c>
      <c r="DX205" s="14" t="str">
        <f t="shared" si="691"/>
        <v xml:space="preserve"> </v>
      </c>
      <c r="DY205" s="27" t="str">
        <f t="shared" si="812"/>
        <v xml:space="preserve"> </v>
      </c>
      <c r="DZ205" s="14" t="str">
        <f t="shared" si="692"/>
        <v xml:space="preserve"> </v>
      </c>
      <c r="EA205" s="14" t="str">
        <f t="shared" si="693"/>
        <v xml:space="preserve"> </v>
      </c>
      <c r="EB205" s="14" t="str">
        <f t="shared" si="694"/>
        <v xml:space="preserve"> </v>
      </c>
      <c r="EC205" s="14" t="str">
        <f t="shared" si="695"/>
        <v xml:space="preserve"> </v>
      </c>
      <c r="ED205" s="14" t="str">
        <f t="shared" si="696"/>
        <v xml:space="preserve"> </v>
      </c>
      <c r="EE205" s="27" t="str">
        <f t="shared" si="812"/>
        <v xml:space="preserve"> </v>
      </c>
      <c r="EF205" s="14" t="str">
        <f t="shared" si="697"/>
        <v xml:space="preserve"> </v>
      </c>
      <c r="EG205" s="14" t="str">
        <f t="shared" si="698"/>
        <v xml:space="preserve"> </v>
      </c>
      <c r="EH205" s="14" t="str">
        <f t="shared" si="699"/>
        <v xml:space="preserve"> </v>
      </c>
      <c r="EI205" s="14" t="str">
        <f t="shared" si="700"/>
        <v xml:space="preserve"> </v>
      </c>
      <c r="EJ205" s="14" t="str">
        <f t="shared" si="701"/>
        <v xml:space="preserve"> </v>
      </c>
      <c r="EK205" s="27" t="str">
        <f t="shared" si="812"/>
        <v xml:space="preserve"> </v>
      </c>
      <c r="EL205" s="14" t="str">
        <f t="shared" si="702"/>
        <v xml:space="preserve"> </v>
      </c>
      <c r="EM205" s="14" t="str">
        <f t="shared" si="703"/>
        <v xml:space="preserve"> </v>
      </c>
      <c r="EN205" s="14" t="str">
        <f t="shared" si="704"/>
        <v xml:space="preserve"> </v>
      </c>
      <c r="EO205" s="14" t="str">
        <f t="shared" si="705"/>
        <v xml:space="preserve"> </v>
      </c>
      <c r="EP205" s="14" t="str">
        <f t="shared" si="706"/>
        <v xml:space="preserve"> </v>
      </c>
      <c r="EQ205" s="27" t="str">
        <f t="shared" si="813"/>
        <v xml:space="preserve"> </v>
      </c>
      <c r="ER205" s="14" t="str">
        <f t="shared" si="708"/>
        <v xml:space="preserve"> </v>
      </c>
      <c r="ES205" s="14" t="str">
        <f t="shared" si="709"/>
        <v xml:space="preserve"> </v>
      </c>
      <c r="ET205" s="14" t="str">
        <f t="shared" si="710"/>
        <v xml:space="preserve"> </v>
      </c>
      <c r="EU205" s="14" t="str">
        <f t="shared" si="711"/>
        <v xml:space="preserve"> </v>
      </c>
      <c r="EV205" s="14" t="str">
        <f t="shared" si="712"/>
        <v xml:space="preserve"> </v>
      </c>
      <c r="EW205" s="27" t="str">
        <f t="shared" si="813"/>
        <v xml:space="preserve"> </v>
      </c>
      <c r="EX205" s="14" t="str">
        <f t="shared" si="713"/>
        <v xml:space="preserve"> </v>
      </c>
      <c r="EY205" s="14" t="str">
        <f t="shared" si="714"/>
        <v xml:space="preserve"> </v>
      </c>
      <c r="EZ205" s="14" t="str">
        <f t="shared" si="715"/>
        <v xml:space="preserve"> </v>
      </c>
      <c r="FA205" s="14" t="str">
        <f t="shared" si="716"/>
        <v xml:space="preserve"> </v>
      </c>
      <c r="FB205" s="14" t="str">
        <f t="shared" si="717"/>
        <v xml:space="preserve"> </v>
      </c>
      <c r="FC205" s="27" t="str">
        <f t="shared" si="813"/>
        <v xml:space="preserve"> </v>
      </c>
      <c r="FD205" s="14" t="str">
        <f t="shared" si="718"/>
        <v xml:space="preserve"> </v>
      </c>
      <c r="FE205" s="14" t="str">
        <f t="shared" si="719"/>
        <v xml:space="preserve"> </v>
      </c>
      <c r="FF205" s="14" t="str">
        <f t="shared" si="720"/>
        <v xml:space="preserve"> </v>
      </c>
      <c r="FG205" s="14" t="str">
        <f t="shared" si="721"/>
        <v xml:space="preserve"> </v>
      </c>
      <c r="FH205" s="14" t="str">
        <f t="shared" si="722"/>
        <v xml:space="preserve"> </v>
      </c>
      <c r="FI205" s="27" t="str">
        <f t="shared" si="813"/>
        <v xml:space="preserve"> </v>
      </c>
      <c r="FJ205" s="14" t="str">
        <f t="shared" si="723"/>
        <v xml:space="preserve"> </v>
      </c>
      <c r="FK205" s="14" t="str">
        <f t="shared" si="724"/>
        <v xml:space="preserve"> </v>
      </c>
      <c r="FL205" s="14" t="str">
        <f t="shared" si="725"/>
        <v xml:space="preserve"> </v>
      </c>
      <c r="FM205" s="14" t="str">
        <f t="shared" si="726"/>
        <v xml:space="preserve"> </v>
      </c>
      <c r="FN205" s="14" t="str">
        <f t="shared" si="727"/>
        <v xml:space="preserve"> </v>
      </c>
      <c r="FO205" s="27" t="str">
        <f t="shared" si="813"/>
        <v xml:space="preserve"> </v>
      </c>
      <c r="FP205" s="14" t="str">
        <f t="shared" si="728"/>
        <v xml:space="preserve"> </v>
      </c>
      <c r="FQ205" s="14" t="str">
        <f t="shared" si="729"/>
        <v xml:space="preserve"> </v>
      </c>
      <c r="FR205" s="14" t="str">
        <f t="shared" si="730"/>
        <v xml:space="preserve"> </v>
      </c>
      <c r="FS205" s="14" t="str">
        <f t="shared" si="731"/>
        <v xml:space="preserve"> </v>
      </c>
      <c r="FT205" s="14" t="str">
        <f t="shared" si="732"/>
        <v xml:space="preserve"> </v>
      </c>
      <c r="FU205" s="27" t="str">
        <f t="shared" si="813"/>
        <v xml:space="preserve"> </v>
      </c>
      <c r="FV205" s="14" t="str">
        <f t="shared" si="733"/>
        <v xml:space="preserve"> </v>
      </c>
      <c r="FW205" s="14" t="str">
        <f t="shared" si="734"/>
        <v xml:space="preserve"> </v>
      </c>
      <c r="FX205" s="14" t="str">
        <f t="shared" si="735"/>
        <v xml:space="preserve"> </v>
      </c>
      <c r="FY205" s="14" t="str">
        <f t="shared" si="736"/>
        <v xml:space="preserve"> </v>
      </c>
      <c r="FZ205" s="14" t="str">
        <f t="shared" si="737"/>
        <v xml:space="preserve"> </v>
      </c>
      <c r="GA205" s="27" t="str">
        <f t="shared" si="813"/>
        <v xml:space="preserve"> </v>
      </c>
      <c r="GB205" s="14" t="str">
        <f t="shared" si="738"/>
        <v xml:space="preserve"> </v>
      </c>
      <c r="GC205" s="14" t="str">
        <f t="shared" si="739"/>
        <v xml:space="preserve"> </v>
      </c>
      <c r="GD205" s="14" t="str">
        <f t="shared" si="740"/>
        <v xml:space="preserve"> </v>
      </c>
      <c r="GE205" s="14" t="str">
        <f t="shared" si="741"/>
        <v xml:space="preserve"> </v>
      </c>
      <c r="GF205" s="14" t="str">
        <f t="shared" si="742"/>
        <v xml:space="preserve"> </v>
      </c>
      <c r="GG205" s="27" t="str">
        <f t="shared" si="813"/>
        <v xml:space="preserve"> </v>
      </c>
      <c r="GH205" s="14" t="str">
        <f t="shared" si="743"/>
        <v xml:space="preserve"> </v>
      </c>
      <c r="GI205" s="14" t="str">
        <f t="shared" si="744"/>
        <v xml:space="preserve"> </v>
      </c>
      <c r="GJ205" s="14" t="str">
        <f t="shared" si="745"/>
        <v xml:space="preserve"> </v>
      </c>
      <c r="GK205" s="14" t="str">
        <f t="shared" si="746"/>
        <v xml:space="preserve"> </v>
      </c>
      <c r="GL205" s="14" t="str">
        <f t="shared" si="747"/>
        <v xml:space="preserve"> </v>
      </c>
      <c r="GM205" s="27" t="str">
        <f t="shared" si="813"/>
        <v xml:space="preserve"> </v>
      </c>
      <c r="GN205" s="14" t="str">
        <f t="shared" si="748"/>
        <v xml:space="preserve"> </v>
      </c>
      <c r="GO205" s="14" t="str">
        <f t="shared" si="749"/>
        <v xml:space="preserve"> </v>
      </c>
      <c r="GP205" s="14" t="str">
        <f t="shared" si="750"/>
        <v xml:space="preserve"> </v>
      </c>
      <c r="GQ205" s="14" t="str">
        <f t="shared" si="751"/>
        <v xml:space="preserve"> </v>
      </c>
      <c r="GR205" s="14" t="str">
        <f t="shared" si="752"/>
        <v xml:space="preserve"> </v>
      </c>
      <c r="GS205" s="27" t="str">
        <f t="shared" si="813"/>
        <v xml:space="preserve"> </v>
      </c>
      <c r="GT205" s="14" t="str">
        <f t="shared" si="753"/>
        <v xml:space="preserve"> </v>
      </c>
      <c r="GU205" s="14" t="str">
        <f t="shared" si="754"/>
        <v xml:space="preserve"> </v>
      </c>
      <c r="GV205" s="14" t="str">
        <f t="shared" si="755"/>
        <v xml:space="preserve"> </v>
      </c>
      <c r="GW205" s="14" t="str">
        <f t="shared" si="756"/>
        <v xml:space="preserve"> </v>
      </c>
      <c r="GX205" s="14" t="str">
        <f t="shared" si="757"/>
        <v xml:space="preserve"> </v>
      </c>
      <c r="GY205" s="27" t="str">
        <f t="shared" si="813"/>
        <v xml:space="preserve"> </v>
      </c>
      <c r="GZ205" s="14" t="str">
        <f t="shared" si="758"/>
        <v xml:space="preserve"> </v>
      </c>
      <c r="HA205" s="14" t="str">
        <f t="shared" si="759"/>
        <v xml:space="preserve"> </v>
      </c>
      <c r="HB205" s="14" t="str">
        <f t="shared" si="760"/>
        <v xml:space="preserve"> </v>
      </c>
      <c r="HC205" s="14" t="str">
        <f t="shared" si="761"/>
        <v xml:space="preserve"> </v>
      </c>
      <c r="HD205" s="14" t="str">
        <f t="shared" si="762"/>
        <v xml:space="preserve"> </v>
      </c>
      <c r="HE205" s="27" t="str">
        <f t="shared" si="814"/>
        <v xml:space="preserve"> </v>
      </c>
      <c r="HF205" s="14" t="str">
        <f t="shared" si="764"/>
        <v xml:space="preserve"> </v>
      </c>
      <c r="HG205" s="14" t="str">
        <f t="shared" si="765"/>
        <v xml:space="preserve"> </v>
      </c>
      <c r="HH205" s="14" t="str">
        <f t="shared" si="766"/>
        <v xml:space="preserve"> </v>
      </c>
      <c r="HI205" s="14" t="str">
        <f t="shared" si="767"/>
        <v xml:space="preserve"> </v>
      </c>
      <c r="HJ205" s="14" t="str">
        <f t="shared" si="768"/>
        <v xml:space="preserve"> </v>
      </c>
      <c r="HK205" s="27" t="str">
        <f t="shared" si="814"/>
        <v xml:space="preserve"> </v>
      </c>
      <c r="HL205" s="14" t="str">
        <f t="shared" si="769"/>
        <v xml:space="preserve"> </v>
      </c>
      <c r="HM205" s="14" t="str">
        <f t="shared" si="770"/>
        <v xml:space="preserve"> </v>
      </c>
      <c r="HN205" s="14" t="str">
        <f t="shared" si="771"/>
        <v xml:space="preserve"> </v>
      </c>
      <c r="HO205" s="14" t="str">
        <f t="shared" si="772"/>
        <v xml:space="preserve"> </v>
      </c>
      <c r="HP205" s="14" t="str">
        <f t="shared" si="773"/>
        <v xml:space="preserve"> </v>
      </c>
      <c r="HQ205" s="27" t="str">
        <f t="shared" si="814"/>
        <v xml:space="preserve"> </v>
      </c>
    </row>
    <row r="206" spans="1:225" ht="15.75" customHeight="1">
      <c r="A206" s="7">
        <f t="shared" ref="A206:C206" si="839">A98</f>
        <v>0</v>
      </c>
      <c r="B206" s="7">
        <f t="shared" si="839"/>
        <v>0</v>
      </c>
      <c r="C206" s="7" t="str">
        <f t="shared" si="839"/>
        <v>start-up with customers</v>
      </c>
      <c r="D206" s="14" t="str">
        <f t="shared" si="775"/>
        <v xml:space="preserve"> </v>
      </c>
      <c r="E206" s="14" t="str">
        <f t="shared" si="776"/>
        <v xml:space="preserve"> </v>
      </c>
      <c r="F206" s="14" t="str">
        <f t="shared" si="777"/>
        <v xml:space="preserve"> </v>
      </c>
      <c r="G206" s="14" t="str">
        <f t="shared" si="778"/>
        <v xml:space="preserve"> </v>
      </c>
      <c r="H206" s="14" t="str">
        <f t="shared" si="779"/>
        <v xml:space="preserve"> </v>
      </c>
      <c r="I206" s="27" t="str">
        <f t="shared" ref="I206" si="840">IF(I98="",I207,$C206&amp;"("&amp;I98&amp;"),"&amp;I207)</f>
        <v xml:space="preserve"> </v>
      </c>
      <c r="J206" s="14" t="str">
        <f t="shared" si="590"/>
        <v xml:space="preserve"> </v>
      </c>
      <c r="K206" s="14" t="str">
        <f t="shared" si="591"/>
        <v xml:space="preserve"> </v>
      </c>
      <c r="L206" s="14" t="str">
        <f t="shared" si="592"/>
        <v xml:space="preserve"> </v>
      </c>
      <c r="M206" s="14" t="str">
        <f t="shared" si="593"/>
        <v xml:space="preserve"> </v>
      </c>
      <c r="N206" s="14" t="str">
        <f t="shared" si="594"/>
        <v xml:space="preserve"> </v>
      </c>
      <c r="O206" s="27" t="str">
        <f t="shared" si="811"/>
        <v xml:space="preserve"> </v>
      </c>
      <c r="P206" s="14" t="str">
        <f t="shared" si="596"/>
        <v xml:space="preserve"> </v>
      </c>
      <c r="Q206" s="14" t="str">
        <f t="shared" si="597"/>
        <v xml:space="preserve"> </v>
      </c>
      <c r="R206" s="14" t="str">
        <f t="shared" si="598"/>
        <v xml:space="preserve"> </v>
      </c>
      <c r="S206" s="14" t="str">
        <f t="shared" si="599"/>
        <v xml:space="preserve"> </v>
      </c>
      <c r="T206" s="14" t="str">
        <f t="shared" si="600"/>
        <v xml:space="preserve"> </v>
      </c>
      <c r="U206" s="27" t="str">
        <f t="shared" si="811"/>
        <v xml:space="preserve"> </v>
      </c>
      <c r="V206" s="14" t="str">
        <f t="shared" si="601"/>
        <v xml:space="preserve"> </v>
      </c>
      <c r="W206" s="14" t="str">
        <f t="shared" si="602"/>
        <v xml:space="preserve"> </v>
      </c>
      <c r="X206" s="14" t="str">
        <f t="shared" si="603"/>
        <v xml:space="preserve"> </v>
      </c>
      <c r="Y206" s="14" t="str">
        <f t="shared" si="604"/>
        <v xml:space="preserve"> </v>
      </c>
      <c r="Z206" s="14" t="str">
        <f t="shared" si="605"/>
        <v xml:space="preserve"> </v>
      </c>
      <c r="AA206" s="27" t="str">
        <f t="shared" si="811"/>
        <v xml:space="preserve"> </v>
      </c>
      <c r="AB206" s="14" t="str">
        <f t="shared" si="606"/>
        <v xml:space="preserve"> </v>
      </c>
      <c r="AC206" s="14" t="str">
        <f t="shared" si="607"/>
        <v xml:space="preserve"> </v>
      </c>
      <c r="AD206" s="14" t="str">
        <f t="shared" si="608"/>
        <v xml:space="preserve"> </v>
      </c>
      <c r="AE206" s="14" t="str">
        <f t="shared" si="609"/>
        <v xml:space="preserve"> </v>
      </c>
      <c r="AF206" s="14" t="str">
        <f t="shared" si="610"/>
        <v xml:space="preserve"> </v>
      </c>
      <c r="AG206" s="27" t="str">
        <f t="shared" si="811"/>
        <v xml:space="preserve"> </v>
      </c>
      <c r="AH206" s="14" t="str">
        <f t="shared" si="611"/>
        <v xml:space="preserve"> </v>
      </c>
      <c r="AI206" s="14" t="str">
        <f t="shared" si="612"/>
        <v xml:space="preserve"> </v>
      </c>
      <c r="AJ206" s="14" t="str">
        <f t="shared" si="613"/>
        <v xml:space="preserve"> </v>
      </c>
      <c r="AK206" s="14" t="str">
        <f t="shared" si="614"/>
        <v xml:space="preserve"> </v>
      </c>
      <c r="AL206" s="14" t="str">
        <f t="shared" si="615"/>
        <v xml:space="preserve"> </v>
      </c>
      <c r="AM206" s="27" t="str">
        <f t="shared" si="811"/>
        <v xml:space="preserve"> </v>
      </c>
      <c r="AN206" s="14" t="str">
        <f t="shared" si="616"/>
        <v xml:space="preserve"> </v>
      </c>
      <c r="AO206" s="14" t="str">
        <f t="shared" si="617"/>
        <v xml:space="preserve"> </v>
      </c>
      <c r="AP206" s="14" t="str">
        <f t="shared" si="618"/>
        <v xml:space="preserve"> </v>
      </c>
      <c r="AQ206" s="14" t="str">
        <f t="shared" si="619"/>
        <v xml:space="preserve"> </v>
      </c>
      <c r="AR206" s="14" t="str">
        <f t="shared" si="620"/>
        <v xml:space="preserve"> </v>
      </c>
      <c r="AS206" s="27" t="str">
        <f t="shared" si="811"/>
        <v xml:space="preserve"> </v>
      </c>
      <c r="AT206" s="14" t="str">
        <f t="shared" si="621"/>
        <v xml:space="preserve"> </v>
      </c>
      <c r="AU206" s="14" t="str">
        <f t="shared" si="622"/>
        <v xml:space="preserve"> </v>
      </c>
      <c r="AV206" s="14" t="str">
        <f t="shared" si="623"/>
        <v xml:space="preserve"> </v>
      </c>
      <c r="AW206" s="14" t="str">
        <f t="shared" si="624"/>
        <v xml:space="preserve"> </v>
      </c>
      <c r="AX206" s="14" t="str">
        <f t="shared" si="625"/>
        <v xml:space="preserve"> </v>
      </c>
      <c r="AY206" s="27" t="str">
        <f t="shared" si="811"/>
        <v xml:space="preserve"> </v>
      </c>
      <c r="AZ206" s="14" t="str">
        <f t="shared" si="626"/>
        <v xml:space="preserve"> </v>
      </c>
      <c r="BA206" s="14" t="str">
        <f t="shared" si="627"/>
        <v xml:space="preserve"> </v>
      </c>
      <c r="BB206" s="14" t="str">
        <f t="shared" si="628"/>
        <v xml:space="preserve"> </v>
      </c>
      <c r="BC206" s="14" t="str">
        <f t="shared" si="629"/>
        <v xml:space="preserve"> </v>
      </c>
      <c r="BD206" s="14" t="str">
        <f t="shared" si="630"/>
        <v xml:space="preserve"> </v>
      </c>
      <c r="BE206" s="27" t="str">
        <f t="shared" si="811"/>
        <v xml:space="preserve"> </v>
      </c>
      <c r="BF206" s="14" t="str">
        <f t="shared" si="631"/>
        <v xml:space="preserve"> </v>
      </c>
      <c r="BG206" s="14" t="str">
        <f t="shared" si="632"/>
        <v xml:space="preserve"> </v>
      </c>
      <c r="BH206" s="14" t="str">
        <f t="shared" si="633"/>
        <v xml:space="preserve"> </v>
      </c>
      <c r="BI206" s="14" t="str">
        <f t="shared" si="634"/>
        <v xml:space="preserve"> </v>
      </c>
      <c r="BJ206" s="14" t="str">
        <f t="shared" si="635"/>
        <v xml:space="preserve"> </v>
      </c>
      <c r="BK206" s="27" t="str">
        <f t="shared" si="811"/>
        <v xml:space="preserve"> </v>
      </c>
      <c r="BL206" s="14" t="str">
        <f t="shared" si="636"/>
        <v xml:space="preserve"> </v>
      </c>
      <c r="BM206" s="14" t="str">
        <f t="shared" si="637"/>
        <v xml:space="preserve"> </v>
      </c>
      <c r="BN206" s="14" t="str">
        <f t="shared" si="638"/>
        <v xml:space="preserve"> </v>
      </c>
      <c r="BO206" s="14" t="str">
        <f t="shared" si="639"/>
        <v xml:space="preserve"> </v>
      </c>
      <c r="BP206" s="14" t="str">
        <f t="shared" si="640"/>
        <v xml:space="preserve"> </v>
      </c>
      <c r="BQ206" s="27" t="str">
        <f t="shared" si="811"/>
        <v xml:space="preserve"> </v>
      </c>
      <c r="BR206" s="14" t="str">
        <f t="shared" si="641"/>
        <v xml:space="preserve"> </v>
      </c>
      <c r="BS206" s="14" t="str">
        <f t="shared" si="642"/>
        <v xml:space="preserve"> </v>
      </c>
      <c r="BT206" s="14" t="str">
        <f t="shared" si="643"/>
        <v xml:space="preserve"> </v>
      </c>
      <c r="BU206" s="14" t="str">
        <f t="shared" si="644"/>
        <v xml:space="preserve"> </v>
      </c>
      <c r="BV206" s="14" t="str">
        <f t="shared" si="645"/>
        <v xml:space="preserve"> </v>
      </c>
      <c r="BW206" s="27" t="str">
        <f t="shared" si="811"/>
        <v xml:space="preserve"> </v>
      </c>
      <c r="BX206" s="14" t="str">
        <f t="shared" si="646"/>
        <v xml:space="preserve"> </v>
      </c>
      <c r="BY206" s="14" t="str">
        <f t="shared" si="647"/>
        <v xml:space="preserve"> </v>
      </c>
      <c r="BZ206" s="14" t="str">
        <f t="shared" si="648"/>
        <v xml:space="preserve"> </v>
      </c>
      <c r="CA206" s="14" t="str">
        <f t="shared" si="649"/>
        <v xml:space="preserve"> </v>
      </c>
      <c r="CB206" s="14" t="str">
        <f t="shared" si="650"/>
        <v xml:space="preserve"> </v>
      </c>
      <c r="CC206" s="27" t="str">
        <f t="shared" si="812"/>
        <v xml:space="preserve"> </v>
      </c>
      <c r="CD206" s="14" t="str">
        <f t="shared" si="652"/>
        <v xml:space="preserve"> </v>
      </c>
      <c r="CE206" s="14" t="str">
        <f t="shared" si="653"/>
        <v xml:space="preserve"> </v>
      </c>
      <c r="CF206" s="14" t="str">
        <f t="shared" si="654"/>
        <v xml:space="preserve"> </v>
      </c>
      <c r="CG206" s="14" t="str">
        <f t="shared" si="655"/>
        <v xml:space="preserve"> </v>
      </c>
      <c r="CH206" s="14" t="str">
        <f t="shared" si="656"/>
        <v xml:space="preserve"> </v>
      </c>
      <c r="CI206" s="27" t="str">
        <f t="shared" si="812"/>
        <v xml:space="preserve"> </v>
      </c>
      <c r="CJ206" s="14" t="str">
        <f t="shared" si="657"/>
        <v xml:space="preserve"> </v>
      </c>
      <c r="CK206" s="14" t="str">
        <f t="shared" si="658"/>
        <v xml:space="preserve"> </v>
      </c>
      <c r="CL206" s="14" t="str">
        <f t="shared" si="659"/>
        <v xml:space="preserve"> </v>
      </c>
      <c r="CM206" s="14" t="str">
        <f t="shared" si="660"/>
        <v xml:space="preserve"> </v>
      </c>
      <c r="CN206" s="14" t="str">
        <f t="shared" si="661"/>
        <v xml:space="preserve"> </v>
      </c>
      <c r="CO206" s="27" t="str">
        <f t="shared" si="812"/>
        <v xml:space="preserve"> </v>
      </c>
      <c r="CP206" s="14" t="str">
        <f t="shared" si="662"/>
        <v xml:space="preserve"> </v>
      </c>
      <c r="CQ206" s="14" t="str">
        <f t="shared" si="663"/>
        <v xml:space="preserve"> </v>
      </c>
      <c r="CR206" s="14" t="str">
        <f t="shared" si="664"/>
        <v xml:space="preserve"> </v>
      </c>
      <c r="CS206" s="14" t="str">
        <f t="shared" si="665"/>
        <v xml:space="preserve"> </v>
      </c>
      <c r="CT206" s="14" t="str">
        <f t="shared" si="666"/>
        <v xml:space="preserve"> </v>
      </c>
      <c r="CU206" s="27" t="str">
        <f t="shared" si="812"/>
        <v xml:space="preserve"> </v>
      </c>
      <c r="CV206" s="14" t="str">
        <f t="shared" si="667"/>
        <v xml:space="preserve"> </v>
      </c>
      <c r="CW206" s="14" t="str">
        <f t="shared" si="668"/>
        <v xml:space="preserve"> </v>
      </c>
      <c r="CX206" s="14" t="str">
        <f t="shared" si="669"/>
        <v xml:space="preserve"> </v>
      </c>
      <c r="CY206" s="14" t="str">
        <f t="shared" si="670"/>
        <v xml:space="preserve"> </v>
      </c>
      <c r="CZ206" s="14" t="str">
        <f t="shared" si="671"/>
        <v xml:space="preserve"> </v>
      </c>
      <c r="DA206" s="27" t="str">
        <f t="shared" si="812"/>
        <v xml:space="preserve"> </v>
      </c>
      <c r="DB206" s="14" t="str">
        <f t="shared" si="672"/>
        <v xml:space="preserve"> </v>
      </c>
      <c r="DC206" s="14" t="str">
        <f t="shared" si="673"/>
        <v xml:space="preserve"> </v>
      </c>
      <c r="DD206" s="14" t="str">
        <f t="shared" si="674"/>
        <v xml:space="preserve"> </v>
      </c>
      <c r="DE206" s="14" t="str">
        <f t="shared" si="675"/>
        <v xml:space="preserve"> </v>
      </c>
      <c r="DF206" s="14" t="str">
        <f t="shared" si="676"/>
        <v xml:space="preserve"> </v>
      </c>
      <c r="DG206" s="27" t="str">
        <f t="shared" si="812"/>
        <v xml:space="preserve"> </v>
      </c>
      <c r="DH206" s="14" t="str">
        <f t="shared" si="677"/>
        <v xml:space="preserve"> </v>
      </c>
      <c r="DI206" s="14" t="str">
        <f t="shared" si="678"/>
        <v xml:space="preserve"> </v>
      </c>
      <c r="DJ206" s="14" t="str">
        <f t="shared" si="679"/>
        <v xml:space="preserve"> </v>
      </c>
      <c r="DK206" s="14" t="str">
        <f t="shared" si="680"/>
        <v xml:space="preserve"> </v>
      </c>
      <c r="DL206" s="14" t="str">
        <f t="shared" si="681"/>
        <v xml:space="preserve"> </v>
      </c>
      <c r="DM206" s="27" t="str">
        <f t="shared" si="812"/>
        <v xml:space="preserve"> </v>
      </c>
      <c r="DN206" s="14" t="str">
        <f t="shared" si="682"/>
        <v xml:space="preserve"> </v>
      </c>
      <c r="DO206" s="14" t="str">
        <f t="shared" si="683"/>
        <v xml:space="preserve"> </v>
      </c>
      <c r="DP206" s="14" t="str">
        <f t="shared" si="684"/>
        <v xml:space="preserve"> </v>
      </c>
      <c r="DQ206" s="14" t="str">
        <f t="shared" si="685"/>
        <v xml:space="preserve"> </v>
      </c>
      <c r="DR206" s="14" t="str">
        <f t="shared" si="686"/>
        <v xml:space="preserve"> </v>
      </c>
      <c r="DS206" s="27" t="str">
        <f t="shared" si="812"/>
        <v xml:space="preserve"> </v>
      </c>
      <c r="DT206" s="14" t="str">
        <f t="shared" si="687"/>
        <v xml:space="preserve"> </v>
      </c>
      <c r="DU206" s="14" t="str">
        <f t="shared" si="688"/>
        <v xml:space="preserve"> </v>
      </c>
      <c r="DV206" s="14" t="str">
        <f t="shared" si="689"/>
        <v xml:space="preserve"> </v>
      </c>
      <c r="DW206" s="14" t="str">
        <f t="shared" si="690"/>
        <v xml:space="preserve"> </v>
      </c>
      <c r="DX206" s="14" t="str">
        <f t="shared" si="691"/>
        <v xml:space="preserve"> </v>
      </c>
      <c r="DY206" s="27" t="str">
        <f t="shared" si="812"/>
        <v xml:space="preserve"> </v>
      </c>
      <c r="DZ206" s="14" t="str">
        <f t="shared" si="692"/>
        <v xml:space="preserve"> </v>
      </c>
      <c r="EA206" s="14" t="str">
        <f t="shared" si="693"/>
        <v xml:space="preserve"> </v>
      </c>
      <c r="EB206" s="14" t="str">
        <f t="shared" si="694"/>
        <v xml:space="preserve"> </v>
      </c>
      <c r="EC206" s="14" t="str">
        <f t="shared" si="695"/>
        <v xml:space="preserve"> </v>
      </c>
      <c r="ED206" s="14" t="str">
        <f t="shared" si="696"/>
        <v xml:space="preserve"> </v>
      </c>
      <c r="EE206" s="27" t="str">
        <f t="shared" si="812"/>
        <v xml:space="preserve"> </v>
      </c>
      <c r="EF206" s="14" t="str">
        <f t="shared" si="697"/>
        <v xml:space="preserve"> </v>
      </c>
      <c r="EG206" s="14" t="str">
        <f t="shared" si="698"/>
        <v xml:space="preserve"> </v>
      </c>
      <c r="EH206" s="14" t="str">
        <f t="shared" si="699"/>
        <v xml:space="preserve"> </v>
      </c>
      <c r="EI206" s="14" t="str">
        <f t="shared" si="700"/>
        <v xml:space="preserve"> </v>
      </c>
      <c r="EJ206" s="14" t="str">
        <f t="shared" si="701"/>
        <v xml:space="preserve"> </v>
      </c>
      <c r="EK206" s="27" t="str">
        <f t="shared" si="812"/>
        <v xml:space="preserve"> </v>
      </c>
      <c r="EL206" s="14" t="str">
        <f t="shared" si="702"/>
        <v xml:space="preserve"> </v>
      </c>
      <c r="EM206" s="14" t="str">
        <f t="shared" si="703"/>
        <v xml:space="preserve"> </v>
      </c>
      <c r="EN206" s="14" t="str">
        <f t="shared" si="704"/>
        <v xml:space="preserve"> </v>
      </c>
      <c r="EO206" s="14" t="str">
        <f t="shared" si="705"/>
        <v xml:space="preserve"> </v>
      </c>
      <c r="EP206" s="14" t="str">
        <f t="shared" si="706"/>
        <v xml:space="preserve"> </v>
      </c>
      <c r="EQ206" s="27" t="str">
        <f t="shared" si="813"/>
        <v xml:space="preserve"> </v>
      </c>
      <c r="ER206" s="14" t="str">
        <f t="shared" si="708"/>
        <v xml:space="preserve"> </v>
      </c>
      <c r="ES206" s="14" t="str">
        <f t="shared" si="709"/>
        <v xml:space="preserve"> </v>
      </c>
      <c r="ET206" s="14" t="str">
        <f t="shared" si="710"/>
        <v xml:space="preserve"> </v>
      </c>
      <c r="EU206" s="14" t="str">
        <f t="shared" si="711"/>
        <v xml:space="preserve"> </v>
      </c>
      <c r="EV206" s="14" t="str">
        <f t="shared" si="712"/>
        <v xml:space="preserve"> </v>
      </c>
      <c r="EW206" s="27" t="str">
        <f t="shared" si="813"/>
        <v xml:space="preserve"> </v>
      </c>
      <c r="EX206" s="14" t="str">
        <f t="shared" si="713"/>
        <v xml:space="preserve"> </v>
      </c>
      <c r="EY206" s="14" t="str">
        <f t="shared" si="714"/>
        <v xml:space="preserve"> </v>
      </c>
      <c r="EZ206" s="14" t="str">
        <f t="shared" si="715"/>
        <v xml:space="preserve"> </v>
      </c>
      <c r="FA206" s="14" t="str">
        <f t="shared" si="716"/>
        <v xml:space="preserve"> </v>
      </c>
      <c r="FB206" s="14" t="str">
        <f t="shared" si="717"/>
        <v xml:space="preserve"> </v>
      </c>
      <c r="FC206" s="27" t="str">
        <f t="shared" si="813"/>
        <v xml:space="preserve"> </v>
      </c>
      <c r="FD206" s="14" t="str">
        <f t="shared" si="718"/>
        <v xml:space="preserve"> </v>
      </c>
      <c r="FE206" s="14" t="str">
        <f t="shared" si="719"/>
        <v xml:space="preserve"> </v>
      </c>
      <c r="FF206" s="14" t="str">
        <f t="shared" si="720"/>
        <v xml:space="preserve"> </v>
      </c>
      <c r="FG206" s="14" t="str">
        <f t="shared" si="721"/>
        <v xml:space="preserve"> </v>
      </c>
      <c r="FH206" s="14" t="str">
        <f t="shared" si="722"/>
        <v xml:space="preserve"> </v>
      </c>
      <c r="FI206" s="27" t="str">
        <f t="shared" si="813"/>
        <v xml:space="preserve"> </v>
      </c>
      <c r="FJ206" s="14" t="str">
        <f t="shared" si="723"/>
        <v xml:space="preserve"> </v>
      </c>
      <c r="FK206" s="14" t="str">
        <f t="shared" si="724"/>
        <v xml:space="preserve"> </v>
      </c>
      <c r="FL206" s="14" t="str">
        <f t="shared" si="725"/>
        <v xml:space="preserve"> </v>
      </c>
      <c r="FM206" s="14" t="str">
        <f t="shared" si="726"/>
        <v xml:space="preserve"> </v>
      </c>
      <c r="FN206" s="14" t="str">
        <f t="shared" si="727"/>
        <v xml:space="preserve"> </v>
      </c>
      <c r="FO206" s="27" t="str">
        <f t="shared" si="813"/>
        <v xml:space="preserve"> </v>
      </c>
      <c r="FP206" s="14" t="str">
        <f t="shared" si="728"/>
        <v xml:space="preserve"> </v>
      </c>
      <c r="FQ206" s="14" t="str">
        <f t="shared" si="729"/>
        <v xml:space="preserve"> </v>
      </c>
      <c r="FR206" s="14" t="str">
        <f t="shared" si="730"/>
        <v xml:space="preserve"> </v>
      </c>
      <c r="FS206" s="14" t="str">
        <f t="shared" si="731"/>
        <v xml:space="preserve"> </v>
      </c>
      <c r="FT206" s="14" t="str">
        <f t="shared" si="732"/>
        <v xml:space="preserve"> </v>
      </c>
      <c r="FU206" s="27" t="str">
        <f t="shared" si="813"/>
        <v xml:space="preserve"> </v>
      </c>
      <c r="FV206" s="14" t="str">
        <f t="shared" si="733"/>
        <v xml:space="preserve"> </v>
      </c>
      <c r="FW206" s="14" t="str">
        <f t="shared" si="734"/>
        <v xml:space="preserve"> </v>
      </c>
      <c r="FX206" s="14" t="str">
        <f t="shared" si="735"/>
        <v xml:space="preserve"> </v>
      </c>
      <c r="FY206" s="14" t="str">
        <f t="shared" si="736"/>
        <v xml:space="preserve"> </v>
      </c>
      <c r="FZ206" s="14" t="str">
        <f t="shared" si="737"/>
        <v xml:space="preserve"> </v>
      </c>
      <c r="GA206" s="27" t="str">
        <f t="shared" si="813"/>
        <v xml:space="preserve"> </v>
      </c>
      <c r="GB206" s="14" t="str">
        <f t="shared" si="738"/>
        <v xml:space="preserve"> </v>
      </c>
      <c r="GC206" s="14" t="str">
        <f t="shared" si="739"/>
        <v xml:space="preserve"> </v>
      </c>
      <c r="GD206" s="14" t="str">
        <f t="shared" si="740"/>
        <v xml:space="preserve"> </v>
      </c>
      <c r="GE206" s="14" t="str">
        <f t="shared" si="741"/>
        <v xml:space="preserve"> </v>
      </c>
      <c r="GF206" s="14" t="str">
        <f t="shared" si="742"/>
        <v xml:space="preserve"> </v>
      </c>
      <c r="GG206" s="27" t="str">
        <f t="shared" si="813"/>
        <v xml:space="preserve"> </v>
      </c>
      <c r="GH206" s="14" t="str">
        <f t="shared" si="743"/>
        <v xml:space="preserve"> </v>
      </c>
      <c r="GI206" s="14" t="str">
        <f t="shared" si="744"/>
        <v xml:space="preserve"> </v>
      </c>
      <c r="GJ206" s="14" t="str">
        <f t="shared" si="745"/>
        <v xml:space="preserve"> </v>
      </c>
      <c r="GK206" s="14" t="str">
        <f t="shared" si="746"/>
        <v xml:space="preserve"> </v>
      </c>
      <c r="GL206" s="14" t="str">
        <f t="shared" si="747"/>
        <v xml:space="preserve"> </v>
      </c>
      <c r="GM206" s="27" t="str">
        <f t="shared" si="813"/>
        <v xml:space="preserve"> </v>
      </c>
      <c r="GN206" s="14" t="str">
        <f t="shared" si="748"/>
        <v xml:space="preserve"> </v>
      </c>
      <c r="GO206" s="14" t="str">
        <f t="shared" si="749"/>
        <v xml:space="preserve"> </v>
      </c>
      <c r="GP206" s="14" t="str">
        <f t="shared" si="750"/>
        <v xml:space="preserve"> </v>
      </c>
      <c r="GQ206" s="14" t="str">
        <f t="shared" si="751"/>
        <v xml:space="preserve"> </v>
      </c>
      <c r="GR206" s="14" t="str">
        <f t="shared" si="752"/>
        <v xml:space="preserve"> </v>
      </c>
      <c r="GS206" s="27" t="str">
        <f t="shared" si="813"/>
        <v xml:space="preserve"> </v>
      </c>
      <c r="GT206" s="14" t="str">
        <f t="shared" si="753"/>
        <v xml:space="preserve"> </v>
      </c>
      <c r="GU206" s="14" t="str">
        <f t="shared" si="754"/>
        <v xml:space="preserve"> </v>
      </c>
      <c r="GV206" s="14" t="str">
        <f t="shared" si="755"/>
        <v xml:space="preserve"> </v>
      </c>
      <c r="GW206" s="14" t="str">
        <f t="shared" si="756"/>
        <v xml:space="preserve"> </v>
      </c>
      <c r="GX206" s="14" t="str">
        <f t="shared" si="757"/>
        <v xml:space="preserve"> </v>
      </c>
      <c r="GY206" s="27" t="str">
        <f t="shared" si="813"/>
        <v xml:space="preserve"> </v>
      </c>
      <c r="GZ206" s="14" t="str">
        <f t="shared" si="758"/>
        <v xml:space="preserve"> </v>
      </c>
      <c r="HA206" s="14" t="str">
        <f t="shared" si="759"/>
        <v xml:space="preserve"> </v>
      </c>
      <c r="HB206" s="14" t="str">
        <f t="shared" si="760"/>
        <v xml:space="preserve"> </v>
      </c>
      <c r="HC206" s="14" t="str">
        <f t="shared" si="761"/>
        <v xml:space="preserve"> </v>
      </c>
      <c r="HD206" s="14" t="str">
        <f t="shared" si="762"/>
        <v xml:space="preserve"> </v>
      </c>
      <c r="HE206" s="27" t="str">
        <f t="shared" si="814"/>
        <v xml:space="preserve"> </v>
      </c>
      <c r="HF206" s="14" t="str">
        <f t="shared" si="764"/>
        <v xml:space="preserve"> </v>
      </c>
      <c r="HG206" s="14" t="str">
        <f t="shared" si="765"/>
        <v xml:space="preserve"> </v>
      </c>
      <c r="HH206" s="14" t="str">
        <f t="shared" si="766"/>
        <v xml:space="preserve"> </v>
      </c>
      <c r="HI206" s="14" t="str">
        <f t="shared" si="767"/>
        <v xml:space="preserve"> </v>
      </c>
      <c r="HJ206" s="14" t="str">
        <f t="shared" si="768"/>
        <v xml:space="preserve"> </v>
      </c>
      <c r="HK206" s="27" t="str">
        <f t="shared" si="814"/>
        <v xml:space="preserve"> </v>
      </c>
      <c r="HL206" s="14" t="str">
        <f t="shared" si="769"/>
        <v xml:space="preserve"> </v>
      </c>
      <c r="HM206" s="14" t="str">
        <f t="shared" si="770"/>
        <v xml:space="preserve"> </v>
      </c>
      <c r="HN206" s="14" t="str">
        <f t="shared" si="771"/>
        <v xml:space="preserve"> </v>
      </c>
      <c r="HO206" s="14" t="str">
        <f t="shared" si="772"/>
        <v xml:space="preserve"> </v>
      </c>
      <c r="HP206" s="14" t="str">
        <f t="shared" si="773"/>
        <v xml:space="preserve"> </v>
      </c>
      <c r="HQ206" s="27" t="str">
        <f t="shared" si="814"/>
        <v xml:space="preserve"> </v>
      </c>
    </row>
    <row r="207" spans="1:225" ht="15.75" customHeight="1">
      <c r="A207" s="7">
        <f t="shared" ref="A207:C207" si="841">A99</f>
        <v>0</v>
      </c>
      <c r="B207" s="7" t="str">
        <f t="shared" si="841"/>
        <v>education&amp; learning</v>
      </c>
      <c r="C207" s="7" t="str">
        <f t="shared" si="841"/>
        <v>for basic literacy</v>
      </c>
      <c r="D207" s="14" t="str">
        <f t="shared" si="775"/>
        <v xml:space="preserve"> </v>
      </c>
      <c r="E207" s="14" t="str">
        <f t="shared" si="776"/>
        <v xml:space="preserve"> </v>
      </c>
      <c r="F207" s="14" t="str">
        <f t="shared" si="777"/>
        <v xml:space="preserve"> </v>
      </c>
      <c r="G207" s="14" t="str">
        <f t="shared" si="778"/>
        <v xml:space="preserve"> </v>
      </c>
      <c r="H207" s="14" t="str">
        <f t="shared" si="779"/>
        <v xml:space="preserve"> </v>
      </c>
      <c r="I207" s="27" t="str">
        <f t="shared" ref="I207" si="842">IF(I99="",I208,$C207&amp;"("&amp;I99&amp;"),"&amp;I208)</f>
        <v xml:space="preserve"> </v>
      </c>
      <c r="J207" s="14" t="str">
        <f t="shared" si="590"/>
        <v xml:space="preserve"> </v>
      </c>
      <c r="K207" s="14" t="str">
        <f t="shared" si="591"/>
        <v xml:space="preserve"> </v>
      </c>
      <c r="L207" s="14" t="str">
        <f t="shared" si="592"/>
        <v xml:space="preserve"> </v>
      </c>
      <c r="M207" s="14" t="str">
        <f t="shared" si="593"/>
        <v xml:space="preserve"> </v>
      </c>
      <c r="N207" s="14" t="str">
        <f t="shared" si="594"/>
        <v xml:space="preserve"> </v>
      </c>
      <c r="O207" s="27" t="str">
        <f t="shared" si="811"/>
        <v xml:space="preserve"> </v>
      </c>
      <c r="P207" s="14" t="str">
        <f t="shared" si="596"/>
        <v xml:space="preserve"> </v>
      </c>
      <c r="Q207" s="14" t="str">
        <f t="shared" si="597"/>
        <v xml:space="preserve"> </v>
      </c>
      <c r="R207" s="14" t="str">
        <f t="shared" si="598"/>
        <v xml:space="preserve"> </v>
      </c>
      <c r="S207" s="14" t="str">
        <f t="shared" si="599"/>
        <v xml:space="preserve"> </v>
      </c>
      <c r="T207" s="14" t="str">
        <f t="shared" si="600"/>
        <v xml:space="preserve"> </v>
      </c>
      <c r="U207" s="27" t="str">
        <f t="shared" si="811"/>
        <v xml:space="preserve"> </v>
      </c>
      <c r="V207" s="14" t="str">
        <f t="shared" si="601"/>
        <v xml:space="preserve"> </v>
      </c>
      <c r="W207" s="14" t="str">
        <f t="shared" si="602"/>
        <v xml:space="preserve"> </v>
      </c>
      <c r="X207" s="14" t="str">
        <f t="shared" si="603"/>
        <v xml:space="preserve"> </v>
      </c>
      <c r="Y207" s="14" t="str">
        <f t="shared" si="604"/>
        <v xml:space="preserve"> </v>
      </c>
      <c r="Z207" s="14" t="str">
        <f t="shared" si="605"/>
        <v xml:space="preserve"> </v>
      </c>
      <c r="AA207" s="27" t="str">
        <f t="shared" si="811"/>
        <v xml:space="preserve"> </v>
      </c>
      <c r="AB207" s="14" t="str">
        <f t="shared" si="606"/>
        <v xml:space="preserve"> </v>
      </c>
      <c r="AC207" s="14" t="str">
        <f t="shared" si="607"/>
        <v xml:space="preserve"> </v>
      </c>
      <c r="AD207" s="14" t="str">
        <f t="shared" si="608"/>
        <v xml:space="preserve"> </v>
      </c>
      <c r="AE207" s="14" t="str">
        <f t="shared" si="609"/>
        <v xml:space="preserve"> </v>
      </c>
      <c r="AF207" s="14" t="str">
        <f t="shared" si="610"/>
        <v xml:space="preserve"> </v>
      </c>
      <c r="AG207" s="27" t="str">
        <f t="shared" si="811"/>
        <v xml:space="preserve"> </v>
      </c>
      <c r="AH207" s="14" t="str">
        <f t="shared" si="611"/>
        <v xml:space="preserve"> </v>
      </c>
      <c r="AI207" s="14" t="str">
        <f t="shared" si="612"/>
        <v xml:space="preserve"> </v>
      </c>
      <c r="AJ207" s="14" t="str">
        <f t="shared" si="613"/>
        <v xml:space="preserve"> </v>
      </c>
      <c r="AK207" s="14" t="str">
        <f t="shared" si="614"/>
        <v xml:space="preserve"> </v>
      </c>
      <c r="AL207" s="14" t="str">
        <f t="shared" si="615"/>
        <v xml:space="preserve"> </v>
      </c>
      <c r="AM207" s="27" t="str">
        <f t="shared" si="811"/>
        <v xml:space="preserve"> </v>
      </c>
      <c r="AN207" s="14" t="str">
        <f t="shared" si="616"/>
        <v xml:space="preserve"> </v>
      </c>
      <c r="AO207" s="14" t="str">
        <f t="shared" si="617"/>
        <v xml:space="preserve"> </v>
      </c>
      <c r="AP207" s="14" t="str">
        <f t="shared" si="618"/>
        <v xml:space="preserve"> </v>
      </c>
      <c r="AQ207" s="14" t="str">
        <f t="shared" si="619"/>
        <v xml:space="preserve"> </v>
      </c>
      <c r="AR207" s="14" t="str">
        <f t="shared" si="620"/>
        <v xml:space="preserve"> </v>
      </c>
      <c r="AS207" s="27" t="str">
        <f t="shared" si="811"/>
        <v xml:space="preserve"> </v>
      </c>
      <c r="AT207" s="14" t="str">
        <f t="shared" si="621"/>
        <v xml:space="preserve"> </v>
      </c>
      <c r="AU207" s="14" t="str">
        <f t="shared" si="622"/>
        <v xml:space="preserve"> </v>
      </c>
      <c r="AV207" s="14" t="str">
        <f t="shared" si="623"/>
        <v xml:space="preserve"> </v>
      </c>
      <c r="AW207" s="14" t="str">
        <f t="shared" si="624"/>
        <v xml:space="preserve"> </v>
      </c>
      <c r="AX207" s="14" t="str">
        <f t="shared" si="625"/>
        <v xml:space="preserve"> </v>
      </c>
      <c r="AY207" s="27" t="str">
        <f t="shared" si="811"/>
        <v xml:space="preserve"> </v>
      </c>
      <c r="AZ207" s="14" t="str">
        <f t="shared" si="626"/>
        <v xml:space="preserve"> </v>
      </c>
      <c r="BA207" s="14" t="str">
        <f t="shared" si="627"/>
        <v xml:space="preserve"> </v>
      </c>
      <c r="BB207" s="14" t="str">
        <f t="shared" si="628"/>
        <v xml:space="preserve"> </v>
      </c>
      <c r="BC207" s="14" t="str">
        <f t="shared" si="629"/>
        <v xml:space="preserve"> </v>
      </c>
      <c r="BD207" s="14" t="str">
        <f t="shared" si="630"/>
        <v xml:space="preserve"> </v>
      </c>
      <c r="BE207" s="27" t="str">
        <f t="shared" si="811"/>
        <v xml:space="preserve"> </v>
      </c>
      <c r="BF207" s="14" t="str">
        <f t="shared" si="631"/>
        <v xml:space="preserve"> </v>
      </c>
      <c r="BG207" s="14" t="str">
        <f t="shared" si="632"/>
        <v xml:space="preserve"> </v>
      </c>
      <c r="BH207" s="14" t="str">
        <f t="shared" si="633"/>
        <v xml:space="preserve"> </v>
      </c>
      <c r="BI207" s="14" t="str">
        <f t="shared" si="634"/>
        <v xml:space="preserve"> </v>
      </c>
      <c r="BJ207" s="14" t="str">
        <f t="shared" si="635"/>
        <v xml:space="preserve"> </v>
      </c>
      <c r="BK207" s="27" t="str">
        <f t="shared" si="811"/>
        <v xml:space="preserve"> </v>
      </c>
      <c r="BL207" s="14" t="str">
        <f t="shared" si="636"/>
        <v xml:space="preserve"> </v>
      </c>
      <c r="BM207" s="14" t="str">
        <f t="shared" si="637"/>
        <v xml:space="preserve"> </v>
      </c>
      <c r="BN207" s="14" t="str">
        <f t="shared" si="638"/>
        <v xml:space="preserve"> </v>
      </c>
      <c r="BO207" s="14" t="str">
        <f t="shared" si="639"/>
        <v xml:space="preserve"> </v>
      </c>
      <c r="BP207" s="14" t="str">
        <f t="shared" si="640"/>
        <v xml:space="preserve"> </v>
      </c>
      <c r="BQ207" s="27" t="str">
        <f t="shared" si="811"/>
        <v xml:space="preserve"> </v>
      </c>
      <c r="BR207" s="14" t="str">
        <f t="shared" si="641"/>
        <v xml:space="preserve"> </v>
      </c>
      <c r="BS207" s="14" t="str">
        <f t="shared" si="642"/>
        <v xml:space="preserve"> </v>
      </c>
      <c r="BT207" s="14" t="str">
        <f t="shared" si="643"/>
        <v xml:space="preserve"> </v>
      </c>
      <c r="BU207" s="14" t="str">
        <f t="shared" si="644"/>
        <v xml:space="preserve"> </v>
      </c>
      <c r="BV207" s="14" t="str">
        <f t="shared" si="645"/>
        <v xml:space="preserve"> </v>
      </c>
      <c r="BW207" s="27" t="str">
        <f t="shared" si="811"/>
        <v xml:space="preserve"> </v>
      </c>
      <c r="BX207" s="14" t="str">
        <f t="shared" si="646"/>
        <v xml:space="preserve"> </v>
      </c>
      <c r="BY207" s="14" t="str">
        <f t="shared" si="647"/>
        <v xml:space="preserve"> </v>
      </c>
      <c r="BZ207" s="14" t="str">
        <f t="shared" si="648"/>
        <v xml:space="preserve"> </v>
      </c>
      <c r="CA207" s="14" t="str">
        <f t="shared" si="649"/>
        <v xml:space="preserve"> </v>
      </c>
      <c r="CB207" s="14" t="str">
        <f t="shared" si="650"/>
        <v xml:space="preserve"> </v>
      </c>
      <c r="CC207" s="27" t="str">
        <f t="shared" si="812"/>
        <v xml:space="preserve"> </v>
      </c>
      <c r="CD207" s="14" t="str">
        <f t="shared" si="652"/>
        <v xml:space="preserve"> </v>
      </c>
      <c r="CE207" s="14" t="str">
        <f t="shared" si="653"/>
        <v xml:space="preserve"> </v>
      </c>
      <c r="CF207" s="14" t="str">
        <f t="shared" si="654"/>
        <v xml:space="preserve"> </v>
      </c>
      <c r="CG207" s="14" t="str">
        <f t="shared" si="655"/>
        <v xml:space="preserve"> </v>
      </c>
      <c r="CH207" s="14" t="str">
        <f t="shared" si="656"/>
        <v xml:space="preserve"> </v>
      </c>
      <c r="CI207" s="27" t="str">
        <f t="shared" si="812"/>
        <v xml:space="preserve"> </v>
      </c>
      <c r="CJ207" s="14" t="str">
        <f t="shared" si="657"/>
        <v xml:space="preserve"> </v>
      </c>
      <c r="CK207" s="14" t="str">
        <f t="shared" si="658"/>
        <v xml:space="preserve"> </v>
      </c>
      <c r="CL207" s="14" t="str">
        <f t="shared" si="659"/>
        <v xml:space="preserve"> </v>
      </c>
      <c r="CM207" s="14" t="str">
        <f t="shared" si="660"/>
        <v xml:space="preserve"> </v>
      </c>
      <c r="CN207" s="14" t="str">
        <f t="shared" si="661"/>
        <v xml:space="preserve"> </v>
      </c>
      <c r="CO207" s="27" t="str">
        <f t="shared" si="812"/>
        <v xml:space="preserve"> </v>
      </c>
      <c r="CP207" s="14" t="str">
        <f t="shared" si="662"/>
        <v xml:space="preserve"> </v>
      </c>
      <c r="CQ207" s="14" t="str">
        <f t="shared" si="663"/>
        <v xml:space="preserve"> </v>
      </c>
      <c r="CR207" s="14" t="str">
        <f t="shared" si="664"/>
        <v xml:space="preserve"> </v>
      </c>
      <c r="CS207" s="14" t="str">
        <f t="shared" si="665"/>
        <v xml:space="preserve"> </v>
      </c>
      <c r="CT207" s="14" t="str">
        <f t="shared" si="666"/>
        <v xml:space="preserve"> </v>
      </c>
      <c r="CU207" s="27" t="str">
        <f t="shared" si="812"/>
        <v xml:space="preserve"> </v>
      </c>
      <c r="CV207" s="14" t="str">
        <f t="shared" si="667"/>
        <v xml:space="preserve"> </v>
      </c>
      <c r="CW207" s="14" t="str">
        <f t="shared" si="668"/>
        <v xml:space="preserve"> </v>
      </c>
      <c r="CX207" s="14" t="str">
        <f t="shared" si="669"/>
        <v xml:space="preserve"> </v>
      </c>
      <c r="CY207" s="14" t="str">
        <f t="shared" si="670"/>
        <v xml:space="preserve"> </v>
      </c>
      <c r="CZ207" s="14" t="str">
        <f t="shared" si="671"/>
        <v xml:space="preserve"> </v>
      </c>
      <c r="DA207" s="27" t="str">
        <f t="shared" si="812"/>
        <v xml:space="preserve"> </v>
      </c>
      <c r="DB207" s="14" t="str">
        <f t="shared" si="672"/>
        <v xml:space="preserve"> </v>
      </c>
      <c r="DC207" s="14" t="str">
        <f t="shared" si="673"/>
        <v xml:space="preserve"> </v>
      </c>
      <c r="DD207" s="14" t="str">
        <f t="shared" si="674"/>
        <v xml:space="preserve"> </v>
      </c>
      <c r="DE207" s="14" t="str">
        <f t="shared" si="675"/>
        <v xml:space="preserve"> </v>
      </c>
      <c r="DF207" s="14" t="str">
        <f t="shared" si="676"/>
        <v xml:space="preserve"> </v>
      </c>
      <c r="DG207" s="27" t="str">
        <f t="shared" si="812"/>
        <v xml:space="preserve"> </v>
      </c>
      <c r="DH207" s="14" t="str">
        <f t="shared" si="677"/>
        <v xml:space="preserve"> </v>
      </c>
      <c r="DI207" s="14" t="str">
        <f t="shared" si="678"/>
        <v xml:space="preserve"> </v>
      </c>
      <c r="DJ207" s="14" t="str">
        <f t="shared" si="679"/>
        <v xml:space="preserve"> </v>
      </c>
      <c r="DK207" s="14" t="str">
        <f t="shared" si="680"/>
        <v xml:space="preserve"> </v>
      </c>
      <c r="DL207" s="14" t="str">
        <f t="shared" si="681"/>
        <v xml:space="preserve"> </v>
      </c>
      <c r="DM207" s="27" t="str">
        <f t="shared" si="812"/>
        <v xml:space="preserve"> </v>
      </c>
      <c r="DN207" s="14" t="str">
        <f t="shared" si="682"/>
        <v xml:space="preserve"> </v>
      </c>
      <c r="DO207" s="14" t="str">
        <f t="shared" si="683"/>
        <v xml:space="preserve"> </v>
      </c>
      <c r="DP207" s="14" t="str">
        <f t="shared" si="684"/>
        <v xml:space="preserve"> </v>
      </c>
      <c r="DQ207" s="14" t="str">
        <f t="shared" si="685"/>
        <v xml:space="preserve"> </v>
      </c>
      <c r="DR207" s="14" t="str">
        <f t="shared" si="686"/>
        <v xml:space="preserve"> </v>
      </c>
      <c r="DS207" s="27" t="str">
        <f t="shared" si="812"/>
        <v xml:space="preserve"> </v>
      </c>
      <c r="DT207" s="14" t="str">
        <f t="shared" si="687"/>
        <v xml:space="preserve"> </v>
      </c>
      <c r="DU207" s="14" t="str">
        <f t="shared" si="688"/>
        <v xml:space="preserve"> </v>
      </c>
      <c r="DV207" s="14" t="str">
        <f t="shared" si="689"/>
        <v xml:space="preserve"> </v>
      </c>
      <c r="DW207" s="14" t="str">
        <f t="shared" si="690"/>
        <v xml:space="preserve"> </v>
      </c>
      <c r="DX207" s="14" t="str">
        <f t="shared" si="691"/>
        <v xml:space="preserve"> </v>
      </c>
      <c r="DY207" s="27" t="str">
        <f t="shared" si="812"/>
        <v xml:space="preserve"> </v>
      </c>
      <c r="DZ207" s="14" t="str">
        <f t="shared" si="692"/>
        <v xml:space="preserve"> </v>
      </c>
      <c r="EA207" s="14" t="str">
        <f t="shared" si="693"/>
        <v xml:space="preserve"> </v>
      </c>
      <c r="EB207" s="14" t="str">
        <f t="shared" si="694"/>
        <v xml:space="preserve"> </v>
      </c>
      <c r="EC207" s="14" t="str">
        <f t="shared" si="695"/>
        <v xml:space="preserve"> </v>
      </c>
      <c r="ED207" s="14" t="str">
        <f t="shared" si="696"/>
        <v xml:space="preserve"> </v>
      </c>
      <c r="EE207" s="27" t="str">
        <f t="shared" si="812"/>
        <v xml:space="preserve"> </v>
      </c>
      <c r="EF207" s="14" t="str">
        <f t="shared" si="697"/>
        <v xml:space="preserve"> </v>
      </c>
      <c r="EG207" s="14" t="str">
        <f t="shared" si="698"/>
        <v xml:space="preserve"> </v>
      </c>
      <c r="EH207" s="14" t="str">
        <f t="shared" si="699"/>
        <v xml:space="preserve"> </v>
      </c>
      <c r="EI207" s="14" t="str">
        <f t="shared" si="700"/>
        <v xml:space="preserve"> </v>
      </c>
      <c r="EJ207" s="14" t="str">
        <f t="shared" si="701"/>
        <v xml:space="preserve"> </v>
      </c>
      <c r="EK207" s="27" t="str">
        <f t="shared" si="812"/>
        <v xml:space="preserve"> </v>
      </c>
      <c r="EL207" s="14" t="str">
        <f t="shared" si="702"/>
        <v xml:space="preserve"> </v>
      </c>
      <c r="EM207" s="14" t="str">
        <f t="shared" si="703"/>
        <v xml:space="preserve"> </v>
      </c>
      <c r="EN207" s="14" t="str">
        <f t="shared" si="704"/>
        <v xml:space="preserve"> </v>
      </c>
      <c r="EO207" s="14" t="str">
        <f t="shared" si="705"/>
        <v xml:space="preserve"> </v>
      </c>
      <c r="EP207" s="14" t="str">
        <f t="shared" si="706"/>
        <v xml:space="preserve"> </v>
      </c>
      <c r="EQ207" s="27" t="str">
        <f t="shared" si="813"/>
        <v xml:space="preserve"> </v>
      </c>
      <c r="ER207" s="14" t="str">
        <f t="shared" si="708"/>
        <v xml:space="preserve"> </v>
      </c>
      <c r="ES207" s="14" t="str">
        <f t="shared" si="709"/>
        <v xml:space="preserve"> </v>
      </c>
      <c r="ET207" s="14" t="str">
        <f t="shared" si="710"/>
        <v xml:space="preserve"> </v>
      </c>
      <c r="EU207" s="14" t="str">
        <f t="shared" si="711"/>
        <v xml:space="preserve"> </v>
      </c>
      <c r="EV207" s="14" t="str">
        <f t="shared" si="712"/>
        <v xml:space="preserve"> </v>
      </c>
      <c r="EW207" s="27" t="str">
        <f t="shared" si="813"/>
        <v xml:space="preserve"> </v>
      </c>
      <c r="EX207" s="14" t="str">
        <f t="shared" si="713"/>
        <v xml:space="preserve"> </v>
      </c>
      <c r="EY207" s="14" t="str">
        <f t="shared" si="714"/>
        <v xml:space="preserve"> </v>
      </c>
      <c r="EZ207" s="14" t="str">
        <f t="shared" si="715"/>
        <v xml:space="preserve"> </v>
      </c>
      <c r="FA207" s="14" t="str">
        <f t="shared" si="716"/>
        <v xml:space="preserve"> </v>
      </c>
      <c r="FB207" s="14" t="str">
        <f t="shared" si="717"/>
        <v xml:space="preserve"> </v>
      </c>
      <c r="FC207" s="27" t="str">
        <f t="shared" si="813"/>
        <v xml:space="preserve"> </v>
      </c>
      <c r="FD207" s="14" t="str">
        <f t="shared" si="718"/>
        <v xml:space="preserve"> </v>
      </c>
      <c r="FE207" s="14" t="str">
        <f t="shared" si="719"/>
        <v xml:space="preserve"> </v>
      </c>
      <c r="FF207" s="14" t="str">
        <f t="shared" si="720"/>
        <v xml:space="preserve"> </v>
      </c>
      <c r="FG207" s="14" t="str">
        <f t="shared" si="721"/>
        <v xml:space="preserve"> </v>
      </c>
      <c r="FH207" s="14" t="str">
        <f t="shared" si="722"/>
        <v xml:space="preserve"> </v>
      </c>
      <c r="FI207" s="27" t="str">
        <f t="shared" si="813"/>
        <v xml:space="preserve"> </v>
      </c>
      <c r="FJ207" s="14" t="str">
        <f t="shared" si="723"/>
        <v xml:space="preserve"> </v>
      </c>
      <c r="FK207" s="14" t="str">
        <f t="shared" si="724"/>
        <v xml:space="preserve"> </v>
      </c>
      <c r="FL207" s="14" t="str">
        <f t="shared" si="725"/>
        <v xml:space="preserve"> </v>
      </c>
      <c r="FM207" s="14" t="str">
        <f t="shared" si="726"/>
        <v xml:space="preserve"> </v>
      </c>
      <c r="FN207" s="14" t="str">
        <f t="shared" si="727"/>
        <v xml:space="preserve"> </v>
      </c>
      <c r="FO207" s="27" t="str">
        <f t="shared" si="813"/>
        <v xml:space="preserve"> </v>
      </c>
      <c r="FP207" s="14" t="str">
        <f t="shared" si="728"/>
        <v xml:space="preserve"> </v>
      </c>
      <c r="FQ207" s="14" t="str">
        <f t="shared" si="729"/>
        <v xml:space="preserve"> </v>
      </c>
      <c r="FR207" s="14" t="str">
        <f t="shared" si="730"/>
        <v xml:space="preserve"> </v>
      </c>
      <c r="FS207" s="14" t="str">
        <f t="shared" si="731"/>
        <v xml:space="preserve"> </v>
      </c>
      <c r="FT207" s="14" t="str">
        <f t="shared" si="732"/>
        <v xml:space="preserve"> </v>
      </c>
      <c r="FU207" s="27" t="str">
        <f t="shared" si="813"/>
        <v xml:space="preserve"> </v>
      </c>
      <c r="FV207" s="14" t="str">
        <f t="shared" si="733"/>
        <v xml:space="preserve"> </v>
      </c>
      <c r="FW207" s="14" t="str">
        <f t="shared" si="734"/>
        <v xml:space="preserve"> </v>
      </c>
      <c r="FX207" s="14" t="str">
        <f t="shared" si="735"/>
        <v xml:space="preserve"> </v>
      </c>
      <c r="FY207" s="14" t="str">
        <f t="shared" si="736"/>
        <v xml:space="preserve"> </v>
      </c>
      <c r="FZ207" s="14" t="str">
        <f t="shared" si="737"/>
        <v xml:space="preserve"> </v>
      </c>
      <c r="GA207" s="27" t="str">
        <f t="shared" si="813"/>
        <v xml:space="preserve"> </v>
      </c>
      <c r="GB207" s="14" t="str">
        <f t="shared" si="738"/>
        <v xml:space="preserve"> </v>
      </c>
      <c r="GC207" s="14" t="str">
        <f t="shared" si="739"/>
        <v xml:space="preserve"> </v>
      </c>
      <c r="GD207" s="14" t="str">
        <f t="shared" si="740"/>
        <v xml:space="preserve"> </v>
      </c>
      <c r="GE207" s="14" t="str">
        <f t="shared" si="741"/>
        <v xml:space="preserve"> </v>
      </c>
      <c r="GF207" s="14" t="str">
        <f t="shared" si="742"/>
        <v xml:space="preserve"> </v>
      </c>
      <c r="GG207" s="27" t="str">
        <f t="shared" si="813"/>
        <v xml:space="preserve"> </v>
      </c>
      <c r="GH207" s="14" t="str">
        <f t="shared" si="743"/>
        <v xml:space="preserve"> </v>
      </c>
      <c r="GI207" s="14" t="str">
        <f t="shared" si="744"/>
        <v xml:space="preserve"> </v>
      </c>
      <c r="GJ207" s="14" t="str">
        <f t="shared" si="745"/>
        <v xml:space="preserve"> </v>
      </c>
      <c r="GK207" s="14" t="str">
        <f t="shared" si="746"/>
        <v xml:space="preserve"> </v>
      </c>
      <c r="GL207" s="14" t="str">
        <f t="shared" si="747"/>
        <v xml:space="preserve"> </v>
      </c>
      <c r="GM207" s="27" t="str">
        <f t="shared" si="813"/>
        <v xml:space="preserve"> </v>
      </c>
      <c r="GN207" s="14" t="str">
        <f t="shared" si="748"/>
        <v xml:space="preserve"> </v>
      </c>
      <c r="GO207" s="14" t="str">
        <f t="shared" si="749"/>
        <v xml:space="preserve"> </v>
      </c>
      <c r="GP207" s="14" t="str">
        <f t="shared" si="750"/>
        <v xml:space="preserve"> </v>
      </c>
      <c r="GQ207" s="14" t="str">
        <f t="shared" si="751"/>
        <v xml:space="preserve"> </v>
      </c>
      <c r="GR207" s="14" t="str">
        <f t="shared" si="752"/>
        <v xml:space="preserve"> </v>
      </c>
      <c r="GS207" s="27" t="str">
        <f t="shared" si="813"/>
        <v xml:space="preserve"> </v>
      </c>
      <c r="GT207" s="14" t="str">
        <f t="shared" si="753"/>
        <v xml:space="preserve"> </v>
      </c>
      <c r="GU207" s="14" t="str">
        <f t="shared" si="754"/>
        <v xml:space="preserve"> </v>
      </c>
      <c r="GV207" s="14" t="str">
        <f t="shared" si="755"/>
        <v xml:space="preserve"> </v>
      </c>
      <c r="GW207" s="14" t="str">
        <f t="shared" si="756"/>
        <v xml:space="preserve"> </v>
      </c>
      <c r="GX207" s="14" t="str">
        <f t="shared" si="757"/>
        <v xml:space="preserve"> </v>
      </c>
      <c r="GY207" s="27" t="str">
        <f t="shared" si="813"/>
        <v xml:space="preserve"> </v>
      </c>
      <c r="GZ207" s="14" t="str">
        <f t="shared" si="758"/>
        <v xml:space="preserve"> </v>
      </c>
      <c r="HA207" s="14" t="str">
        <f t="shared" si="759"/>
        <v xml:space="preserve"> </v>
      </c>
      <c r="HB207" s="14" t="str">
        <f t="shared" si="760"/>
        <v xml:space="preserve"> </v>
      </c>
      <c r="HC207" s="14" t="str">
        <f t="shared" si="761"/>
        <v xml:space="preserve"> </v>
      </c>
      <c r="HD207" s="14" t="str">
        <f t="shared" si="762"/>
        <v xml:space="preserve"> </v>
      </c>
      <c r="HE207" s="27" t="str">
        <f t="shared" si="814"/>
        <v xml:space="preserve"> </v>
      </c>
      <c r="HF207" s="14" t="str">
        <f t="shared" si="764"/>
        <v xml:space="preserve"> </v>
      </c>
      <c r="HG207" s="14" t="str">
        <f t="shared" si="765"/>
        <v xml:space="preserve"> </v>
      </c>
      <c r="HH207" s="14" t="str">
        <f t="shared" si="766"/>
        <v xml:space="preserve"> </v>
      </c>
      <c r="HI207" s="14" t="str">
        <f t="shared" si="767"/>
        <v xml:space="preserve"> </v>
      </c>
      <c r="HJ207" s="14" t="str">
        <f t="shared" si="768"/>
        <v xml:space="preserve"> </v>
      </c>
      <c r="HK207" s="27" t="str">
        <f t="shared" si="814"/>
        <v xml:space="preserve"> </v>
      </c>
      <c r="HL207" s="14" t="str">
        <f t="shared" si="769"/>
        <v xml:space="preserve"> </v>
      </c>
      <c r="HM207" s="14" t="str">
        <f t="shared" si="770"/>
        <v xml:space="preserve"> </v>
      </c>
      <c r="HN207" s="14" t="str">
        <f t="shared" si="771"/>
        <v xml:space="preserve"> </v>
      </c>
      <c r="HO207" s="14" t="str">
        <f t="shared" si="772"/>
        <v xml:space="preserve"> </v>
      </c>
      <c r="HP207" s="14" t="str">
        <f t="shared" si="773"/>
        <v xml:space="preserve"> </v>
      </c>
      <c r="HQ207" s="27" t="str">
        <f t="shared" si="814"/>
        <v xml:space="preserve"> </v>
      </c>
    </row>
    <row r="208" spans="1:225" ht="15.75" customHeight="1">
      <c r="A208" s="7">
        <f t="shared" ref="A208:C208" si="843">A100</f>
        <v>0</v>
      </c>
      <c r="B208" s="7">
        <f t="shared" si="843"/>
        <v>0</v>
      </c>
      <c r="C208" s="7" t="str">
        <f t="shared" si="843"/>
        <v>for the elites</v>
      </c>
      <c r="D208" s="14" t="str">
        <f t="shared" si="775"/>
        <v xml:space="preserve"> </v>
      </c>
      <c r="E208" s="14" t="str">
        <f t="shared" si="776"/>
        <v xml:space="preserve"> </v>
      </c>
      <c r="F208" s="14" t="str">
        <f t="shared" si="777"/>
        <v xml:space="preserve"> </v>
      </c>
      <c r="G208" s="14" t="str">
        <f t="shared" si="778"/>
        <v xml:space="preserve"> </v>
      </c>
      <c r="H208" s="14" t="str">
        <f t="shared" si="779"/>
        <v xml:space="preserve"> </v>
      </c>
      <c r="I208" s="27" t="str">
        <f t="shared" ref="I208" si="844">IF(I100="",I209,$C208&amp;"("&amp;I100&amp;"),"&amp;I209)</f>
        <v xml:space="preserve"> </v>
      </c>
      <c r="J208" s="14" t="str">
        <f t="shared" si="590"/>
        <v xml:space="preserve"> </v>
      </c>
      <c r="K208" s="14" t="str">
        <f t="shared" si="591"/>
        <v xml:space="preserve"> </v>
      </c>
      <c r="L208" s="14" t="str">
        <f t="shared" si="592"/>
        <v xml:space="preserve"> </v>
      </c>
      <c r="M208" s="14" t="str">
        <f t="shared" si="593"/>
        <v xml:space="preserve"> </v>
      </c>
      <c r="N208" s="14" t="str">
        <f t="shared" si="594"/>
        <v xml:space="preserve"> </v>
      </c>
      <c r="O208" s="27" t="str">
        <f t="shared" si="811"/>
        <v xml:space="preserve"> </v>
      </c>
      <c r="P208" s="14" t="str">
        <f t="shared" si="596"/>
        <v xml:space="preserve"> </v>
      </c>
      <c r="Q208" s="14" t="str">
        <f t="shared" si="597"/>
        <v xml:space="preserve"> </v>
      </c>
      <c r="R208" s="14" t="str">
        <f t="shared" si="598"/>
        <v xml:space="preserve"> </v>
      </c>
      <c r="S208" s="14" t="str">
        <f t="shared" si="599"/>
        <v xml:space="preserve"> </v>
      </c>
      <c r="T208" s="14" t="str">
        <f t="shared" si="600"/>
        <v xml:space="preserve"> </v>
      </c>
      <c r="U208" s="27" t="str">
        <f t="shared" si="811"/>
        <v xml:space="preserve"> </v>
      </c>
      <c r="V208" s="14" t="str">
        <f t="shared" si="601"/>
        <v xml:space="preserve"> </v>
      </c>
      <c r="W208" s="14" t="str">
        <f t="shared" si="602"/>
        <v xml:space="preserve"> </v>
      </c>
      <c r="X208" s="14" t="str">
        <f t="shared" si="603"/>
        <v xml:space="preserve"> </v>
      </c>
      <c r="Y208" s="14" t="str">
        <f t="shared" si="604"/>
        <v xml:space="preserve"> </v>
      </c>
      <c r="Z208" s="14" t="str">
        <f t="shared" si="605"/>
        <v xml:space="preserve"> </v>
      </c>
      <c r="AA208" s="27" t="str">
        <f t="shared" si="811"/>
        <v xml:space="preserve"> </v>
      </c>
      <c r="AB208" s="14" t="str">
        <f t="shared" si="606"/>
        <v xml:space="preserve"> </v>
      </c>
      <c r="AC208" s="14" t="str">
        <f t="shared" si="607"/>
        <v xml:space="preserve"> </v>
      </c>
      <c r="AD208" s="14" t="str">
        <f t="shared" si="608"/>
        <v xml:space="preserve"> </v>
      </c>
      <c r="AE208" s="14" t="str">
        <f t="shared" si="609"/>
        <v xml:space="preserve"> </v>
      </c>
      <c r="AF208" s="14" t="str">
        <f t="shared" si="610"/>
        <v xml:space="preserve"> </v>
      </c>
      <c r="AG208" s="27" t="str">
        <f t="shared" si="811"/>
        <v xml:space="preserve"> </v>
      </c>
      <c r="AH208" s="14" t="str">
        <f t="shared" si="611"/>
        <v xml:space="preserve"> </v>
      </c>
      <c r="AI208" s="14" t="str">
        <f t="shared" si="612"/>
        <v xml:space="preserve"> </v>
      </c>
      <c r="AJ208" s="14" t="str">
        <f t="shared" si="613"/>
        <v xml:space="preserve"> </v>
      </c>
      <c r="AK208" s="14" t="str">
        <f t="shared" si="614"/>
        <v xml:space="preserve"> </v>
      </c>
      <c r="AL208" s="14" t="str">
        <f t="shared" si="615"/>
        <v xml:space="preserve"> </v>
      </c>
      <c r="AM208" s="27" t="str">
        <f t="shared" si="811"/>
        <v xml:space="preserve"> </v>
      </c>
      <c r="AN208" s="14" t="str">
        <f t="shared" si="616"/>
        <v xml:space="preserve"> </v>
      </c>
      <c r="AO208" s="14" t="str">
        <f t="shared" si="617"/>
        <v xml:space="preserve"> </v>
      </c>
      <c r="AP208" s="14" t="str">
        <f t="shared" si="618"/>
        <v xml:space="preserve"> </v>
      </c>
      <c r="AQ208" s="14" t="str">
        <f t="shared" si="619"/>
        <v xml:space="preserve"> </v>
      </c>
      <c r="AR208" s="14" t="str">
        <f t="shared" si="620"/>
        <v xml:space="preserve"> </v>
      </c>
      <c r="AS208" s="27" t="str">
        <f t="shared" si="811"/>
        <v xml:space="preserve"> </v>
      </c>
      <c r="AT208" s="14" t="str">
        <f t="shared" si="621"/>
        <v xml:space="preserve"> </v>
      </c>
      <c r="AU208" s="14" t="str">
        <f t="shared" si="622"/>
        <v xml:space="preserve"> </v>
      </c>
      <c r="AV208" s="14" t="str">
        <f t="shared" si="623"/>
        <v xml:space="preserve"> </v>
      </c>
      <c r="AW208" s="14" t="str">
        <f t="shared" si="624"/>
        <v xml:space="preserve"> </v>
      </c>
      <c r="AX208" s="14" t="str">
        <f t="shared" si="625"/>
        <v xml:space="preserve"> </v>
      </c>
      <c r="AY208" s="27" t="str">
        <f t="shared" si="811"/>
        <v xml:space="preserve"> </v>
      </c>
      <c r="AZ208" s="14" t="str">
        <f t="shared" si="626"/>
        <v xml:space="preserve"> </v>
      </c>
      <c r="BA208" s="14" t="str">
        <f t="shared" si="627"/>
        <v xml:space="preserve"> </v>
      </c>
      <c r="BB208" s="14" t="str">
        <f t="shared" si="628"/>
        <v xml:space="preserve"> </v>
      </c>
      <c r="BC208" s="14" t="str">
        <f t="shared" si="629"/>
        <v xml:space="preserve"> </v>
      </c>
      <c r="BD208" s="14" t="str">
        <f t="shared" si="630"/>
        <v xml:space="preserve"> </v>
      </c>
      <c r="BE208" s="27" t="str">
        <f t="shared" si="811"/>
        <v xml:space="preserve"> </v>
      </c>
      <c r="BF208" s="14" t="str">
        <f t="shared" si="631"/>
        <v xml:space="preserve"> </v>
      </c>
      <c r="BG208" s="14" t="str">
        <f t="shared" si="632"/>
        <v xml:space="preserve"> </v>
      </c>
      <c r="BH208" s="14" t="str">
        <f t="shared" si="633"/>
        <v xml:space="preserve"> </v>
      </c>
      <c r="BI208" s="14" t="str">
        <f t="shared" si="634"/>
        <v xml:space="preserve"> </v>
      </c>
      <c r="BJ208" s="14" t="str">
        <f t="shared" si="635"/>
        <v xml:space="preserve"> </v>
      </c>
      <c r="BK208" s="27" t="str">
        <f t="shared" si="811"/>
        <v xml:space="preserve"> </v>
      </c>
      <c r="BL208" s="14" t="str">
        <f t="shared" si="636"/>
        <v xml:space="preserve"> </v>
      </c>
      <c r="BM208" s="14" t="str">
        <f t="shared" si="637"/>
        <v xml:space="preserve"> </v>
      </c>
      <c r="BN208" s="14" t="str">
        <f t="shared" si="638"/>
        <v xml:space="preserve"> </v>
      </c>
      <c r="BO208" s="14" t="str">
        <f t="shared" si="639"/>
        <v xml:space="preserve"> </v>
      </c>
      <c r="BP208" s="14" t="str">
        <f t="shared" si="640"/>
        <v xml:space="preserve"> </v>
      </c>
      <c r="BQ208" s="27" t="str">
        <f t="shared" si="811"/>
        <v xml:space="preserve"> </v>
      </c>
      <c r="BR208" s="14" t="str">
        <f t="shared" si="641"/>
        <v xml:space="preserve"> </v>
      </c>
      <c r="BS208" s="14" t="str">
        <f t="shared" si="642"/>
        <v xml:space="preserve"> </v>
      </c>
      <c r="BT208" s="14" t="str">
        <f t="shared" si="643"/>
        <v xml:space="preserve"> </v>
      </c>
      <c r="BU208" s="14" t="str">
        <f t="shared" si="644"/>
        <v xml:space="preserve"> </v>
      </c>
      <c r="BV208" s="14" t="str">
        <f t="shared" si="645"/>
        <v xml:space="preserve"> </v>
      </c>
      <c r="BW208" s="27" t="str">
        <f t="shared" si="811"/>
        <v xml:space="preserve"> </v>
      </c>
      <c r="BX208" s="14" t="str">
        <f t="shared" si="646"/>
        <v xml:space="preserve"> </v>
      </c>
      <c r="BY208" s="14" t="str">
        <f t="shared" si="647"/>
        <v xml:space="preserve"> </v>
      </c>
      <c r="BZ208" s="14" t="str">
        <f t="shared" si="648"/>
        <v xml:space="preserve"> </v>
      </c>
      <c r="CA208" s="14" t="str">
        <f t="shared" si="649"/>
        <v xml:space="preserve"> </v>
      </c>
      <c r="CB208" s="14" t="str">
        <f t="shared" si="650"/>
        <v xml:space="preserve"> </v>
      </c>
      <c r="CC208" s="27" t="str">
        <f t="shared" si="812"/>
        <v xml:space="preserve"> </v>
      </c>
      <c r="CD208" s="14" t="str">
        <f t="shared" si="652"/>
        <v xml:space="preserve"> </v>
      </c>
      <c r="CE208" s="14" t="str">
        <f t="shared" si="653"/>
        <v xml:space="preserve"> </v>
      </c>
      <c r="CF208" s="14" t="str">
        <f t="shared" si="654"/>
        <v xml:space="preserve"> </v>
      </c>
      <c r="CG208" s="14" t="str">
        <f t="shared" si="655"/>
        <v xml:space="preserve"> </v>
      </c>
      <c r="CH208" s="14" t="str">
        <f t="shared" si="656"/>
        <v xml:space="preserve"> </v>
      </c>
      <c r="CI208" s="27" t="str">
        <f t="shared" si="812"/>
        <v xml:space="preserve"> </v>
      </c>
      <c r="CJ208" s="14" t="str">
        <f t="shared" si="657"/>
        <v xml:space="preserve"> </v>
      </c>
      <c r="CK208" s="14" t="str">
        <f t="shared" si="658"/>
        <v xml:space="preserve"> </v>
      </c>
      <c r="CL208" s="14" t="str">
        <f t="shared" si="659"/>
        <v xml:space="preserve"> </v>
      </c>
      <c r="CM208" s="14" t="str">
        <f t="shared" si="660"/>
        <v xml:space="preserve"> </v>
      </c>
      <c r="CN208" s="14" t="str">
        <f t="shared" si="661"/>
        <v xml:space="preserve"> </v>
      </c>
      <c r="CO208" s="27" t="str">
        <f t="shared" si="812"/>
        <v xml:space="preserve"> </v>
      </c>
      <c r="CP208" s="14" t="str">
        <f t="shared" si="662"/>
        <v xml:space="preserve"> </v>
      </c>
      <c r="CQ208" s="14" t="str">
        <f t="shared" si="663"/>
        <v xml:space="preserve"> </v>
      </c>
      <c r="CR208" s="14" t="str">
        <f t="shared" si="664"/>
        <v xml:space="preserve"> </v>
      </c>
      <c r="CS208" s="14" t="str">
        <f t="shared" si="665"/>
        <v xml:space="preserve"> </v>
      </c>
      <c r="CT208" s="14" t="str">
        <f t="shared" si="666"/>
        <v xml:space="preserve"> </v>
      </c>
      <c r="CU208" s="27" t="str">
        <f t="shared" si="812"/>
        <v xml:space="preserve"> </v>
      </c>
      <c r="CV208" s="14" t="str">
        <f t="shared" si="667"/>
        <v xml:space="preserve"> </v>
      </c>
      <c r="CW208" s="14" t="str">
        <f t="shared" si="668"/>
        <v xml:space="preserve"> </v>
      </c>
      <c r="CX208" s="14" t="str">
        <f t="shared" si="669"/>
        <v xml:space="preserve"> </v>
      </c>
      <c r="CY208" s="14" t="str">
        <f t="shared" si="670"/>
        <v xml:space="preserve"> </v>
      </c>
      <c r="CZ208" s="14" t="str">
        <f t="shared" si="671"/>
        <v xml:space="preserve"> </v>
      </c>
      <c r="DA208" s="27" t="str">
        <f t="shared" si="812"/>
        <v xml:space="preserve"> </v>
      </c>
      <c r="DB208" s="14" t="str">
        <f t="shared" si="672"/>
        <v xml:space="preserve"> </v>
      </c>
      <c r="DC208" s="14" t="str">
        <f t="shared" si="673"/>
        <v xml:space="preserve"> </v>
      </c>
      <c r="DD208" s="14" t="str">
        <f t="shared" si="674"/>
        <v xml:space="preserve"> </v>
      </c>
      <c r="DE208" s="14" t="str">
        <f t="shared" si="675"/>
        <v xml:space="preserve"> </v>
      </c>
      <c r="DF208" s="14" t="str">
        <f t="shared" si="676"/>
        <v xml:space="preserve"> </v>
      </c>
      <c r="DG208" s="27" t="str">
        <f t="shared" si="812"/>
        <v xml:space="preserve"> </v>
      </c>
      <c r="DH208" s="14" t="str">
        <f t="shared" si="677"/>
        <v xml:space="preserve"> </v>
      </c>
      <c r="DI208" s="14" t="str">
        <f t="shared" si="678"/>
        <v xml:space="preserve"> </v>
      </c>
      <c r="DJ208" s="14" t="str">
        <f t="shared" si="679"/>
        <v xml:space="preserve"> </v>
      </c>
      <c r="DK208" s="14" t="str">
        <f t="shared" si="680"/>
        <v xml:space="preserve"> </v>
      </c>
      <c r="DL208" s="14" t="str">
        <f t="shared" si="681"/>
        <v xml:space="preserve"> </v>
      </c>
      <c r="DM208" s="27" t="str">
        <f t="shared" si="812"/>
        <v xml:space="preserve"> </v>
      </c>
      <c r="DN208" s="14" t="str">
        <f t="shared" si="682"/>
        <v xml:space="preserve"> </v>
      </c>
      <c r="DO208" s="14" t="str">
        <f t="shared" si="683"/>
        <v xml:space="preserve"> </v>
      </c>
      <c r="DP208" s="14" t="str">
        <f t="shared" si="684"/>
        <v xml:space="preserve"> </v>
      </c>
      <c r="DQ208" s="14" t="str">
        <f t="shared" si="685"/>
        <v xml:space="preserve"> </v>
      </c>
      <c r="DR208" s="14" t="str">
        <f t="shared" si="686"/>
        <v xml:space="preserve"> </v>
      </c>
      <c r="DS208" s="27" t="str">
        <f t="shared" si="812"/>
        <v xml:space="preserve"> </v>
      </c>
      <c r="DT208" s="14" t="str">
        <f t="shared" si="687"/>
        <v xml:space="preserve"> </v>
      </c>
      <c r="DU208" s="14" t="str">
        <f t="shared" si="688"/>
        <v xml:space="preserve"> </v>
      </c>
      <c r="DV208" s="14" t="str">
        <f t="shared" si="689"/>
        <v xml:space="preserve"> </v>
      </c>
      <c r="DW208" s="14" t="str">
        <f t="shared" si="690"/>
        <v xml:space="preserve"> </v>
      </c>
      <c r="DX208" s="14" t="str">
        <f t="shared" si="691"/>
        <v xml:space="preserve"> </v>
      </c>
      <c r="DY208" s="27" t="str">
        <f t="shared" si="812"/>
        <v xml:space="preserve"> </v>
      </c>
      <c r="DZ208" s="14" t="str">
        <f t="shared" si="692"/>
        <v xml:space="preserve"> </v>
      </c>
      <c r="EA208" s="14" t="str">
        <f t="shared" si="693"/>
        <v xml:space="preserve"> </v>
      </c>
      <c r="EB208" s="14" t="str">
        <f t="shared" si="694"/>
        <v xml:space="preserve"> </v>
      </c>
      <c r="EC208" s="14" t="str">
        <f t="shared" si="695"/>
        <v xml:space="preserve"> </v>
      </c>
      <c r="ED208" s="14" t="str">
        <f t="shared" si="696"/>
        <v xml:space="preserve"> </v>
      </c>
      <c r="EE208" s="27" t="str">
        <f t="shared" si="812"/>
        <v xml:space="preserve"> </v>
      </c>
      <c r="EF208" s="14" t="str">
        <f t="shared" si="697"/>
        <v xml:space="preserve"> </v>
      </c>
      <c r="EG208" s="14" t="str">
        <f t="shared" si="698"/>
        <v xml:space="preserve"> </v>
      </c>
      <c r="EH208" s="14" t="str">
        <f t="shared" si="699"/>
        <v xml:space="preserve"> </v>
      </c>
      <c r="EI208" s="14" t="str">
        <f t="shared" si="700"/>
        <v xml:space="preserve"> </v>
      </c>
      <c r="EJ208" s="14" t="str">
        <f t="shared" si="701"/>
        <v xml:space="preserve"> </v>
      </c>
      <c r="EK208" s="27" t="str">
        <f t="shared" si="812"/>
        <v xml:space="preserve"> </v>
      </c>
      <c r="EL208" s="14" t="str">
        <f t="shared" si="702"/>
        <v xml:space="preserve"> </v>
      </c>
      <c r="EM208" s="14" t="str">
        <f t="shared" si="703"/>
        <v xml:space="preserve"> </v>
      </c>
      <c r="EN208" s="14" t="str">
        <f t="shared" si="704"/>
        <v xml:space="preserve"> </v>
      </c>
      <c r="EO208" s="14" t="str">
        <f t="shared" si="705"/>
        <v xml:space="preserve"> </v>
      </c>
      <c r="EP208" s="14" t="str">
        <f t="shared" si="706"/>
        <v xml:space="preserve"> </v>
      </c>
      <c r="EQ208" s="27" t="str">
        <f t="shared" si="813"/>
        <v xml:space="preserve"> </v>
      </c>
      <c r="ER208" s="14" t="str">
        <f t="shared" si="708"/>
        <v xml:space="preserve"> </v>
      </c>
      <c r="ES208" s="14" t="str">
        <f t="shared" si="709"/>
        <v xml:space="preserve"> </v>
      </c>
      <c r="ET208" s="14" t="str">
        <f t="shared" si="710"/>
        <v xml:space="preserve"> </v>
      </c>
      <c r="EU208" s="14" t="str">
        <f t="shared" si="711"/>
        <v xml:space="preserve"> </v>
      </c>
      <c r="EV208" s="14" t="str">
        <f t="shared" si="712"/>
        <v xml:space="preserve"> </v>
      </c>
      <c r="EW208" s="27" t="str">
        <f t="shared" si="813"/>
        <v xml:space="preserve"> </v>
      </c>
      <c r="EX208" s="14" t="str">
        <f t="shared" si="713"/>
        <v xml:space="preserve"> </v>
      </c>
      <c r="EY208" s="14" t="str">
        <f t="shared" si="714"/>
        <v xml:space="preserve"> </v>
      </c>
      <c r="EZ208" s="14" t="str">
        <f t="shared" si="715"/>
        <v xml:space="preserve"> </v>
      </c>
      <c r="FA208" s="14" t="str">
        <f t="shared" si="716"/>
        <v xml:space="preserve"> </v>
      </c>
      <c r="FB208" s="14" t="str">
        <f t="shared" si="717"/>
        <v xml:space="preserve"> </v>
      </c>
      <c r="FC208" s="27" t="str">
        <f t="shared" si="813"/>
        <v xml:space="preserve"> </v>
      </c>
      <c r="FD208" s="14" t="str">
        <f t="shared" si="718"/>
        <v xml:space="preserve"> </v>
      </c>
      <c r="FE208" s="14" t="str">
        <f t="shared" si="719"/>
        <v xml:space="preserve"> </v>
      </c>
      <c r="FF208" s="14" t="str">
        <f t="shared" si="720"/>
        <v xml:space="preserve"> </v>
      </c>
      <c r="FG208" s="14" t="str">
        <f t="shared" si="721"/>
        <v xml:space="preserve"> </v>
      </c>
      <c r="FH208" s="14" t="str">
        <f t="shared" si="722"/>
        <v xml:space="preserve"> </v>
      </c>
      <c r="FI208" s="27" t="str">
        <f t="shared" si="813"/>
        <v xml:space="preserve"> </v>
      </c>
      <c r="FJ208" s="14" t="str">
        <f t="shared" si="723"/>
        <v xml:space="preserve"> </v>
      </c>
      <c r="FK208" s="14" t="str">
        <f t="shared" si="724"/>
        <v xml:space="preserve"> </v>
      </c>
      <c r="FL208" s="14" t="str">
        <f t="shared" si="725"/>
        <v xml:space="preserve"> </v>
      </c>
      <c r="FM208" s="14" t="str">
        <f t="shared" si="726"/>
        <v xml:space="preserve"> </v>
      </c>
      <c r="FN208" s="14" t="str">
        <f t="shared" si="727"/>
        <v xml:space="preserve"> </v>
      </c>
      <c r="FO208" s="27" t="str">
        <f t="shared" si="813"/>
        <v xml:space="preserve"> </v>
      </c>
      <c r="FP208" s="14" t="str">
        <f t="shared" si="728"/>
        <v xml:space="preserve"> </v>
      </c>
      <c r="FQ208" s="14" t="str">
        <f t="shared" si="729"/>
        <v xml:space="preserve"> </v>
      </c>
      <c r="FR208" s="14" t="str">
        <f t="shared" si="730"/>
        <v xml:space="preserve"> </v>
      </c>
      <c r="FS208" s="14" t="str">
        <f t="shared" si="731"/>
        <v xml:space="preserve"> </v>
      </c>
      <c r="FT208" s="14" t="str">
        <f t="shared" si="732"/>
        <v xml:space="preserve"> </v>
      </c>
      <c r="FU208" s="27" t="str">
        <f t="shared" si="813"/>
        <v xml:space="preserve"> </v>
      </c>
      <c r="FV208" s="14" t="str">
        <f t="shared" si="733"/>
        <v xml:space="preserve"> </v>
      </c>
      <c r="FW208" s="14" t="str">
        <f t="shared" si="734"/>
        <v xml:space="preserve"> </v>
      </c>
      <c r="FX208" s="14" t="str">
        <f t="shared" si="735"/>
        <v xml:space="preserve"> </v>
      </c>
      <c r="FY208" s="14" t="str">
        <f t="shared" si="736"/>
        <v xml:space="preserve"> </v>
      </c>
      <c r="FZ208" s="14" t="str">
        <f t="shared" si="737"/>
        <v xml:space="preserve"> </v>
      </c>
      <c r="GA208" s="27" t="str">
        <f t="shared" si="813"/>
        <v xml:space="preserve"> </v>
      </c>
      <c r="GB208" s="14" t="str">
        <f t="shared" si="738"/>
        <v xml:space="preserve"> </v>
      </c>
      <c r="GC208" s="14" t="str">
        <f t="shared" si="739"/>
        <v xml:space="preserve"> </v>
      </c>
      <c r="GD208" s="14" t="str">
        <f t="shared" si="740"/>
        <v xml:space="preserve"> </v>
      </c>
      <c r="GE208" s="14" t="str">
        <f t="shared" si="741"/>
        <v xml:space="preserve"> </v>
      </c>
      <c r="GF208" s="14" t="str">
        <f t="shared" si="742"/>
        <v xml:space="preserve"> </v>
      </c>
      <c r="GG208" s="27" t="str">
        <f t="shared" si="813"/>
        <v xml:space="preserve"> </v>
      </c>
      <c r="GH208" s="14" t="str">
        <f t="shared" si="743"/>
        <v xml:space="preserve"> </v>
      </c>
      <c r="GI208" s="14" t="str">
        <f t="shared" si="744"/>
        <v xml:space="preserve"> </v>
      </c>
      <c r="GJ208" s="14" t="str">
        <f t="shared" si="745"/>
        <v xml:space="preserve"> </v>
      </c>
      <c r="GK208" s="14" t="str">
        <f t="shared" si="746"/>
        <v xml:space="preserve"> </v>
      </c>
      <c r="GL208" s="14" t="str">
        <f t="shared" si="747"/>
        <v xml:space="preserve"> </v>
      </c>
      <c r="GM208" s="27" t="str">
        <f t="shared" si="813"/>
        <v xml:space="preserve"> </v>
      </c>
      <c r="GN208" s="14" t="str">
        <f t="shared" si="748"/>
        <v xml:space="preserve"> </v>
      </c>
      <c r="GO208" s="14" t="str">
        <f t="shared" si="749"/>
        <v xml:space="preserve"> </v>
      </c>
      <c r="GP208" s="14" t="str">
        <f t="shared" si="750"/>
        <v xml:space="preserve"> </v>
      </c>
      <c r="GQ208" s="14" t="str">
        <f t="shared" si="751"/>
        <v xml:space="preserve"> </v>
      </c>
      <c r="GR208" s="14" t="str">
        <f t="shared" si="752"/>
        <v xml:space="preserve"> </v>
      </c>
      <c r="GS208" s="27" t="str">
        <f t="shared" si="813"/>
        <v xml:space="preserve"> </v>
      </c>
      <c r="GT208" s="14" t="str">
        <f t="shared" si="753"/>
        <v xml:space="preserve"> </v>
      </c>
      <c r="GU208" s="14" t="str">
        <f t="shared" si="754"/>
        <v xml:space="preserve"> </v>
      </c>
      <c r="GV208" s="14" t="str">
        <f t="shared" si="755"/>
        <v xml:space="preserve"> </v>
      </c>
      <c r="GW208" s="14" t="str">
        <f t="shared" si="756"/>
        <v xml:space="preserve"> </v>
      </c>
      <c r="GX208" s="14" t="str">
        <f t="shared" si="757"/>
        <v xml:space="preserve"> </v>
      </c>
      <c r="GY208" s="27" t="str">
        <f t="shared" si="813"/>
        <v xml:space="preserve"> </v>
      </c>
      <c r="GZ208" s="14" t="str">
        <f t="shared" si="758"/>
        <v xml:space="preserve"> </v>
      </c>
      <c r="HA208" s="14" t="str">
        <f t="shared" si="759"/>
        <v xml:space="preserve"> </v>
      </c>
      <c r="HB208" s="14" t="str">
        <f t="shared" si="760"/>
        <v xml:space="preserve"> </v>
      </c>
      <c r="HC208" s="14" t="str">
        <f t="shared" si="761"/>
        <v xml:space="preserve"> </v>
      </c>
      <c r="HD208" s="14" t="str">
        <f t="shared" si="762"/>
        <v xml:space="preserve"> </v>
      </c>
      <c r="HE208" s="27" t="str">
        <f t="shared" si="814"/>
        <v xml:space="preserve"> </v>
      </c>
      <c r="HF208" s="14" t="str">
        <f t="shared" si="764"/>
        <v xml:space="preserve"> </v>
      </c>
      <c r="HG208" s="14" t="str">
        <f t="shared" si="765"/>
        <v xml:space="preserve"> </v>
      </c>
      <c r="HH208" s="14" t="str">
        <f t="shared" si="766"/>
        <v xml:space="preserve"> </v>
      </c>
      <c r="HI208" s="14" t="str">
        <f t="shared" si="767"/>
        <v xml:space="preserve"> </v>
      </c>
      <c r="HJ208" s="14" t="str">
        <f t="shared" si="768"/>
        <v xml:space="preserve"> </v>
      </c>
      <c r="HK208" s="27" t="str">
        <f t="shared" si="814"/>
        <v xml:space="preserve"> </v>
      </c>
      <c r="HL208" s="14" t="str">
        <f t="shared" si="769"/>
        <v xml:space="preserve"> </v>
      </c>
      <c r="HM208" s="14" t="str">
        <f t="shared" si="770"/>
        <v xml:space="preserve"> </v>
      </c>
      <c r="HN208" s="14" t="str">
        <f t="shared" si="771"/>
        <v xml:space="preserve"> </v>
      </c>
      <c r="HO208" s="14" t="str">
        <f t="shared" si="772"/>
        <v xml:space="preserve"> </v>
      </c>
      <c r="HP208" s="14" t="str">
        <f t="shared" si="773"/>
        <v xml:space="preserve"> </v>
      </c>
      <c r="HQ208" s="27" t="str">
        <f t="shared" si="814"/>
        <v xml:space="preserve"> </v>
      </c>
    </row>
    <row r="209" spans="1:225" ht="15.75" customHeight="1">
      <c r="A209" s="7">
        <f t="shared" ref="A209:C209" si="845">A101</f>
        <v>0</v>
      </c>
      <c r="B209" s="7">
        <f t="shared" si="845"/>
        <v>0</v>
      </c>
      <c r="C209" s="7" t="str">
        <f t="shared" si="845"/>
        <v>for entrepreneurs</v>
      </c>
      <c r="D209" s="14" t="str">
        <f t="shared" si="775"/>
        <v xml:space="preserve"> </v>
      </c>
      <c r="E209" s="14" t="str">
        <f t="shared" si="776"/>
        <v xml:space="preserve"> </v>
      </c>
      <c r="F209" s="14" t="str">
        <f t="shared" si="777"/>
        <v xml:space="preserve"> </v>
      </c>
      <c r="G209" s="14" t="str">
        <f t="shared" si="778"/>
        <v xml:space="preserve"> </v>
      </c>
      <c r="H209" s="14" t="str">
        <f t="shared" si="779"/>
        <v xml:space="preserve"> </v>
      </c>
      <c r="I209" s="27" t="str">
        <f t="shared" ref="I209" si="846">IF(I101="",I210,$C209&amp;"("&amp;I101&amp;"),"&amp;I210)</f>
        <v xml:space="preserve"> </v>
      </c>
      <c r="J209" s="14" t="str">
        <f t="shared" si="590"/>
        <v xml:space="preserve"> </v>
      </c>
      <c r="K209" s="14" t="str">
        <f t="shared" si="591"/>
        <v xml:space="preserve"> </v>
      </c>
      <c r="L209" s="14" t="str">
        <f t="shared" si="592"/>
        <v xml:space="preserve"> </v>
      </c>
      <c r="M209" s="14" t="str">
        <f t="shared" si="593"/>
        <v xml:space="preserve"> </v>
      </c>
      <c r="N209" s="14" t="str">
        <f t="shared" si="594"/>
        <v xml:space="preserve"> </v>
      </c>
      <c r="O209" s="27" t="str">
        <f t="shared" ref="O209:BW213" si="847">IF(O101="",O210,$C209&amp;"("&amp;O101&amp;"),"&amp;O210)</f>
        <v xml:space="preserve"> </v>
      </c>
      <c r="P209" s="14" t="str">
        <f t="shared" si="596"/>
        <v xml:space="preserve"> </v>
      </c>
      <c r="Q209" s="14" t="str">
        <f t="shared" si="597"/>
        <v xml:space="preserve"> </v>
      </c>
      <c r="R209" s="14" t="str">
        <f t="shared" si="598"/>
        <v xml:space="preserve"> </v>
      </c>
      <c r="S209" s="14" t="str">
        <f t="shared" si="599"/>
        <v xml:space="preserve"> </v>
      </c>
      <c r="T209" s="14" t="str">
        <f t="shared" si="600"/>
        <v xml:space="preserve"> </v>
      </c>
      <c r="U209" s="27" t="str">
        <f t="shared" si="847"/>
        <v xml:space="preserve"> </v>
      </c>
      <c r="V209" s="14" t="str">
        <f t="shared" si="601"/>
        <v xml:space="preserve"> </v>
      </c>
      <c r="W209" s="14" t="str">
        <f t="shared" si="602"/>
        <v xml:space="preserve"> </v>
      </c>
      <c r="X209" s="14" t="str">
        <f t="shared" si="603"/>
        <v xml:space="preserve"> </v>
      </c>
      <c r="Y209" s="14" t="str">
        <f t="shared" si="604"/>
        <v xml:space="preserve"> </v>
      </c>
      <c r="Z209" s="14" t="str">
        <f t="shared" si="605"/>
        <v xml:space="preserve"> </v>
      </c>
      <c r="AA209" s="27" t="str">
        <f t="shared" si="847"/>
        <v xml:space="preserve"> </v>
      </c>
      <c r="AB209" s="14" t="str">
        <f t="shared" si="606"/>
        <v xml:space="preserve"> </v>
      </c>
      <c r="AC209" s="14" t="str">
        <f t="shared" si="607"/>
        <v xml:space="preserve"> </v>
      </c>
      <c r="AD209" s="14" t="str">
        <f t="shared" si="608"/>
        <v xml:space="preserve"> </v>
      </c>
      <c r="AE209" s="14" t="str">
        <f t="shared" si="609"/>
        <v xml:space="preserve"> </v>
      </c>
      <c r="AF209" s="14" t="str">
        <f t="shared" si="610"/>
        <v xml:space="preserve"> </v>
      </c>
      <c r="AG209" s="27" t="str">
        <f t="shared" si="847"/>
        <v xml:space="preserve"> </v>
      </c>
      <c r="AH209" s="14" t="str">
        <f t="shared" si="611"/>
        <v xml:space="preserve"> </v>
      </c>
      <c r="AI209" s="14" t="str">
        <f t="shared" si="612"/>
        <v xml:space="preserve"> </v>
      </c>
      <c r="AJ209" s="14" t="str">
        <f t="shared" si="613"/>
        <v xml:space="preserve"> </v>
      </c>
      <c r="AK209" s="14" t="str">
        <f t="shared" si="614"/>
        <v xml:space="preserve"> </v>
      </c>
      <c r="AL209" s="14" t="str">
        <f t="shared" si="615"/>
        <v xml:space="preserve"> </v>
      </c>
      <c r="AM209" s="27" t="str">
        <f t="shared" si="847"/>
        <v xml:space="preserve"> </v>
      </c>
      <c r="AN209" s="14" t="str">
        <f t="shared" si="616"/>
        <v xml:space="preserve"> </v>
      </c>
      <c r="AO209" s="14" t="str">
        <f t="shared" si="617"/>
        <v xml:space="preserve"> </v>
      </c>
      <c r="AP209" s="14" t="str">
        <f t="shared" si="618"/>
        <v xml:space="preserve"> </v>
      </c>
      <c r="AQ209" s="14" t="str">
        <f t="shared" si="619"/>
        <v xml:space="preserve"> </v>
      </c>
      <c r="AR209" s="14" t="str">
        <f t="shared" si="620"/>
        <v xml:space="preserve"> </v>
      </c>
      <c r="AS209" s="27" t="str">
        <f t="shared" si="847"/>
        <v xml:space="preserve"> </v>
      </c>
      <c r="AT209" s="14" t="str">
        <f t="shared" si="621"/>
        <v xml:space="preserve"> </v>
      </c>
      <c r="AU209" s="14" t="str">
        <f t="shared" si="622"/>
        <v xml:space="preserve"> </v>
      </c>
      <c r="AV209" s="14" t="str">
        <f t="shared" si="623"/>
        <v xml:space="preserve"> </v>
      </c>
      <c r="AW209" s="14" t="str">
        <f t="shared" si="624"/>
        <v xml:space="preserve"> </v>
      </c>
      <c r="AX209" s="14" t="str">
        <f t="shared" si="625"/>
        <v xml:space="preserve"> </v>
      </c>
      <c r="AY209" s="27" t="str">
        <f t="shared" si="847"/>
        <v xml:space="preserve"> </v>
      </c>
      <c r="AZ209" s="14" t="str">
        <f t="shared" si="626"/>
        <v xml:space="preserve"> </v>
      </c>
      <c r="BA209" s="14" t="str">
        <f t="shared" si="627"/>
        <v xml:space="preserve"> </v>
      </c>
      <c r="BB209" s="14" t="str">
        <f t="shared" si="628"/>
        <v xml:space="preserve"> </v>
      </c>
      <c r="BC209" s="14" t="str">
        <f t="shared" si="629"/>
        <v xml:space="preserve"> </v>
      </c>
      <c r="BD209" s="14" t="str">
        <f t="shared" si="630"/>
        <v xml:space="preserve"> </v>
      </c>
      <c r="BE209" s="27" t="str">
        <f t="shared" si="847"/>
        <v xml:space="preserve"> </v>
      </c>
      <c r="BF209" s="14" t="str">
        <f t="shared" si="631"/>
        <v xml:space="preserve"> </v>
      </c>
      <c r="BG209" s="14" t="str">
        <f t="shared" si="632"/>
        <v xml:space="preserve"> </v>
      </c>
      <c r="BH209" s="14" t="str">
        <f t="shared" si="633"/>
        <v xml:space="preserve"> </v>
      </c>
      <c r="BI209" s="14" t="str">
        <f t="shared" si="634"/>
        <v xml:space="preserve"> </v>
      </c>
      <c r="BJ209" s="14" t="str">
        <f t="shared" si="635"/>
        <v xml:space="preserve"> </v>
      </c>
      <c r="BK209" s="27" t="str">
        <f t="shared" si="847"/>
        <v xml:space="preserve"> </v>
      </c>
      <c r="BL209" s="14" t="str">
        <f t="shared" si="636"/>
        <v xml:space="preserve"> </v>
      </c>
      <c r="BM209" s="14" t="str">
        <f t="shared" si="637"/>
        <v xml:space="preserve"> </v>
      </c>
      <c r="BN209" s="14" t="str">
        <f t="shared" si="638"/>
        <v xml:space="preserve"> </v>
      </c>
      <c r="BO209" s="14" t="str">
        <f t="shared" si="639"/>
        <v xml:space="preserve"> </v>
      </c>
      <c r="BP209" s="14" t="str">
        <f t="shared" si="640"/>
        <v xml:space="preserve"> </v>
      </c>
      <c r="BQ209" s="27" t="str">
        <f t="shared" si="847"/>
        <v xml:space="preserve"> </v>
      </c>
      <c r="BR209" s="14" t="str">
        <f t="shared" si="641"/>
        <v xml:space="preserve"> </v>
      </c>
      <c r="BS209" s="14" t="str">
        <f t="shared" si="642"/>
        <v xml:space="preserve"> </v>
      </c>
      <c r="BT209" s="14" t="str">
        <f t="shared" si="643"/>
        <v xml:space="preserve"> </v>
      </c>
      <c r="BU209" s="14" t="str">
        <f t="shared" si="644"/>
        <v xml:space="preserve"> </v>
      </c>
      <c r="BV209" s="14" t="str">
        <f t="shared" si="645"/>
        <v xml:space="preserve"> </v>
      </c>
      <c r="BW209" s="27" t="str">
        <f t="shared" si="847"/>
        <v xml:space="preserve"> </v>
      </c>
      <c r="BX209" s="14" t="str">
        <f t="shared" si="646"/>
        <v xml:space="preserve"> </v>
      </c>
      <c r="BY209" s="14" t="str">
        <f t="shared" si="647"/>
        <v xml:space="preserve"> </v>
      </c>
      <c r="BZ209" s="14" t="str">
        <f t="shared" si="648"/>
        <v xml:space="preserve"> </v>
      </c>
      <c r="CA209" s="14" t="str">
        <f t="shared" si="649"/>
        <v xml:space="preserve"> </v>
      </c>
      <c r="CB209" s="14" t="str">
        <f t="shared" si="650"/>
        <v xml:space="preserve"> </v>
      </c>
      <c r="CC209" s="27" t="str">
        <f t="shared" ref="CC209:EK213" si="848">IF(CC101="",CC210,$C209&amp;"("&amp;CC101&amp;"),"&amp;CC210)</f>
        <v xml:space="preserve"> </v>
      </c>
      <c r="CD209" s="14" t="str">
        <f t="shared" si="652"/>
        <v xml:space="preserve"> </v>
      </c>
      <c r="CE209" s="14" t="str">
        <f t="shared" si="653"/>
        <v xml:space="preserve"> </v>
      </c>
      <c r="CF209" s="14" t="str">
        <f t="shared" si="654"/>
        <v xml:space="preserve"> </v>
      </c>
      <c r="CG209" s="14" t="str">
        <f t="shared" si="655"/>
        <v xml:space="preserve"> </v>
      </c>
      <c r="CH209" s="14" t="str">
        <f t="shared" si="656"/>
        <v xml:space="preserve"> </v>
      </c>
      <c r="CI209" s="27" t="str">
        <f t="shared" si="848"/>
        <v xml:space="preserve"> </v>
      </c>
      <c r="CJ209" s="14" t="str">
        <f t="shared" si="657"/>
        <v xml:space="preserve"> </v>
      </c>
      <c r="CK209" s="14" t="str">
        <f t="shared" si="658"/>
        <v xml:space="preserve"> </v>
      </c>
      <c r="CL209" s="14" t="str">
        <f t="shared" si="659"/>
        <v xml:space="preserve"> </v>
      </c>
      <c r="CM209" s="14" t="str">
        <f t="shared" si="660"/>
        <v xml:space="preserve"> </v>
      </c>
      <c r="CN209" s="14" t="str">
        <f t="shared" si="661"/>
        <v xml:space="preserve"> </v>
      </c>
      <c r="CO209" s="27" t="str">
        <f t="shared" si="848"/>
        <v xml:space="preserve"> </v>
      </c>
      <c r="CP209" s="14" t="str">
        <f t="shared" si="662"/>
        <v xml:space="preserve"> </v>
      </c>
      <c r="CQ209" s="14" t="str">
        <f t="shared" si="663"/>
        <v xml:space="preserve"> </v>
      </c>
      <c r="CR209" s="14" t="str">
        <f t="shared" si="664"/>
        <v xml:space="preserve"> </v>
      </c>
      <c r="CS209" s="14" t="str">
        <f t="shared" si="665"/>
        <v xml:space="preserve"> </v>
      </c>
      <c r="CT209" s="14" t="str">
        <f t="shared" si="666"/>
        <v xml:space="preserve"> </v>
      </c>
      <c r="CU209" s="27" t="str">
        <f t="shared" si="848"/>
        <v xml:space="preserve"> </v>
      </c>
      <c r="CV209" s="14" t="str">
        <f t="shared" si="667"/>
        <v xml:space="preserve"> </v>
      </c>
      <c r="CW209" s="14" t="str">
        <f t="shared" si="668"/>
        <v xml:space="preserve"> </v>
      </c>
      <c r="CX209" s="14" t="str">
        <f t="shared" si="669"/>
        <v xml:space="preserve"> </v>
      </c>
      <c r="CY209" s="14" t="str">
        <f t="shared" si="670"/>
        <v xml:space="preserve"> </v>
      </c>
      <c r="CZ209" s="14" t="str">
        <f t="shared" si="671"/>
        <v xml:space="preserve"> </v>
      </c>
      <c r="DA209" s="27" t="str">
        <f t="shared" si="848"/>
        <v xml:space="preserve"> </v>
      </c>
      <c r="DB209" s="14" t="str">
        <f t="shared" si="672"/>
        <v xml:space="preserve"> </v>
      </c>
      <c r="DC209" s="14" t="str">
        <f t="shared" si="673"/>
        <v xml:space="preserve"> </v>
      </c>
      <c r="DD209" s="14" t="str">
        <f t="shared" si="674"/>
        <v xml:space="preserve"> </v>
      </c>
      <c r="DE209" s="14" t="str">
        <f t="shared" si="675"/>
        <v xml:space="preserve"> </v>
      </c>
      <c r="DF209" s="14" t="str">
        <f t="shared" si="676"/>
        <v xml:space="preserve"> </v>
      </c>
      <c r="DG209" s="27" t="str">
        <f t="shared" si="848"/>
        <v xml:space="preserve"> </v>
      </c>
      <c r="DH209" s="14" t="str">
        <f t="shared" si="677"/>
        <v xml:space="preserve"> </v>
      </c>
      <c r="DI209" s="14" t="str">
        <f t="shared" si="678"/>
        <v xml:space="preserve"> </v>
      </c>
      <c r="DJ209" s="14" t="str">
        <f t="shared" si="679"/>
        <v xml:space="preserve"> </v>
      </c>
      <c r="DK209" s="14" t="str">
        <f t="shared" si="680"/>
        <v xml:space="preserve"> </v>
      </c>
      <c r="DL209" s="14" t="str">
        <f t="shared" si="681"/>
        <v xml:space="preserve"> </v>
      </c>
      <c r="DM209" s="27" t="str">
        <f t="shared" si="848"/>
        <v xml:space="preserve"> </v>
      </c>
      <c r="DN209" s="14" t="str">
        <f t="shared" si="682"/>
        <v xml:space="preserve"> </v>
      </c>
      <c r="DO209" s="14" t="str">
        <f t="shared" si="683"/>
        <v xml:space="preserve"> </v>
      </c>
      <c r="DP209" s="14" t="str">
        <f t="shared" si="684"/>
        <v xml:space="preserve"> </v>
      </c>
      <c r="DQ209" s="14" t="str">
        <f t="shared" si="685"/>
        <v xml:space="preserve"> </v>
      </c>
      <c r="DR209" s="14" t="str">
        <f t="shared" si="686"/>
        <v xml:space="preserve"> </v>
      </c>
      <c r="DS209" s="27" t="str">
        <f t="shared" si="848"/>
        <v xml:space="preserve"> </v>
      </c>
      <c r="DT209" s="14" t="str">
        <f t="shared" si="687"/>
        <v xml:space="preserve"> </v>
      </c>
      <c r="DU209" s="14" t="str">
        <f t="shared" si="688"/>
        <v xml:space="preserve"> </v>
      </c>
      <c r="DV209" s="14" t="str">
        <f t="shared" si="689"/>
        <v xml:space="preserve"> </v>
      </c>
      <c r="DW209" s="14" t="str">
        <f t="shared" si="690"/>
        <v xml:space="preserve"> </v>
      </c>
      <c r="DX209" s="14" t="str">
        <f t="shared" si="691"/>
        <v xml:space="preserve"> </v>
      </c>
      <c r="DY209" s="27" t="str">
        <f t="shared" si="848"/>
        <v xml:space="preserve"> </v>
      </c>
      <c r="DZ209" s="14" t="str">
        <f t="shared" si="692"/>
        <v xml:space="preserve"> </v>
      </c>
      <c r="EA209" s="14" t="str">
        <f t="shared" si="693"/>
        <v xml:space="preserve"> </v>
      </c>
      <c r="EB209" s="14" t="str">
        <f t="shared" si="694"/>
        <v xml:space="preserve"> </v>
      </c>
      <c r="EC209" s="14" t="str">
        <f t="shared" si="695"/>
        <v xml:space="preserve"> </v>
      </c>
      <c r="ED209" s="14" t="str">
        <f t="shared" si="696"/>
        <v xml:space="preserve"> </v>
      </c>
      <c r="EE209" s="27" t="str">
        <f t="shared" si="848"/>
        <v xml:space="preserve"> </v>
      </c>
      <c r="EF209" s="14" t="str">
        <f t="shared" si="697"/>
        <v xml:space="preserve"> </v>
      </c>
      <c r="EG209" s="14" t="str">
        <f t="shared" si="698"/>
        <v xml:space="preserve"> </v>
      </c>
      <c r="EH209" s="14" t="str">
        <f t="shared" si="699"/>
        <v xml:space="preserve"> </v>
      </c>
      <c r="EI209" s="14" t="str">
        <f t="shared" si="700"/>
        <v xml:space="preserve"> </v>
      </c>
      <c r="EJ209" s="14" t="str">
        <f t="shared" si="701"/>
        <v xml:space="preserve"> </v>
      </c>
      <c r="EK209" s="27" t="str">
        <f t="shared" si="848"/>
        <v xml:space="preserve"> </v>
      </c>
      <c r="EL209" s="14" t="str">
        <f t="shared" si="702"/>
        <v xml:space="preserve"> </v>
      </c>
      <c r="EM209" s="14" t="str">
        <f t="shared" si="703"/>
        <v xml:space="preserve"> </v>
      </c>
      <c r="EN209" s="14" t="str">
        <f t="shared" si="704"/>
        <v xml:space="preserve"> </v>
      </c>
      <c r="EO209" s="14" t="str">
        <f t="shared" si="705"/>
        <v xml:space="preserve"> </v>
      </c>
      <c r="EP209" s="14" t="str">
        <f t="shared" si="706"/>
        <v xml:space="preserve"> </v>
      </c>
      <c r="EQ209" s="27" t="str">
        <f t="shared" ref="EQ209:GY213" si="849">IF(EQ101="",EQ210,$C209&amp;"("&amp;EQ101&amp;"),"&amp;EQ210)</f>
        <v xml:space="preserve"> </v>
      </c>
      <c r="ER209" s="14" t="str">
        <f t="shared" si="708"/>
        <v xml:space="preserve"> </v>
      </c>
      <c r="ES209" s="14" t="str">
        <f t="shared" si="709"/>
        <v xml:space="preserve"> </v>
      </c>
      <c r="ET209" s="14" t="str">
        <f t="shared" si="710"/>
        <v xml:space="preserve"> </v>
      </c>
      <c r="EU209" s="14" t="str">
        <f t="shared" si="711"/>
        <v xml:space="preserve"> </v>
      </c>
      <c r="EV209" s="14" t="str">
        <f t="shared" si="712"/>
        <v xml:space="preserve"> </v>
      </c>
      <c r="EW209" s="27" t="str">
        <f t="shared" si="849"/>
        <v xml:space="preserve"> </v>
      </c>
      <c r="EX209" s="14" t="str">
        <f t="shared" si="713"/>
        <v xml:space="preserve"> </v>
      </c>
      <c r="EY209" s="14" t="str">
        <f t="shared" si="714"/>
        <v xml:space="preserve"> </v>
      </c>
      <c r="EZ209" s="14" t="str">
        <f t="shared" si="715"/>
        <v xml:space="preserve"> </v>
      </c>
      <c r="FA209" s="14" t="str">
        <f t="shared" si="716"/>
        <v xml:space="preserve"> </v>
      </c>
      <c r="FB209" s="14" t="str">
        <f t="shared" si="717"/>
        <v xml:space="preserve"> </v>
      </c>
      <c r="FC209" s="27" t="str">
        <f t="shared" si="849"/>
        <v xml:space="preserve"> </v>
      </c>
      <c r="FD209" s="14" t="str">
        <f t="shared" si="718"/>
        <v xml:space="preserve"> </v>
      </c>
      <c r="FE209" s="14" t="str">
        <f t="shared" si="719"/>
        <v xml:space="preserve"> </v>
      </c>
      <c r="FF209" s="14" t="str">
        <f t="shared" si="720"/>
        <v xml:space="preserve"> </v>
      </c>
      <c r="FG209" s="14" t="str">
        <f t="shared" si="721"/>
        <v xml:space="preserve"> </v>
      </c>
      <c r="FH209" s="14" t="str">
        <f t="shared" si="722"/>
        <v xml:space="preserve"> </v>
      </c>
      <c r="FI209" s="27" t="str">
        <f t="shared" si="849"/>
        <v xml:space="preserve"> </v>
      </c>
      <c r="FJ209" s="14" t="str">
        <f t="shared" si="723"/>
        <v xml:space="preserve"> </v>
      </c>
      <c r="FK209" s="14" t="str">
        <f t="shared" si="724"/>
        <v xml:space="preserve"> </v>
      </c>
      <c r="FL209" s="14" t="str">
        <f t="shared" si="725"/>
        <v xml:space="preserve"> </v>
      </c>
      <c r="FM209" s="14" t="str">
        <f t="shared" si="726"/>
        <v xml:space="preserve"> </v>
      </c>
      <c r="FN209" s="14" t="str">
        <f t="shared" si="727"/>
        <v xml:space="preserve"> </v>
      </c>
      <c r="FO209" s="27" t="str">
        <f t="shared" si="849"/>
        <v xml:space="preserve"> </v>
      </c>
      <c r="FP209" s="14" t="str">
        <f t="shared" si="728"/>
        <v xml:space="preserve"> </v>
      </c>
      <c r="FQ209" s="14" t="str">
        <f t="shared" si="729"/>
        <v xml:space="preserve"> </v>
      </c>
      <c r="FR209" s="14" t="str">
        <f t="shared" si="730"/>
        <v xml:space="preserve"> </v>
      </c>
      <c r="FS209" s="14" t="str">
        <f t="shared" si="731"/>
        <v xml:space="preserve"> </v>
      </c>
      <c r="FT209" s="14" t="str">
        <f t="shared" si="732"/>
        <v xml:space="preserve"> </v>
      </c>
      <c r="FU209" s="27" t="str">
        <f t="shared" si="849"/>
        <v xml:space="preserve"> </v>
      </c>
      <c r="FV209" s="14" t="str">
        <f t="shared" si="733"/>
        <v xml:space="preserve"> </v>
      </c>
      <c r="FW209" s="14" t="str">
        <f t="shared" si="734"/>
        <v xml:space="preserve"> </v>
      </c>
      <c r="FX209" s="14" t="str">
        <f t="shared" si="735"/>
        <v xml:space="preserve"> </v>
      </c>
      <c r="FY209" s="14" t="str">
        <f t="shared" si="736"/>
        <v xml:space="preserve"> </v>
      </c>
      <c r="FZ209" s="14" t="str">
        <f t="shared" si="737"/>
        <v xml:space="preserve"> </v>
      </c>
      <c r="GA209" s="27" t="str">
        <f t="shared" si="849"/>
        <v xml:space="preserve"> </v>
      </c>
      <c r="GB209" s="14" t="str">
        <f t="shared" si="738"/>
        <v xml:space="preserve"> </v>
      </c>
      <c r="GC209" s="14" t="str">
        <f t="shared" si="739"/>
        <v xml:space="preserve"> </v>
      </c>
      <c r="GD209" s="14" t="str">
        <f t="shared" si="740"/>
        <v xml:space="preserve"> </v>
      </c>
      <c r="GE209" s="14" t="str">
        <f t="shared" si="741"/>
        <v xml:space="preserve"> </v>
      </c>
      <c r="GF209" s="14" t="str">
        <f t="shared" si="742"/>
        <v xml:space="preserve"> </v>
      </c>
      <c r="GG209" s="27" t="str">
        <f t="shared" si="849"/>
        <v xml:space="preserve"> </v>
      </c>
      <c r="GH209" s="14" t="str">
        <f t="shared" si="743"/>
        <v xml:space="preserve"> </v>
      </c>
      <c r="GI209" s="14" t="str">
        <f t="shared" si="744"/>
        <v xml:space="preserve"> </v>
      </c>
      <c r="GJ209" s="14" t="str">
        <f t="shared" si="745"/>
        <v xml:space="preserve"> </v>
      </c>
      <c r="GK209" s="14" t="str">
        <f t="shared" si="746"/>
        <v xml:space="preserve"> </v>
      </c>
      <c r="GL209" s="14" t="str">
        <f t="shared" si="747"/>
        <v xml:space="preserve"> </v>
      </c>
      <c r="GM209" s="27" t="str">
        <f t="shared" si="849"/>
        <v xml:space="preserve"> </v>
      </c>
      <c r="GN209" s="14" t="str">
        <f t="shared" si="748"/>
        <v xml:space="preserve"> </v>
      </c>
      <c r="GO209" s="14" t="str">
        <f t="shared" si="749"/>
        <v xml:space="preserve"> </v>
      </c>
      <c r="GP209" s="14" t="str">
        <f t="shared" si="750"/>
        <v xml:space="preserve"> </v>
      </c>
      <c r="GQ209" s="14" t="str">
        <f t="shared" si="751"/>
        <v xml:space="preserve"> </v>
      </c>
      <c r="GR209" s="14" t="str">
        <f t="shared" si="752"/>
        <v xml:space="preserve"> </v>
      </c>
      <c r="GS209" s="27" t="str">
        <f t="shared" si="849"/>
        <v xml:space="preserve"> </v>
      </c>
      <c r="GT209" s="14" t="str">
        <f t="shared" si="753"/>
        <v xml:space="preserve"> </v>
      </c>
      <c r="GU209" s="14" t="str">
        <f t="shared" si="754"/>
        <v xml:space="preserve"> </v>
      </c>
      <c r="GV209" s="14" t="str">
        <f t="shared" si="755"/>
        <v xml:space="preserve"> </v>
      </c>
      <c r="GW209" s="14" t="str">
        <f t="shared" si="756"/>
        <v xml:space="preserve"> </v>
      </c>
      <c r="GX209" s="14" t="str">
        <f t="shared" si="757"/>
        <v xml:space="preserve"> </v>
      </c>
      <c r="GY209" s="27" t="str">
        <f t="shared" si="849"/>
        <v xml:space="preserve"> </v>
      </c>
      <c r="GZ209" s="14" t="str">
        <f t="shared" si="758"/>
        <v xml:space="preserve"> </v>
      </c>
      <c r="HA209" s="14" t="str">
        <f t="shared" si="759"/>
        <v xml:space="preserve"> </v>
      </c>
      <c r="HB209" s="14" t="str">
        <f t="shared" si="760"/>
        <v xml:space="preserve"> </v>
      </c>
      <c r="HC209" s="14" t="str">
        <f t="shared" si="761"/>
        <v xml:space="preserve"> </v>
      </c>
      <c r="HD209" s="14" t="str">
        <f t="shared" si="762"/>
        <v xml:space="preserve"> </v>
      </c>
      <c r="HE209" s="27" t="str">
        <f t="shared" ref="HE209:HQ213" si="850">IF(HE101="",HE210,$C209&amp;"("&amp;HE101&amp;"),"&amp;HE210)</f>
        <v xml:space="preserve"> </v>
      </c>
      <c r="HF209" s="14" t="str">
        <f t="shared" si="764"/>
        <v xml:space="preserve"> </v>
      </c>
      <c r="HG209" s="14" t="str">
        <f t="shared" si="765"/>
        <v xml:space="preserve"> </v>
      </c>
      <c r="HH209" s="14" t="str">
        <f t="shared" si="766"/>
        <v xml:space="preserve"> </v>
      </c>
      <c r="HI209" s="14" t="str">
        <f t="shared" si="767"/>
        <v xml:space="preserve"> </v>
      </c>
      <c r="HJ209" s="14" t="str">
        <f t="shared" si="768"/>
        <v xml:space="preserve"> </v>
      </c>
      <c r="HK209" s="27" t="str">
        <f t="shared" si="850"/>
        <v xml:space="preserve"> </v>
      </c>
      <c r="HL209" s="14" t="str">
        <f t="shared" si="769"/>
        <v xml:space="preserve"> </v>
      </c>
      <c r="HM209" s="14" t="str">
        <f t="shared" si="770"/>
        <v xml:space="preserve"> </v>
      </c>
      <c r="HN209" s="14" t="str">
        <f t="shared" si="771"/>
        <v xml:space="preserve"> </v>
      </c>
      <c r="HO209" s="14" t="str">
        <f t="shared" si="772"/>
        <v xml:space="preserve"> </v>
      </c>
      <c r="HP209" s="14" t="str">
        <f t="shared" si="773"/>
        <v xml:space="preserve"> </v>
      </c>
      <c r="HQ209" s="27" t="str">
        <f t="shared" si="850"/>
        <v xml:space="preserve"> </v>
      </c>
    </row>
    <row r="210" spans="1:225" ht="15.75" customHeight="1">
      <c r="A210" s="7">
        <f t="shared" ref="A210:C210" si="851">A102</f>
        <v>0</v>
      </c>
      <c r="B210" s="7">
        <f t="shared" si="851"/>
        <v>0</v>
      </c>
      <c r="C210" s="7">
        <f t="shared" si="851"/>
        <v>0</v>
      </c>
      <c r="D210" s="14" t="str">
        <f t="shared" si="775"/>
        <v xml:space="preserve"> </v>
      </c>
      <c r="E210" s="14" t="str">
        <f t="shared" si="776"/>
        <v xml:space="preserve"> </v>
      </c>
      <c r="F210" s="14" t="str">
        <f t="shared" si="777"/>
        <v xml:space="preserve"> </v>
      </c>
      <c r="G210" s="14" t="str">
        <f t="shared" si="778"/>
        <v xml:space="preserve"> </v>
      </c>
      <c r="H210" s="14" t="str">
        <f t="shared" si="779"/>
        <v xml:space="preserve"> </v>
      </c>
      <c r="I210" s="27" t="str">
        <f t="shared" ref="I210" si="852">IF(I102="",I211,$C210&amp;"("&amp;I102&amp;"),"&amp;I211)</f>
        <v xml:space="preserve"> </v>
      </c>
      <c r="J210" s="14" t="str">
        <f t="shared" si="590"/>
        <v xml:space="preserve"> </v>
      </c>
      <c r="K210" s="14" t="str">
        <f t="shared" si="591"/>
        <v xml:space="preserve"> </v>
      </c>
      <c r="L210" s="14" t="str">
        <f t="shared" si="592"/>
        <v xml:space="preserve"> </v>
      </c>
      <c r="M210" s="14" t="str">
        <f t="shared" si="593"/>
        <v xml:space="preserve"> </v>
      </c>
      <c r="N210" s="14" t="str">
        <f t="shared" si="594"/>
        <v xml:space="preserve"> </v>
      </c>
      <c r="O210" s="27" t="str">
        <f t="shared" si="847"/>
        <v xml:space="preserve"> </v>
      </c>
      <c r="P210" s="14" t="str">
        <f t="shared" si="596"/>
        <v xml:space="preserve"> </v>
      </c>
      <c r="Q210" s="14" t="str">
        <f t="shared" si="597"/>
        <v xml:space="preserve"> </v>
      </c>
      <c r="R210" s="14" t="str">
        <f t="shared" si="598"/>
        <v xml:space="preserve"> </v>
      </c>
      <c r="S210" s="14" t="str">
        <f t="shared" si="599"/>
        <v xml:space="preserve"> </v>
      </c>
      <c r="T210" s="14" t="str">
        <f t="shared" si="600"/>
        <v xml:space="preserve"> </v>
      </c>
      <c r="U210" s="27" t="str">
        <f t="shared" si="847"/>
        <v xml:space="preserve"> </v>
      </c>
      <c r="V210" s="14" t="str">
        <f t="shared" si="601"/>
        <v xml:space="preserve"> </v>
      </c>
      <c r="W210" s="14" t="str">
        <f t="shared" si="602"/>
        <v xml:space="preserve"> </v>
      </c>
      <c r="X210" s="14" t="str">
        <f t="shared" si="603"/>
        <v xml:space="preserve"> </v>
      </c>
      <c r="Y210" s="14" t="str">
        <f t="shared" si="604"/>
        <v xml:space="preserve"> </v>
      </c>
      <c r="Z210" s="14" t="str">
        <f t="shared" si="605"/>
        <v xml:space="preserve"> </v>
      </c>
      <c r="AA210" s="27" t="str">
        <f t="shared" si="847"/>
        <v xml:space="preserve"> </v>
      </c>
      <c r="AB210" s="14" t="str">
        <f t="shared" si="606"/>
        <v xml:space="preserve"> </v>
      </c>
      <c r="AC210" s="14" t="str">
        <f t="shared" si="607"/>
        <v xml:space="preserve"> </v>
      </c>
      <c r="AD210" s="14" t="str">
        <f t="shared" si="608"/>
        <v xml:space="preserve"> </v>
      </c>
      <c r="AE210" s="14" t="str">
        <f t="shared" si="609"/>
        <v xml:space="preserve"> </v>
      </c>
      <c r="AF210" s="14" t="str">
        <f t="shared" si="610"/>
        <v xml:space="preserve"> </v>
      </c>
      <c r="AG210" s="27" t="str">
        <f t="shared" si="847"/>
        <v xml:space="preserve"> </v>
      </c>
      <c r="AH210" s="14" t="str">
        <f t="shared" si="611"/>
        <v xml:space="preserve"> </v>
      </c>
      <c r="AI210" s="14" t="str">
        <f t="shared" si="612"/>
        <v xml:space="preserve"> </v>
      </c>
      <c r="AJ210" s="14" t="str">
        <f t="shared" si="613"/>
        <v xml:space="preserve"> </v>
      </c>
      <c r="AK210" s="14" t="str">
        <f t="shared" si="614"/>
        <v xml:space="preserve"> </v>
      </c>
      <c r="AL210" s="14" t="str">
        <f t="shared" si="615"/>
        <v xml:space="preserve"> </v>
      </c>
      <c r="AM210" s="27" t="str">
        <f t="shared" si="847"/>
        <v xml:space="preserve"> </v>
      </c>
      <c r="AN210" s="14" t="str">
        <f t="shared" si="616"/>
        <v xml:space="preserve"> </v>
      </c>
      <c r="AO210" s="14" t="str">
        <f t="shared" si="617"/>
        <v xml:space="preserve"> </v>
      </c>
      <c r="AP210" s="14" t="str">
        <f t="shared" si="618"/>
        <v xml:space="preserve"> </v>
      </c>
      <c r="AQ210" s="14" t="str">
        <f t="shared" si="619"/>
        <v xml:space="preserve"> </v>
      </c>
      <c r="AR210" s="14" t="str">
        <f t="shared" si="620"/>
        <v xml:space="preserve"> </v>
      </c>
      <c r="AS210" s="27" t="str">
        <f t="shared" si="847"/>
        <v xml:space="preserve"> </v>
      </c>
      <c r="AT210" s="14" t="str">
        <f t="shared" si="621"/>
        <v xml:space="preserve"> </v>
      </c>
      <c r="AU210" s="14" t="str">
        <f t="shared" si="622"/>
        <v xml:space="preserve"> </v>
      </c>
      <c r="AV210" s="14" t="str">
        <f t="shared" si="623"/>
        <v xml:space="preserve"> </v>
      </c>
      <c r="AW210" s="14" t="str">
        <f t="shared" si="624"/>
        <v xml:space="preserve"> </v>
      </c>
      <c r="AX210" s="14" t="str">
        <f t="shared" si="625"/>
        <v xml:space="preserve"> </v>
      </c>
      <c r="AY210" s="27" t="str">
        <f t="shared" si="847"/>
        <v xml:space="preserve"> </v>
      </c>
      <c r="AZ210" s="14" t="str">
        <f t="shared" si="626"/>
        <v xml:space="preserve"> </v>
      </c>
      <c r="BA210" s="14" t="str">
        <f t="shared" si="627"/>
        <v xml:space="preserve"> </v>
      </c>
      <c r="BB210" s="14" t="str">
        <f t="shared" si="628"/>
        <v xml:space="preserve"> </v>
      </c>
      <c r="BC210" s="14" t="str">
        <f t="shared" si="629"/>
        <v xml:space="preserve"> </v>
      </c>
      <c r="BD210" s="14" t="str">
        <f t="shared" si="630"/>
        <v xml:space="preserve"> </v>
      </c>
      <c r="BE210" s="27" t="str">
        <f t="shared" si="847"/>
        <v xml:space="preserve"> </v>
      </c>
      <c r="BF210" s="14" t="str">
        <f t="shared" si="631"/>
        <v xml:space="preserve"> </v>
      </c>
      <c r="BG210" s="14" t="str">
        <f t="shared" si="632"/>
        <v xml:space="preserve"> </v>
      </c>
      <c r="BH210" s="14" t="str">
        <f t="shared" si="633"/>
        <v xml:space="preserve"> </v>
      </c>
      <c r="BI210" s="14" t="str">
        <f t="shared" si="634"/>
        <v xml:space="preserve"> </v>
      </c>
      <c r="BJ210" s="14" t="str">
        <f t="shared" si="635"/>
        <v xml:space="preserve"> </v>
      </c>
      <c r="BK210" s="27" t="str">
        <f t="shared" si="847"/>
        <v xml:space="preserve"> </v>
      </c>
      <c r="BL210" s="14" t="str">
        <f t="shared" si="636"/>
        <v xml:space="preserve"> </v>
      </c>
      <c r="BM210" s="14" t="str">
        <f t="shared" si="637"/>
        <v xml:space="preserve"> </v>
      </c>
      <c r="BN210" s="14" t="str">
        <f t="shared" si="638"/>
        <v xml:space="preserve"> </v>
      </c>
      <c r="BO210" s="14" t="str">
        <f t="shared" si="639"/>
        <v xml:space="preserve"> </v>
      </c>
      <c r="BP210" s="14" t="str">
        <f t="shared" si="640"/>
        <v xml:space="preserve"> </v>
      </c>
      <c r="BQ210" s="27" t="str">
        <f t="shared" si="847"/>
        <v xml:space="preserve"> </v>
      </c>
      <c r="BR210" s="14" t="str">
        <f t="shared" si="641"/>
        <v xml:space="preserve"> </v>
      </c>
      <c r="BS210" s="14" t="str">
        <f t="shared" si="642"/>
        <v xml:space="preserve"> </v>
      </c>
      <c r="BT210" s="14" t="str">
        <f t="shared" si="643"/>
        <v xml:space="preserve"> </v>
      </c>
      <c r="BU210" s="14" t="str">
        <f t="shared" si="644"/>
        <v xml:space="preserve"> </v>
      </c>
      <c r="BV210" s="14" t="str">
        <f t="shared" si="645"/>
        <v xml:space="preserve"> </v>
      </c>
      <c r="BW210" s="27" t="str">
        <f t="shared" si="847"/>
        <v xml:space="preserve"> </v>
      </c>
      <c r="BX210" s="14" t="str">
        <f t="shared" si="646"/>
        <v xml:space="preserve"> </v>
      </c>
      <c r="BY210" s="14" t="str">
        <f t="shared" si="647"/>
        <v xml:space="preserve"> </v>
      </c>
      <c r="BZ210" s="14" t="str">
        <f t="shared" si="648"/>
        <v xml:space="preserve"> </v>
      </c>
      <c r="CA210" s="14" t="str">
        <f t="shared" si="649"/>
        <v xml:space="preserve"> </v>
      </c>
      <c r="CB210" s="14" t="str">
        <f t="shared" si="650"/>
        <v xml:space="preserve"> </v>
      </c>
      <c r="CC210" s="27" t="str">
        <f t="shared" si="848"/>
        <v xml:space="preserve"> </v>
      </c>
      <c r="CD210" s="14" t="str">
        <f t="shared" si="652"/>
        <v xml:space="preserve"> </v>
      </c>
      <c r="CE210" s="14" t="str">
        <f t="shared" si="653"/>
        <v xml:space="preserve"> </v>
      </c>
      <c r="CF210" s="14" t="str">
        <f t="shared" si="654"/>
        <v xml:space="preserve"> </v>
      </c>
      <c r="CG210" s="14" t="str">
        <f t="shared" si="655"/>
        <v xml:space="preserve"> </v>
      </c>
      <c r="CH210" s="14" t="str">
        <f t="shared" si="656"/>
        <v xml:space="preserve"> </v>
      </c>
      <c r="CI210" s="27" t="str">
        <f t="shared" si="848"/>
        <v xml:space="preserve"> </v>
      </c>
      <c r="CJ210" s="14" t="str">
        <f t="shared" si="657"/>
        <v xml:space="preserve"> </v>
      </c>
      <c r="CK210" s="14" t="str">
        <f t="shared" si="658"/>
        <v xml:space="preserve"> </v>
      </c>
      <c r="CL210" s="14" t="str">
        <f t="shared" si="659"/>
        <v xml:space="preserve"> </v>
      </c>
      <c r="CM210" s="14" t="str">
        <f t="shared" si="660"/>
        <v xml:space="preserve"> </v>
      </c>
      <c r="CN210" s="14" t="str">
        <f t="shared" si="661"/>
        <v xml:space="preserve"> </v>
      </c>
      <c r="CO210" s="27" t="str">
        <f t="shared" si="848"/>
        <v xml:space="preserve"> </v>
      </c>
      <c r="CP210" s="14" t="str">
        <f t="shared" si="662"/>
        <v xml:space="preserve"> </v>
      </c>
      <c r="CQ210" s="14" t="str">
        <f t="shared" si="663"/>
        <v xml:space="preserve"> </v>
      </c>
      <c r="CR210" s="14" t="str">
        <f t="shared" si="664"/>
        <v xml:space="preserve"> </v>
      </c>
      <c r="CS210" s="14" t="str">
        <f t="shared" si="665"/>
        <v xml:space="preserve"> </v>
      </c>
      <c r="CT210" s="14" t="str">
        <f t="shared" si="666"/>
        <v xml:space="preserve"> </v>
      </c>
      <c r="CU210" s="27" t="str">
        <f t="shared" si="848"/>
        <v xml:space="preserve"> </v>
      </c>
      <c r="CV210" s="14" t="str">
        <f t="shared" si="667"/>
        <v xml:space="preserve"> </v>
      </c>
      <c r="CW210" s="14" t="str">
        <f t="shared" si="668"/>
        <v xml:space="preserve"> </v>
      </c>
      <c r="CX210" s="14" t="str">
        <f t="shared" si="669"/>
        <v xml:space="preserve"> </v>
      </c>
      <c r="CY210" s="14" t="str">
        <f t="shared" si="670"/>
        <v xml:space="preserve"> </v>
      </c>
      <c r="CZ210" s="14" t="str">
        <f t="shared" si="671"/>
        <v xml:space="preserve"> </v>
      </c>
      <c r="DA210" s="27" t="str">
        <f t="shared" si="848"/>
        <v xml:space="preserve"> </v>
      </c>
      <c r="DB210" s="14" t="str">
        <f t="shared" si="672"/>
        <v xml:space="preserve"> </v>
      </c>
      <c r="DC210" s="14" t="str">
        <f t="shared" si="673"/>
        <v xml:space="preserve"> </v>
      </c>
      <c r="DD210" s="14" t="str">
        <f t="shared" si="674"/>
        <v xml:space="preserve"> </v>
      </c>
      <c r="DE210" s="14" t="str">
        <f t="shared" si="675"/>
        <v xml:space="preserve"> </v>
      </c>
      <c r="DF210" s="14" t="str">
        <f t="shared" si="676"/>
        <v xml:space="preserve"> </v>
      </c>
      <c r="DG210" s="27" t="str">
        <f t="shared" si="848"/>
        <v xml:space="preserve"> </v>
      </c>
      <c r="DH210" s="14" t="str">
        <f t="shared" si="677"/>
        <v xml:space="preserve"> </v>
      </c>
      <c r="DI210" s="14" t="str">
        <f t="shared" si="678"/>
        <v xml:space="preserve"> </v>
      </c>
      <c r="DJ210" s="14" t="str">
        <f t="shared" si="679"/>
        <v xml:space="preserve"> </v>
      </c>
      <c r="DK210" s="14" t="str">
        <f t="shared" si="680"/>
        <v xml:space="preserve"> </v>
      </c>
      <c r="DL210" s="14" t="str">
        <f t="shared" si="681"/>
        <v xml:space="preserve"> </v>
      </c>
      <c r="DM210" s="27" t="str">
        <f t="shared" si="848"/>
        <v xml:space="preserve"> </v>
      </c>
      <c r="DN210" s="14" t="str">
        <f t="shared" si="682"/>
        <v xml:space="preserve"> </v>
      </c>
      <c r="DO210" s="14" t="str">
        <f t="shared" si="683"/>
        <v xml:space="preserve"> </v>
      </c>
      <c r="DP210" s="14" t="str">
        <f t="shared" si="684"/>
        <v xml:space="preserve"> </v>
      </c>
      <c r="DQ210" s="14" t="str">
        <f t="shared" si="685"/>
        <v xml:space="preserve"> </v>
      </c>
      <c r="DR210" s="14" t="str">
        <f t="shared" si="686"/>
        <v xml:space="preserve"> </v>
      </c>
      <c r="DS210" s="27" t="str">
        <f t="shared" si="848"/>
        <v xml:space="preserve"> </v>
      </c>
      <c r="DT210" s="14" t="str">
        <f t="shared" si="687"/>
        <v xml:space="preserve"> </v>
      </c>
      <c r="DU210" s="14" t="str">
        <f t="shared" si="688"/>
        <v xml:space="preserve"> </v>
      </c>
      <c r="DV210" s="14" t="str">
        <f t="shared" si="689"/>
        <v xml:space="preserve"> </v>
      </c>
      <c r="DW210" s="14" t="str">
        <f t="shared" si="690"/>
        <v xml:space="preserve"> </v>
      </c>
      <c r="DX210" s="14" t="str">
        <f t="shared" si="691"/>
        <v xml:space="preserve"> </v>
      </c>
      <c r="DY210" s="27" t="str">
        <f t="shared" si="848"/>
        <v xml:space="preserve"> </v>
      </c>
      <c r="DZ210" s="14" t="str">
        <f t="shared" si="692"/>
        <v xml:space="preserve"> </v>
      </c>
      <c r="EA210" s="14" t="str">
        <f t="shared" si="693"/>
        <v xml:space="preserve"> </v>
      </c>
      <c r="EB210" s="14" t="str">
        <f t="shared" si="694"/>
        <v xml:space="preserve"> </v>
      </c>
      <c r="EC210" s="14" t="str">
        <f t="shared" si="695"/>
        <v xml:space="preserve"> </v>
      </c>
      <c r="ED210" s="14" t="str">
        <f t="shared" si="696"/>
        <v xml:space="preserve"> </v>
      </c>
      <c r="EE210" s="27" t="str">
        <f t="shared" si="848"/>
        <v xml:space="preserve"> </v>
      </c>
      <c r="EF210" s="14" t="str">
        <f t="shared" si="697"/>
        <v xml:space="preserve"> </v>
      </c>
      <c r="EG210" s="14" t="str">
        <f t="shared" si="698"/>
        <v xml:space="preserve"> </v>
      </c>
      <c r="EH210" s="14" t="str">
        <f t="shared" si="699"/>
        <v xml:space="preserve"> </v>
      </c>
      <c r="EI210" s="14" t="str">
        <f t="shared" si="700"/>
        <v xml:space="preserve"> </v>
      </c>
      <c r="EJ210" s="14" t="str">
        <f t="shared" si="701"/>
        <v xml:space="preserve"> </v>
      </c>
      <c r="EK210" s="27" t="str">
        <f t="shared" si="848"/>
        <v xml:space="preserve"> </v>
      </c>
      <c r="EL210" s="14" t="str">
        <f t="shared" si="702"/>
        <v xml:space="preserve"> </v>
      </c>
      <c r="EM210" s="14" t="str">
        <f t="shared" si="703"/>
        <v xml:space="preserve"> </v>
      </c>
      <c r="EN210" s="14" t="str">
        <f t="shared" si="704"/>
        <v xml:space="preserve"> </v>
      </c>
      <c r="EO210" s="14" t="str">
        <f t="shared" si="705"/>
        <v xml:space="preserve"> </v>
      </c>
      <c r="EP210" s="14" t="str">
        <f t="shared" si="706"/>
        <v xml:space="preserve"> </v>
      </c>
      <c r="EQ210" s="27" t="str">
        <f t="shared" si="849"/>
        <v xml:space="preserve"> </v>
      </c>
      <c r="ER210" s="14" t="str">
        <f t="shared" si="708"/>
        <v xml:space="preserve"> </v>
      </c>
      <c r="ES210" s="14" t="str">
        <f t="shared" si="709"/>
        <v xml:space="preserve"> </v>
      </c>
      <c r="ET210" s="14" t="str">
        <f t="shared" si="710"/>
        <v xml:space="preserve"> </v>
      </c>
      <c r="EU210" s="14" t="str">
        <f t="shared" si="711"/>
        <v xml:space="preserve"> </v>
      </c>
      <c r="EV210" s="14" t="str">
        <f t="shared" si="712"/>
        <v xml:space="preserve"> </v>
      </c>
      <c r="EW210" s="27" t="str">
        <f t="shared" si="849"/>
        <v xml:space="preserve"> </v>
      </c>
      <c r="EX210" s="14" t="str">
        <f t="shared" si="713"/>
        <v xml:space="preserve"> </v>
      </c>
      <c r="EY210" s="14" t="str">
        <f t="shared" si="714"/>
        <v xml:space="preserve"> </v>
      </c>
      <c r="EZ210" s="14" t="str">
        <f t="shared" si="715"/>
        <v xml:space="preserve"> </v>
      </c>
      <c r="FA210" s="14" t="str">
        <f t="shared" si="716"/>
        <v xml:space="preserve"> </v>
      </c>
      <c r="FB210" s="14" t="str">
        <f t="shared" si="717"/>
        <v xml:space="preserve"> </v>
      </c>
      <c r="FC210" s="27" t="str">
        <f t="shared" si="849"/>
        <v xml:space="preserve"> </v>
      </c>
      <c r="FD210" s="14" t="str">
        <f t="shared" si="718"/>
        <v xml:space="preserve"> </v>
      </c>
      <c r="FE210" s="14" t="str">
        <f t="shared" si="719"/>
        <v xml:space="preserve"> </v>
      </c>
      <c r="FF210" s="14" t="str">
        <f t="shared" si="720"/>
        <v xml:space="preserve"> </v>
      </c>
      <c r="FG210" s="14" t="str">
        <f t="shared" si="721"/>
        <v xml:space="preserve"> </v>
      </c>
      <c r="FH210" s="14" t="str">
        <f t="shared" si="722"/>
        <v xml:space="preserve"> </v>
      </c>
      <c r="FI210" s="27" t="str">
        <f t="shared" si="849"/>
        <v xml:space="preserve"> </v>
      </c>
      <c r="FJ210" s="14" t="str">
        <f t="shared" si="723"/>
        <v xml:space="preserve"> </v>
      </c>
      <c r="FK210" s="14" t="str">
        <f t="shared" si="724"/>
        <v xml:space="preserve"> </v>
      </c>
      <c r="FL210" s="14" t="str">
        <f t="shared" si="725"/>
        <v xml:space="preserve"> </v>
      </c>
      <c r="FM210" s="14" t="str">
        <f t="shared" si="726"/>
        <v xml:space="preserve"> </v>
      </c>
      <c r="FN210" s="14" t="str">
        <f t="shared" si="727"/>
        <v xml:space="preserve"> </v>
      </c>
      <c r="FO210" s="27" t="str">
        <f t="shared" si="849"/>
        <v xml:space="preserve"> </v>
      </c>
      <c r="FP210" s="14" t="str">
        <f t="shared" si="728"/>
        <v xml:space="preserve"> </v>
      </c>
      <c r="FQ210" s="14" t="str">
        <f t="shared" si="729"/>
        <v xml:space="preserve"> </v>
      </c>
      <c r="FR210" s="14" t="str">
        <f t="shared" si="730"/>
        <v xml:space="preserve"> </v>
      </c>
      <c r="FS210" s="14" t="str">
        <f t="shared" si="731"/>
        <v xml:space="preserve"> </v>
      </c>
      <c r="FT210" s="14" t="str">
        <f t="shared" si="732"/>
        <v xml:space="preserve"> </v>
      </c>
      <c r="FU210" s="27" t="str">
        <f t="shared" si="849"/>
        <v xml:space="preserve"> </v>
      </c>
      <c r="FV210" s="14" t="str">
        <f t="shared" si="733"/>
        <v xml:space="preserve"> </v>
      </c>
      <c r="FW210" s="14" t="str">
        <f t="shared" si="734"/>
        <v xml:space="preserve"> </v>
      </c>
      <c r="FX210" s="14" t="str">
        <f t="shared" si="735"/>
        <v xml:space="preserve"> </v>
      </c>
      <c r="FY210" s="14" t="str">
        <f t="shared" si="736"/>
        <v xml:space="preserve"> </v>
      </c>
      <c r="FZ210" s="14" t="str">
        <f t="shared" si="737"/>
        <v xml:space="preserve"> </v>
      </c>
      <c r="GA210" s="27" t="str">
        <f t="shared" si="849"/>
        <v xml:space="preserve"> </v>
      </c>
      <c r="GB210" s="14" t="str">
        <f t="shared" si="738"/>
        <v xml:space="preserve"> </v>
      </c>
      <c r="GC210" s="14" t="str">
        <f t="shared" si="739"/>
        <v xml:space="preserve"> </v>
      </c>
      <c r="GD210" s="14" t="str">
        <f t="shared" si="740"/>
        <v xml:space="preserve"> </v>
      </c>
      <c r="GE210" s="14" t="str">
        <f t="shared" si="741"/>
        <v xml:space="preserve"> </v>
      </c>
      <c r="GF210" s="14" t="str">
        <f t="shared" si="742"/>
        <v xml:space="preserve"> </v>
      </c>
      <c r="GG210" s="27" t="str">
        <f t="shared" si="849"/>
        <v xml:space="preserve"> </v>
      </c>
      <c r="GH210" s="14" t="str">
        <f t="shared" si="743"/>
        <v xml:space="preserve"> </v>
      </c>
      <c r="GI210" s="14" t="str">
        <f t="shared" si="744"/>
        <v xml:space="preserve"> </v>
      </c>
      <c r="GJ210" s="14" t="str">
        <f t="shared" si="745"/>
        <v xml:space="preserve"> </v>
      </c>
      <c r="GK210" s="14" t="str">
        <f t="shared" si="746"/>
        <v xml:space="preserve"> </v>
      </c>
      <c r="GL210" s="14" t="str">
        <f t="shared" si="747"/>
        <v xml:space="preserve"> </v>
      </c>
      <c r="GM210" s="27" t="str">
        <f t="shared" si="849"/>
        <v xml:space="preserve"> </v>
      </c>
      <c r="GN210" s="14" t="str">
        <f t="shared" si="748"/>
        <v xml:space="preserve"> </v>
      </c>
      <c r="GO210" s="14" t="str">
        <f t="shared" si="749"/>
        <v xml:space="preserve"> </v>
      </c>
      <c r="GP210" s="14" t="str">
        <f t="shared" si="750"/>
        <v xml:space="preserve"> </v>
      </c>
      <c r="GQ210" s="14" t="str">
        <f t="shared" si="751"/>
        <v xml:space="preserve"> </v>
      </c>
      <c r="GR210" s="14" t="str">
        <f t="shared" si="752"/>
        <v xml:space="preserve"> </v>
      </c>
      <c r="GS210" s="27" t="str">
        <f t="shared" si="849"/>
        <v xml:space="preserve"> </v>
      </c>
      <c r="GT210" s="14" t="str">
        <f t="shared" si="753"/>
        <v xml:space="preserve"> </v>
      </c>
      <c r="GU210" s="14" t="str">
        <f t="shared" si="754"/>
        <v xml:space="preserve"> </v>
      </c>
      <c r="GV210" s="14" t="str">
        <f t="shared" si="755"/>
        <v xml:space="preserve"> </v>
      </c>
      <c r="GW210" s="14" t="str">
        <f t="shared" si="756"/>
        <v xml:space="preserve"> </v>
      </c>
      <c r="GX210" s="14" t="str">
        <f t="shared" si="757"/>
        <v xml:space="preserve"> </v>
      </c>
      <c r="GY210" s="27" t="str">
        <f t="shared" si="849"/>
        <v xml:space="preserve"> </v>
      </c>
      <c r="GZ210" s="14" t="str">
        <f t="shared" si="758"/>
        <v xml:space="preserve"> </v>
      </c>
      <c r="HA210" s="14" t="str">
        <f t="shared" si="759"/>
        <v xml:space="preserve"> </v>
      </c>
      <c r="HB210" s="14" t="str">
        <f t="shared" si="760"/>
        <v xml:space="preserve"> </v>
      </c>
      <c r="HC210" s="14" t="str">
        <f t="shared" si="761"/>
        <v xml:space="preserve"> </v>
      </c>
      <c r="HD210" s="14" t="str">
        <f t="shared" si="762"/>
        <v xml:space="preserve"> </v>
      </c>
      <c r="HE210" s="27" t="str">
        <f t="shared" si="850"/>
        <v xml:space="preserve"> </v>
      </c>
      <c r="HF210" s="14" t="str">
        <f t="shared" si="764"/>
        <v xml:space="preserve"> </v>
      </c>
      <c r="HG210" s="14" t="str">
        <f t="shared" si="765"/>
        <v xml:space="preserve"> </v>
      </c>
      <c r="HH210" s="14" t="str">
        <f t="shared" si="766"/>
        <v xml:space="preserve"> </v>
      </c>
      <c r="HI210" s="14" t="str">
        <f t="shared" si="767"/>
        <v xml:space="preserve"> </v>
      </c>
      <c r="HJ210" s="14" t="str">
        <f t="shared" si="768"/>
        <v xml:space="preserve"> </v>
      </c>
      <c r="HK210" s="27" t="str">
        <f t="shared" si="850"/>
        <v xml:space="preserve"> </v>
      </c>
      <c r="HL210" s="14" t="str">
        <f t="shared" si="769"/>
        <v xml:space="preserve"> </v>
      </c>
      <c r="HM210" s="14" t="str">
        <f t="shared" si="770"/>
        <v xml:space="preserve"> </v>
      </c>
      <c r="HN210" s="14" t="str">
        <f t="shared" si="771"/>
        <v xml:space="preserve"> </v>
      </c>
      <c r="HO210" s="14" t="str">
        <f t="shared" si="772"/>
        <v xml:space="preserve"> </v>
      </c>
      <c r="HP210" s="14" t="str">
        <f t="shared" si="773"/>
        <v xml:space="preserve"> </v>
      </c>
      <c r="HQ210" s="27" t="str">
        <f t="shared" si="850"/>
        <v xml:space="preserve"> </v>
      </c>
    </row>
    <row r="211" spans="1:225" ht="15.75" customHeight="1">
      <c r="A211" s="7">
        <f t="shared" ref="A211:C211" si="853">A103</f>
        <v>0</v>
      </c>
      <c r="B211" s="7">
        <f t="shared" si="853"/>
        <v>0</v>
      </c>
      <c r="C211" s="7">
        <f t="shared" si="853"/>
        <v>0</v>
      </c>
      <c r="D211" s="14" t="str">
        <f t="shared" si="775"/>
        <v xml:space="preserve"> </v>
      </c>
      <c r="E211" s="14" t="str">
        <f t="shared" si="776"/>
        <v xml:space="preserve"> </v>
      </c>
      <c r="F211" s="14" t="str">
        <f t="shared" si="777"/>
        <v xml:space="preserve"> </v>
      </c>
      <c r="G211" s="14" t="str">
        <f t="shared" si="778"/>
        <v xml:space="preserve"> </v>
      </c>
      <c r="H211" s="14" t="str">
        <f t="shared" si="779"/>
        <v xml:space="preserve"> </v>
      </c>
      <c r="I211" s="27" t="str">
        <f t="shared" ref="I211" si="854">IF(I103="",I212,$C211&amp;"("&amp;I103&amp;"),"&amp;I212)</f>
        <v xml:space="preserve"> </v>
      </c>
      <c r="J211" s="14" t="str">
        <f t="shared" si="590"/>
        <v xml:space="preserve"> </v>
      </c>
      <c r="K211" s="14" t="str">
        <f t="shared" si="591"/>
        <v xml:space="preserve"> </v>
      </c>
      <c r="L211" s="14" t="str">
        <f t="shared" si="592"/>
        <v xml:space="preserve"> </v>
      </c>
      <c r="M211" s="14" t="str">
        <f t="shared" si="593"/>
        <v xml:space="preserve"> </v>
      </c>
      <c r="N211" s="14" t="str">
        <f t="shared" si="594"/>
        <v xml:space="preserve"> </v>
      </c>
      <c r="O211" s="27" t="str">
        <f t="shared" si="847"/>
        <v xml:space="preserve"> </v>
      </c>
      <c r="P211" s="14" t="str">
        <f t="shared" si="596"/>
        <v xml:space="preserve"> </v>
      </c>
      <c r="Q211" s="14" t="str">
        <f t="shared" si="597"/>
        <v xml:space="preserve"> </v>
      </c>
      <c r="R211" s="14" t="str">
        <f t="shared" si="598"/>
        <v xml:space="preserve"> </v>
      </c>
      <c r="S211" s="14" t="str">
        <f t="shared" si="599"/>
        <v xml:space="preserve"> </v>
      </c>
      <c r="T211" s="14" t="str">
        <f t="shared" si="600"/>
        <v xml:space="preserve"> </v>
      </c>
      <c r="U211" s="27" t="str">
        <f t="shared" si="847"/>
        <v xml:space="preserve"> </v>
      </c>
      <c r="V211" s="14" t="str">
        <f t="shared" si="601"/>
        <v xml:space="preserve"> </v>
      </c>
      <c r="W211" s="14" t="str">
        <f t="shared" si="602"/>
        <v xml:space="preserve"> </v>
      </c>
      <c r="X211" s="14" t="str">
        <f t="shared" si="603"/>
        <v xml:space="preserve"> </v>
      </c>
      <c r="Y211" s="14" t="str">
        <f t="shared" si="604"/>
        <v xml:space="preserve"> </v>
      </c>
      <c r="Z211" s="14" t="str">
        <f t="shared" si="605"/>
        <v xml:space="preserve"> </v>
      </c>
      <c r="AA211" s="27" t="str">
        <f t="shared" si="847"/>
        <v xml:space="preserve"> </v>
      </c>
      <c r="AB211" s="14" t="str">
        <f t="shared" si="606"/>
        <v xml:space="preserve"> </v>
      </c>
      <c r="AC211" s="14" t="str">
        <f t="shared" si="607"/>
        <v xml:space="preserve"> </v>
      </c>
      <c r="AD211" s="14" t="str">
        <f t="shared" si="608"/>
        <v xml:space="preserve"> </v>
      </c>
      <c r="AE211" s="14" t="str">
        <f t="shared" si="609"/>
        <v xml:space="preserve"> </v>
      </c>
      <c r="AF211" s="14" t="str">
        <f t="shared" si="610"/>
        <v xml:space="preserve"> </v>
      </c>
      <c r="AG211" s="27" t="str">
        <f t="shared" si="847"/>
        <v xml:space="preserve"> </v>
      </c>
      <c r="AH211" s="14" t="str">
        <f t="shared" si="611"/>
        <v xml:space="preserve"> </v>
      </c>
      <c r="AI211" s="14" t="str">
        <f t="shared" si="612"/>
        <v xml:space="preserve"> </v>
      </c>
      <c r="AJ211" s="14" t="str">
        <f t="shared" si="613"/>
        <v xml:space="preserve"> </v>
      </c>
      <c r="AK211" s="14" t="str">
        <f t="shared" si="614"/>
        <v xml:space="preserve"> </v>
      </c>
      <c r="AL211" s="14" t="str">
        <f t="shared" si="615"/>
        <v xml:space="preserve"> </v>
      </c>
      <c r="AM211" s="27" t="str">
        <f t="shared" si="847"/>
        <v xml:space="preserve"> </v>
      </c>
      <c r="AN211" s="14" t="str">
        <f t="shared" si="616"/>
        <v xml:space="preserve"> </v>
      </c>
      <c r="AO211" s="14" t="str">
        <f t="shared" si="617"/>
        <v xml:space="preserve"> </v>
      </c>
      <c r="AP211" s="14" t="str">
        <f t="shared" si="618"/>
        <v xml:space="preserve"> </v>
      </c>
      <c r="AQ211" s="14" t="str">
        <f t="shared" si="619"/>
        <v xml:space="preserve"> </v>
      </c>
      <c r="AR211" s="14" t="str">
        <f t="shared" si="620"/>
        <v xml:space="preserve"> </v>
      </c>
      <c r="AS211" s="27" t="str">
        <f t="shared" si="847"/>
        <v xml:space="preserve"> </v>
      </c>
      <c r="AT211" s="14" t="str">
        <f t="shared" si="621"/>
        <v xml:space="preserve"> </v>
      </c>
      <c r="AU211" s="14" t="str">
        <f t="shared" si="622"/>
        <v xml:space="preserve"> </v>
      </c>
      <c r="AV211" s="14" t="str">
        <f t="shared" si="623"/>
        <v xml:space="preserve"> </v>
      </c>
      <c r="AW211" s="14" t="str">
        <f t="shared" si="624"/>
        <v xml:space="preserve"> </v>
      </c>
      <c r="AX211" s="14" t="str">
        <f t="shared" si="625"/>
        <v xml:space="preserve"> </v>
      </c>
      <c r="AY211" s="27" t="str">
        <f t="shared" si="847"/>
        <v xml:space="preserve"> </v>
      </c>
      <c r="AZ211" s="14" t="str">
        <f t="shared" si="626"/>
        <v xml:space="preserve"> </v>
      </c>
      <c r="BA211" s="14" t="str">
        <f t="shared" si="627"/>
        <v xml:space="preserve"> </v>
      </c>
      <c r="BB211" s="14" t="str">
        <f t="shared" si="628"/>
        <v xml:space="preserve"> </v>
      </c>
      <c r="BC211" s="14" t="str">
        <f t="shared" si="629"/>
        <v xml:space="preserve"> </v>
      </c>
      <c r="BD211" s="14" t="str">
        <f t="shared" si="630"/>
        <v xml:space="preserve"> </v>
      </c>
      <c r="BE211" s="27" t="str">
        <f t="shared" si="847"/>
        <v xml:space="preserve"> </v>
      </c>
      <c r="BF211" s="14" t="str">
        <f t="shared" si="631"/>
        <v xml:space="preserve"> </v>
      </c>
      <c r="BG211" s="14" t="str">
        <f t="shared" si="632"/>
        <v xml:space="preserve"> </v>
      </c>
      <c r="BH211" s="14" t="str">
        <f t="shared" si="633"/>
        <v xml:space="preserve"> </v>
      </c>
      <c r="BI211" s="14" t="str">
        <f t="shared" si="634"/>
        <v xml:space="preserve"> </v>
      </c>
      <c r="BJ211" s="14" t="str">
        <f t="shared" si="635"/>
        <v xml:space="preserve"> </v>
      </c>
      <c r="BK211" s="27" t="str">
        <f t="shared" si="847"/>
        <v xml:space="preserve"> </v>
      </c>
      <c r="BL211" s="14" t="str">
        <f t="shared" si="636"/>
        <v xml:space="preserve"> </v>
      </c>
      <c r="BM211" s="14" t="str">
        <f t="shared" si="637"/>
        <v xml:space="preserve"> </v>
      </c>
      <c r="BN211" s="14" t="str">
        <f t="shared" si="638"/>
        <v xml:space="preserve"> </v>
      </c>
      <c r="BO211" s="14" t="str">
        <f t="shared" si="639"/>
        <v xml:space="preserve"> </v>
      </c>
      <c r="BP211" s="14" t="str">
        <f t="shared" si="640"/>
        <v xml:space="preserve"> </v>
      </c>
      <c r="BQ211" s="27" t="str">
        <f t="shared" si="847"/>
        <v xml:space="preserve"> </v>
      </c>
      <c r="BR211" s="14" t="str">
        <f t="shared" si="641"/>
        <v xml:space="preserve"> </v>
      </c>
      <c r="BS211" s="14" t="str">
        <f t="shared" si="642"/>
        <v xml:space="preserve"> </v>
      </c>
      <c r="BT211" s="14" t="str">
        <f t="shared" si="643"/>
        <v xml:space="preserve"> </v>
      </c>
      <c r="BU211" s="14" t="str">
        <f t="shared" si="644"/>
        <v xml:space="preserve"> </v>
      </c>
      <c r="BV211" s="14" t="str">
        <f t="shared" si="645"/>
        <v xml:space="preserve"> </v>
      </c>
      <c r="BW211" s="27" t="str">
        <f t="shared" si="847"/>
        <v xml:space="preserve"> </v>
      </c>
      <c r="BX211" s="14" t="str">
        <f t="shared" si="646"/>
        <v xml:space="preserve"> </v>
      </c>
      <c r="BY211" s="14" t="str">
        <f t="shared" si="647"/>
        <v xml:space="preserve"> </v>
      </c>
      <c r="BZ211" s="14" t="str">
        <f t="shared" si="648"/>
        <v xml:space="preserve"> </v>
      </c>
      <c r="CA211" s="14" t="str">
        <f t="shared" si="649"/>
        <v xml:space="preserve"> </v>
      </c>
      <c r="CB211" s="14" t="str">
        <f t="shared" si="650"/>
        <v xml:space="preserve"> </v>
      </c>
      <c r="CC211" s="27" t="str">
        <f t="shared" si="848"/>
        <v xml:space="preserve"> </v>
      </c>
      <c r="CD211" s="14" t="str">
        <f t="shared" si="652"/>
        <v xml:space="preserve"> </v>
      </c>
      <c r="CE211" s="14" t="str">
        <f t="shared" si="653"/>
        <v xml:space="preserve"> </v>
      </c>
      <c r="CF211" s="14" t="str">
        <f t="shared" si="654"/>
        <v xml:space="preserve"> </v>
      </c>
      <c r="CG211" s="14" t="str">
        <f t="shared" si="655"/>
        <v xml:space="preserve"> </v>
      </c>
      <c r="CH211" s="14" t="str">
        <f t="shared" si="656"/>
        <v xml:space="preserve"> </v>
      </c>
      <c r="CI211" s="27" t="str">
        <f t="shared" si="848"/>
        <v xml:space="preserve"> </v>
      </c>
      <c r="CJ211" s="14" t="str">
        <f t="shared" si="657"/>
        <v xml:space="preserve"> </v>
      </c>
      <c r="CK211" s="14" t="str">
        <f t="shared" si="658"/>
        <v xml:space="preserve"> </v>
      </c>
      <c r="CL211" s="14" t="str">
        <f t="shared" si="659"/>
        <v xml:space="preserve"> </v>
      </c>
      <c r="CM211" s="14" t="str">
        <f t="shared" si="660"/>
        <v xml:space="preserve"> </v>
      </c>
      <c r="CN211" s="14" t="str">
        <f t="shared" si="661"/>
        <v xml:space="preserve"> </v>
      </c>
      <c r="CO211" s="27" t="str">
        <f t="shared" si="848"/>
        <v xml:space="preserve"> </v>
      </c>
      <c r="CP211" s="14" t="str">
        <f t="shared" si="662"/>
        <v xml:space="preserve"> </v>
      </c>
      <c r="CQ211" s="14" t="str">
        <f t="shared" si="663"/>
        <v xml:space="preserve"> </v>
      </c>
      <c r="CR211" s="14" t="str">
        <f t="shared" si="664"/>
        <v xml:space="preserve"> </v>
      </c>
      <c r="CS211" s="14" t="str">
        <f t="shared" si="665"/>
        <v xml:space="preserve"> </v>
      </c>
      <c r="CT211" s="14" t="str">
        <f t="shared" si="666"/>
        <v xml:space="preserve"> </v>
      </c>
      <c r="CU211" s="27" t="str">
        <f t="shared" si="848"/>
        <v xml:space="preserve"> </v>
      </c>
      <c r="CV211" s="14" t="str">
        <f t="shared" si="667"/>
        <v xml:space="preserve"> </v>
      </c>
      <c r="CW211" s="14" t="str">
        <f t="shared" si="668"/>
        <v xml:space="preserve"> </v>
      </c>
      <c r="CX211" s="14" t="str">
        <f t="shared" si="669"/>
        <v xml:space="preserve"> </v>
      </c>
      <c r="CY211" s="14" t="str">
        <f t="shared" si="670"/>
        <v xml:space="preserve"> </v>
      </c>
      <c r="CZ211" s="14" t="str">
        <f t="shared" si="671"/>
        <v xml:space="preserve"> </v>
      </c>
      <c r="DA211" s="27" t="str">
        <f t="shared" si="848"/>
        <v xml:space="preserve"> </v>
      </c>
      <c r="DB211" s="14" t="str">
        <f t="shared" si="672"/>
        <v xml:space="preserve"> </v>
      </c>
      <c r="DC211" s="14" t="str">
        <f t="shared" si="673"/>
        <v xml:space="preserve"> </v>
      </c>
      <c r="DD211" s="14" t="str">
        <f t="shared" si="674"/>
        <v xml:space="preserve"> </v>
      </c>
      <c r="DE211" s="14" t="str">
        <f t="shared" si="675"/>
        <v xml:space="preserve"> </v>
      </c>
      <c r="DF211" s="14" t="str">
        <f t="shared" si="676"/>
        <v xml:space="preserve"> </v>
      </c>
      <c r="DG211" s="27" t="str">
        <f t="shared" si="848"/>
        <v xml:space="preserve"> </v>
      </c>
      <c r="DH211" s="14" t="str">
        <f t="shared" si="677"/>
        <v xml:space="preserve"> </v>
      </c>
      <c r="DI211" s="14" t="str">
        <f t="shared" si="678"/>
        <v xml:space="preserve"> </v>
      </c>
      <c r="DJ211" s="14" t="str">
        <f t="shared" si="679"/>
        <v xml:space="preserve"> </v>
      </c>
      <c r="DK211" s="14" t="str">
        <f t="shared" si="680"/>
        <v xml:space="preserve"> </v>
      </c>
      <c r="DL211" s="14" t="str">
        <f t="shared" si="681"/>
        <v xml:space="preserve"> </v>
      </c>
      <c r="DM211" s="27" t="str">
        <f t="shared" si="848"/>
        <v xml:space="preserve"> </v>
      </c>
      <c r="DN211" s="14" t="str">
        <f t="shared" si="682"/>
        <v xml:space="preserve"> </v>
      </c>
      <c r="DO211" s="14" t="str">
        <f t="shared" si="683"/>
        <v xml:space="preserve"> </v>
      </c>
      <c r="DP211" s="14" t="str">
        <f t="shared" si="684"/>
        <v xml:space="preserve"> </v>
      </c>
      <c r="DQ211" s="14" t="str">
        <f t="shared" si="685"/>
        <v xml:space="preserve"> </v>
      </c>
      <c r="DR211" s="14" t="str">
        <f t="shared" si="686"/>
        <v xml:space="preserve"> </v>
      </c>
      <c r="DS211" s="27" t="str">
        <f t="shared" si="848"/>
        <v xml:space="preserve"> </v>
      </c>
      <c r="DT211" s="14" t="str">
        <f t="shared" si="687"/>
        <v xml:space="preserve"> </v>
      </c>
      <c r="DU211" s="14" t="str">
        <f t="shared" si="688"/>
        <v xml:space="preserve"> </v>
      </c>
      <c r="DV211" s="14" t="str">
        <f t="shared" si="689"/>
        <v xml:space="preserve"> </v>
      </c>
      <c r="DW211" s="14" t="str">
        <f t="shared" si="690"/>
        <v xml:space="preserve"> </v>
      </c>
      <c r="DX211" s="14" t="str">
        <f t="shared" si="691"/>
        <v xml:space="preserve"> </v>
      </c>
      <c r="DY211" s="27" t="str">
        <f t="shared" si="848"/>
        <v xml:space="preserve"> </v>
      </c>
      <c r="DZ211" s="14" t="str">
        <f t="shared" si="692"/>
        <v xml:space="preserve"> </v>
      </c>
      <c r="EA211" s="14" t="str">
        <f t="shared" si="693"/>
        <v xml:space="preserve"> </v>
      </c>
      <c r="EB211" s="14" t="str">
        <f t="shared" si="694"/>
        <v xml:space="preserve"> </v>
      </c>
      <c r="EC211" s="14" t="str">
        <f t="shared" si="695"/>
        <v xml:space="preserve"> </v>
      </c>
      <c r="ED211" s="14" t="str">
        <f t="shared" si="696"/>
        <v xml:space="preserve"> </v>
      </c>
      <c r="EE211" s="27" t="str">
        <f t="shared" si="848"/>
        <v xml:space="preserve"> </v>
      </c>
      <c r="EF211" s="14" t="str">
        <f t="shared" si="697"/>
        <v xml:space="preserve"> </v>
      </c>
      <c r="EG211" s="14" t="str">
        <f t="shared" si="698"/>
        <v xml:space="preserve"> </v>
      </c>
      <c r="EH211" s="14" t="str">
        <f t="shared" si="699"/>
        <v xml:space="preserve"> </v>
      </c>
      <c r="EI211" s="14" t="str">
        <f t="shared" si="700"/>
        <v xml:space="preserve"> </v>
      </c>
      <c r="EJ211" s="14" t="str">
        <f t="shared" si="701"/>
        <v xml:space="preserve"> </v>
      </c>
      <c r="EK211" s="27" t="str">
        <f t="shared" si="848"/>
        <v xml:space="preserve"> </v>
      </c>
      <c r="EL211" s="14" t="str">
        <f t="shared" si="702"/>
        <v xml:space="preserve"> </v>
      </c>
      <c r="EM211" s="14" t="str">
        <f t="shared" si="703"/>
        <v xml:space="preserve"> </v>
      </c>
      <c r="EN211" s="14" t="str">
        <f t="shared" si="704"/>
        <v xml:space="preserve"> </v>
      </c>
      <c r="EO211" s="14" t="str">
        <f t="shared" si="705"/>
        <v xml:space="preserve"> </v>
      </c>
      <c r="EP211" s="14" t="str">
        <f t="shared" si="706"/>
        <v xml:space="preserve"> </v>
      </c>
      <c r="EQ211" s="27" t="str">
        <f t="shared" si="849"/>
        <v xml:space="preserve"> </v>
      </c>
      <c r="ER211" s="14" t="str">
        <f t="shared" si="708"/>
        <v xml:space="preserve"> </v>
      </c>
      <c r="ES211" s="14" t="str">
        <f t="shared" si="709"/>
        <v xml:space="preserve"> </v>
      </c>
      <c r="ET211" s="14" t="str">
        <f t="shared" si="710"/>
        <v xml:space="preserve"> </v>
      </c>
      <c r="EU211" s="14" t="str">
        <f t="shared" si="711"/>
        <v xml:space="preserve"> </v>
      </c>
      <c r="EV211" s="14" t="str">
        <f t="shared" si="712"/>
        <v xml:space="preserve"> </v>
      </c>
      <c r="EW211" s="27" t="str">
        <f t="shared" si="849"/>
        <v xml:space="preserve"> </v>
      </c>
      <c r="EX211" s="14" t="str">
        <f t="shared" si="713"/>
        <v xml:space="preserve"> </v>
      </c>
      <c r="EY211" s="14" t="str">
        <f t="shared" si="714"/>
        <v xml:space="preserve"> </v>
      </c>
      <c r="EZ211" s="14" t="str">
        <f t="shared" si="715"/>
        <v xml:space="preserve"> </v>
      </c>
      <c r="FA211" s="14" t="str">
        <f t="shared" si="716"/>
        <v xml:space="preserve"> </v>
      </c>
      <c r="FB211" s="14" t="str">
        <f t="shared" si="717"/>
        <v xml:space="preserve"> </v>
      </c>
      <c r="FC211" s="27" t="str">
        <f t="shared" si="849"/>
        <v xml:space="preserve"> </v>
      </c>
      <c r="FD211" s="14" t="str">
        <f t="shared" si="718"/>
        <v xml:space="preserve"> </v>
      </c>
      <c r="FE211" s="14" t="str">
        <f t="shared" si="719"/>
        <v xml:space="preserve"> </v>
      </c>
      <c r="FF211" s="14" t="str">
        <f t="shared" si="720"/>
        <v xml:space="preserve"> </v>
      </c>
      <c r="FG211" s="14" t="str">
        <f t="shared" si="721"/>
        <v xml:space="preserve"> </v>
      </c>
      <c r="FH211" s="14" t="str">
        <f t="shared" si="722"/>
        <v xml:space="preserve"> </v>
      </c>
      <c r="FI211" s="27" t="str">
        <f t="shared" si="849"/>
        <v xml:space="preserve"> </v>
      </c>
      <c r="FJ211" s="14" t="str">
        <f t="shared" si="723"/>
        <v xml:space="preserve"> </v>
      </c>
      <c r="FK211" s="14" t="str">
        <f t="shared" si="724"/>
        <v xml:space="preserve"> </v>
      </c>
      <c r="FL211" s="14" t="str">
        <f t="shared" si="725"/>
        <v xml:space="preserve"> </v>
      </c>
      <c r="FM211" s="14" t="str">
        <f t="shared" si="726"/>
        <v xml:space="preserve"> </v>
      </c>
      <c r="FN211" s="14" t="str">
        <f t="shared" si="727"/>
        <v xml:space="preserve"> </v>
      </c>
      <c r="FO211" s="27" t="str">
        <f t="shared" si="849"/>
        <v xml:space="preserve"> </v>
      </c>
      <c r="FP211" s="14" t="str">
        <f t="shared" si="728"/>
        <v xml:space="preserve"> </v>
      </c>
      <c r="FQ211" s="14" t="str">
        <f t="shared" si="729"/>
        <v xml:space="preserve"> </v>
      </c>
      <c r="FR211" s="14" t="str">
        <f t="shared" si="730"/>
        <v xml:space="preserve"> </v>
      </c>
      <c r="FS211" s="14" t="str">
        <f t="shared" si="731"/>
        <v xml:space="preserve"> </v>
      </c>
      <c r="FT211" s="14" t="str">
        <f t="shared" si="732"/>
        <v xml:space="preserve"> </v>
      </c>
      <c r="FU211" s="27" t="str">
        <f t="shared" si="849"/>
        <v xml:space="preserve"> </v>
      </c>
      <c r="FV211" s="14" t="str">
        <f t="shared" si="733"/>
        <v xml:space="preserve"> </v>
      </c>
      <c r="FW211" s="14" t="str">
        <f t="shared" si="734"/>
        <v xml:space="preserve"> </v>
      </c>
      <c r="FX211" s="14" t="str">
        <f t="shared" si="735"/>
        <v xml:space="preserve"> </v>
      </c>
      <c r="FY211" s="14" t="str">
        <f t="shared" si="736"/>
        <v xml:space="preserve"> </v>
      </c>
      <c r="FZ211" s="14" t="str">
        <f t="shared" si="737"/>
        <v xml:space="preserve"> </v>
      </c>
      <c r="GA211" s="27" t="str">
        <f t="shared" si="849"/>
        <v xml:space="preserve"> </v>
      </c>
      <c r="GB211" s="14" t="str">
        <f t="shared" si="738"/>
        <v xml:space="preserve"> </v>
      </c>
      <c r="GC211" s="14" t="str">
        <f t="shared" si="739"/>
        <v xml:space="preserve"> </v>
      </c>
      <c r="GD211" s="14" t="str">
        <f t="shared" si="740"/>
        <v xml:space="preserve"> </v>
      </c>
      <c r="GE211" s="14" t="str">
        <f t="shared" si="741"/>
        <v xml:space="preserve"> </v>
      </c>
      <c r="GF211" s="14" t="str">
        <f t="shared" si="742"/>
        <v xml:space="preserve"> </v>
      </c>
      <c r="GG211" s="27" t="str">
        <f t="shared" si="849"/>
        <v xml:space="preserve"> </v>
      </c>
      <c r="GH211" s="14" t="str">
        <f t="shared" si="743"/>
        <v xml:space="preserve"> </v>
      </c>
      <c r="GI211" s="14" t="str">
        <f t="shared" si="744"/>
        <v xml:space="preserve"> </v>
      </c>
      <c r="GJ211" s="14" t="str">
        <f t="shared" si="745"/>
        <v xml:space="preserve"> </v>
      </c>
      <c r="GK211" s="14" t="str">
        <f t="shared" si="746"/>
        <v xml:space="preserve"> </v>
      </c>
      <c r="GL211" s="14" t="str">
        <f t="shared" si="747"/>
        <v xml:space="preserve"> </v>
      </c>
      <c r="GM211" s="27" t="str">
        <f t="shared" si="849"/>
        <v xml:space="preserve"> </v>
      </c>
      <c r="GN211" s="14" t="str">
        <f t="shared" si="748"/>
        <v xml:space="preserve"> </v>
      </c>
      <c r="GO211" s="14" t="str">
        <f t="shared" si="749"/>
        <v xml:space="preserve"> </v>
      </c>
      <c r="GP211" s="14" t="str">
        <f t="shared" si="750"/>
        <v xml:space="preserve"> </v>
      </c>
      <c r="GQ211" s="14" t="str">
        <f t="shared" si="751"/>
        <v xml:space="preserve"> </v>
      </c>
      <c r="GR211" s="14" t="str">
        <f t="shared" si="752"/>
        <v xml:space="preserve"> </v>
      </c>
      <c r="GS211" s="27" t="str">
        <f t="shared" si="849"/>
        <v xml:space="preserve"> </v>
      </c>
      <c r="GT211" s="14" t="str">
        <f t="shared" si="753"/>
        <v xml:space="preserve"> </v>
      </c>
      <c r="GU211" s="14" t="str">
        <f t="shared" si="754"/>
        <v xml:space="preserve"> </v>
      </c>
      <c r="GV211" s="14" t="str">
        <f t="shared" si="755"/>
        <v xml:space="preserve"> </v>
      </c>
      <c r="GW211" s="14" t="str">
        <f t="shared" si="756"/>
        <v xml:space="preserve"> </v>
      </c>
      <c r="GX211" s="14" t="str">
        <f t="shared" si="757"/>
        <v xml:space="preserve"> </v>
      </c>
      <c r="GY211" s="27" t="str">
        <f t="shared" si="849"/>
        <v xml:space="preserve"> </v>
      </c>
      <c r="GZ211" s="14" t="str">
        <f t="shared" si="758"/>
        <v xml:space="preserve"> </v>
      </c>
      <c r="HA211" s="14" t="str">
        <f t="shared" si="759"/>
        <v xml:space="preserve"> </v>
      </c>
      <c r="HB211" s="14" t="str">
        <f t="shared" si="760"/>
        <v xml:space="preserve"> </v>
      </c>
      <c r="HC211" s="14" t="str">
        <f t="shared" si="761"/>
        <v xml:space="preserve"> </v>
      </c>
      <c r="HD211" s="14" t="str">
        <f t="shared" si="762"/>
        <v xml:space="preserve"> </v>
      </c>
      <c r="HE211" s="27" t="str">
        <f t="shared" si="850"/>
        <v xml:space="preserve"> </v>
      </c>
      <c r="HF211" s="14" t="str">
        <f t="shared" si="764"/>
        <v xml:space="preserve"> </v>
      </c>
      <c r="HG211" s="14" t="str">
        <f t="shared" si="765"/>
        <v xml:space="preserve"> </v>
      </c>
      <c r="HH211" s="14" t="str">
        <f t="shared" si="766"/>
        <v xml:space="preserve"> </v>
      </c>
      <c r="HI211" s="14" t="str">
        <f t="shared" si="767"/>
        <v xml:space="preserve"> </v>
      </c>
      <c r="HJ211" s="14" t="str">
        <f t="shared" si="768"/>
        <v xml:space="preserve"> </v>
      </c>
      <c r="HK211" s="27" t="str">
        <f t="shared" si="850"/>
        <v xml:space="preserve"> </v>
      </c>
      <c r="HL211" s="14" t="str">
        <f t="shared" si="769"/>
        <v xml:space="preserve"> </v>
      </c>
      <c r="HM211" s="14" t="str">
        <f t="shared" si="770"/>
        <v xml:space="preserve"> </v>
      </c>
      <c r="HN211" s="14" t="str">
        <f t="shared" si="771"/>
        <v xml:space="preserve"> </v>
      </c>
      <c r="HO211" s="14" t="str">
        <f t="shared" si="772"/>
        <v xml:space="preserve"> </v>
      </c>
      <c r="HP211" s="14" t="str">
        <f t="shared" si="773"/>
        <v xml:space="preserve"> </v>
      </c>
      <c r="HQ211" s="27" t="str">
        <f t="shared" si="850"/>
        <v xml:space="preserve"> </v>
      </c>
    </row>
    <row r="212" spans="1:225" ht="15.75" customHeight="1">
      <c r="A212" s="7">
        <f t="shared" ref="A212:C212" si="855">A104</f>
        <v>0</v>
      </c>
      <c r="B212" s="7">
        <f t="shared" si="855"/>
        <v>0</v>
      </c>
      <c r="C212" s="7">
        <f t="shared" si="855"/>
        <v>0</v>
      </c>
      <c r="D212" s="14" t="str">
        <f t="shared" si="775"/>
        <v xml:space="preserve"> </v>
      </c>
      <c r="E212" s="14" t="str">
        <f t="shared" si="776"/>
        <v xml:space="preserve"> </v>
      </c>
      <c r="F212" s="14" t="str">
        <f t="shared" si="777"/>
        <v xml:space="preserve"> </v>
      </c>
      <c r="G212" s="14" t="str">
        <f t="shared" si="778"/>
        <v xml:space="preserve"> </v>
      </c>
      <c r="H212" s="14" t="str">
        <f t="shared" si="779"/>
        <v xml:space="preserve"> </v>
      </c>
      <c r="I212" s="27" t="str">
        <f t="shared" ref="I212" si="856">IF(I104="",I213,$C212&amp;"("&amp;I104&amp;"),"&amp;I213)</f>
        <v xml:space="preserve"> </v>
      </c>
      <c r="J212" s="14" t="str">
        <f t="shared" si="590"/>
        <v xml:space="preserve"> </v>
      </c>
      <c r="K212" s="14" t="str">
        <f t="shared" si="591"/>
        <v xml:space="preserve"> </v>
      </c>
      <c r="L212" s="14" t="str">
        <f t="shared" si="592"/>
        <v xml:space="preserve"> </v>
      </c>
      <c r="M212" s="14" t="str">
        <f t="shared" si="593"/>
        <v xml:space="preserve"> </v>
      </c>
      <c r="N212" s="14" t="str">
        <f t="shared" si="594"/>
        <v xml:space="preserve"> </v>
      </c>
      <c r="O212" s="27" t="str">
        <f t="shared" si="847"/>
        <v xml:space="preserve"> </v>
      </c>
      <c r="P212" s="14" t="str">
        <f t="shared" si="596"/>
        <v xml:space="preserve"> </v>
      </c>
      <c r="Q212" s="14" t="str">
        <f t="shared" si="597"/>
        <v xml:space="preserve"> </v>
      </c>
      <c r="R212" s="14" t="str">
        <f t="shared" si="598"/>
        <v xml:space="preserve"> </v>
      </c>
      <c r="S212" s="14" t="str">
        <f t="shared" si="599"/>
        <v xml:space="preserve"> </v>
      </c>
      <c r="T212" s="14" t="str">
        <f t="shared" si="600"/>
        <v xml:space="preserve"> </v>
      </c>
      <c r="U212" s="27" t="str">
        <f t="shared" si="847"/>
        <v xml:space="preserve"> </v>
      </c>
      <c r="V212" s="14" t="str">
        <f t="shared" si="601"/>
        <v xml:space="preserve"> </v>
      </c>
      <c r="W212" s="14" t="str">
        <f t="shared" si="602"/>
        <v xml:space="preserve"> </v>
      </c>
      <c r="X212" s="14" t="str">
        <f t="shared" si="603"/>
        <v xml:space="preserve"> </v>
      </c>
      <c r="Y212" s="14" t="str">
        <f t="shared" si="604"/>
        <v xml:space="preserve"> </v>
      </c>
      <c r="Z212" s="14" t="str">
        <f t="shared" si="605"/>
        <v xml:space="preserve"> </v>
      </c>
      <c r="AA212" s="27" t="str">
        <f t="shared" si="847"/>
        <v xml:space="preserve"> </v>
      </c>
      <c r="AB212" s="14" t="str">
        <f t="shared" si="606"/>
        <v xml:space="preserve"> </v>
      </c>
      <c r="AC212" s="14" t="str">
        <f t="shared" si="607"/>
        <v xml:space="preserve"> </v>
      </c>
      <c r="AD212" s="14" t="str">
        <f t="shared" si="608"/>
        <v xml:space="preserve"> </v>
      </c>
      <c r="AE212" s="14" t="str">
        <f t="shared" si="609"/>
        <v xml:space="preserve"> </v>
      </c>
      <c r="AF212" s="14" t="str">
        <f t="shared" si="610"/>
        <v xml:space="preserve"> </v>
      </c>
      <c r="AG212" s="27" t="str">
        <f t="shared" si="847"/>
        <v xml:space="preserve"> </v>
      </c>
      <c r="AH212" s="14" t="str">
        <f t="shared" si="611"/>
        <v xml:space="preserve"> </v>
      </c>
      <c r="AI212" s="14" t="str">
        <f t="shared" si="612"/>
        <v xml:space="preserve"> </v>
      </c>
      <c r="AJ212" s="14" t="str">
        <f t="shared" si="613"/>
        <v xml:space="preserve"> </v>
      </c>
      <c r="AK212" s="14" t="str">
        <f t="shared" si="614"/>
        <v xml:space="preserve"> </v>
      </c>
      <c r="AL212" s="14" t="str">
        <f t="shared" si="615"/>
        <v xml:space="preserve"> </v>
      </c>
      <c r="AM212" s="27" t="str">
        <f t="shared" si="847"/>
        <v xml:space="preserve"> </v>
      </c>
      <c r="AN212" s="14" t="str">
        <f t="shared" si="616"/>
        <v xml:space="preserve"> </v>
      </c>
      <c r="AO212" s="14" t="str">
        <f t="shared" si="617"/>
        <v xml:space="preserve"> </v>
      </c>
      <c r="AP212" s="14" t="str">
        <f t="shared" si="618"/>
        <v xml:space="preserve"> </v>
      </c>
      <c r="AQ212" s="14" t="str">
        <f t="shared" si="619"/>
        <v xml:space="preserve"> </v>
      </c>
      <c r="AR212" s="14" t="str">
        <f t="shared" si="620"/>
        <v xml:space="preserve"> </v>
      </c>
      <c r="AS212" s="27" t="str">
        <f t="shared" si="847"/>
        <v xml:space="preserve"> </v>
      </c>
      <c r="AT212" s="14" t="str">
        <f t="shared" si="621"/>
        <v xml:space="preserve"> </v>
      </c>
      <c r="AU212" s="14" t="str">
        <f t="shared" si="622"/>
        <v xml:space="preserve"> </v>
      </c>
      <c r="AV212" s="14" t="str">
        <f t="shared" si="623"/>
        <v xml:space="preserve"> </v>
      </c>
      <c r="AW212" s="14" t="str">
        <f t="shared" si="624"/>
        <v xml:space="preserve"> </v>
      </c>
      <c r="AX212" s="14" t="str">
        <f t="shared" si="625"/>
        <v xml:space="preserve"> </v>
      </c>
      <c r="AY212" s="27" t="str">
        <f t="shared" si="847"/>
        <v xml:space="preserve"> </v>
      </c>
      <c r="AZ212" s="14" t="str">
        <f t="shared" si="626"/>
        <v xml:space="preserve"> </v>
      </c>
      <c r="BA212" s="14" t="str">
        <f t="shared" si="627"/>
        <v xml:space="preserve"> </v>
      </c>
      <c r="BB212" s="14" t="str">
        <f t="shared" si="628"/>
        <v xml:space="preserve"> </v>
      </c>
      <c r="BC212" s="14" t="str">
        <f t="shared" si="629"/>
        <v xml:space="preserve"> </v>
      </c>
      <c r="BD212" s="14" t="str">
        <f t="shared" si="630"/>
        <v xml:space="preserve"> </v>
      </c>
      <c r="BE212" s="27" t="str">
        <f t="shared" si="847"/>
        <v xml:space="preserve"> </v>
      </c>
      <c r="BF212" s="14" t="str">
        <f t="shared" si="631"/>
        <v xml:space="preserve"> </v>
      </c>
      <c r="BG212" s="14" t="str">
        <f t="shared" si="632"/>
        <v xml:space="preserve"> </v>
      </c>
      <c r="BH212" s="14" t="str">
        <f t="shared" si="633"/>
        <v xml:space="preserve"> </v>
      </c>
      <c r="BI212" s="14" t="str">
        <f t="shared" si="634"/>
        <v xml:space="preserve"> </v>
      </c>
      <c r="BJ212" s="14" t="str">
        <f t="shared" si="635"/>
        <v xml:space="preserve"> </v>
      </c>
      <c r="BK212" s="27" t="str">
        <f t="shared" si="847"/>
        <v xml:space="preserve"> </v>
      </c>
      <c r="BL212" s="14" t="str">
        <f t="shared" si="636"/>
        <v xml:space="preserve"> </v>
      </c>
      <c r="BM212" s="14" t="str">
        <f t="shared" si="637"/>
        <v xml:space="preserve"> </v>
      </c>
      <c r="BN212" s="14" t="str">
        <f t="shared" si="638"/>
        <v xml:space="preserve"> </v>
      </c>
      <c r="BO212" s="14" t="str">
        <f t="shared" si="639"/>
        <v xml:space="preserve"> </v>
      </c>
      <c r="BP212" s="14" t="str">
        <f t="shared" si="640"/>
        <v xml:space="preserve"> </v>
      </c>
      <c r="BQ212" s="27" t="str">
        <f t="shared" si="847"/>
        <v xml:space="preserve"> </v>
      </c>
      <c r="BR212" s="14" t="str">
        <f t="shared" si="641"/>
        <v xml:space="preserve"> </v>
      </c>
      <c r="BS212" s="14" t="str">
        <f t="shared" si="642"/>
        <v xml:space="preserve"> </v>
      </c>
      <c r="BT212" s="14" t="str">
        <f t="shared" si="643"/>
        <v xml:space="preserve"> </v>
      </c>
      <c r="BU212" s="14" t="str">
        <f t="shared" si="644"/>
        <v xml:space="preserve"> </v>
      </c>
      <c r="BV212" s="14" t="str">
        <f t="shared" si="645"/>
        <v xml:space="preserve"> </v>
      </c>
      <c r="BW212" s="27" t="str">
        <f t="shared" si="847"/>
        <v xml:space="preserve"> </v>
      </c>
      <c r="BX212" s="14" t="str">
        <f t="shared" si="646"/>
        <v xml:space="preserve"> </v>
      </c>
      <c r="BY212" s="14" t="str">
        <f t="shared" si="647"/>
        <v xml:space="preserve"> </v>
      </c>
      <c r="BZ212" s="14" t="str">
        <f t="shared" si="648"/>
        <v xml:space="preserve"> </v>
      </c>
      <c r="CA212" s="14" t="str">
        <f t="shared" si="649"/>
        <v xml:space="preserve"> </v>
      </c>
      <c r="CB212" s="14" t="str">
        <f t="shared" si="650"/>
        <v xml:space="preserve"> </v>
      </c>
      <c r="CC212" s="27" t="str">
        <f t="shared" si="848"/>
        <v xml:space="preserve"> </v>
      </c>
      <c r="CD212" s="14" t="str">
        <f t="shared" si="652"/>
        <v xml:space="preserve"> </v>
      </c>
      <c r="CE212" s="14" t="str">
        <f t="shared" si="653"/>
        <v xml:space="preserve"> </v>
      </c>
      <c r="CF212" s="14" t="str">
        <f t="shared" si="654"/>
        <v xml:space="preserve"> </v>
      </c>
      <c r="CG212" s="14" t="str">
        <f t="shared" si="655"/>
        <v xml:space="preserve"> </v>
      </c>
      <c r="CH212" s="14" t="str">
        <f t="shared" si="656"/>
        <v xml:space="preserve"> </v>
      </c>
      <c r="CI212" s="27" t="str">
        <f t="shared" si="848"/>
        <v xml:space="preserve"> </v>
      </c>
      <c r="CJ212" s="14" t="str">
        <f t="shared" si="657"/>
        <v xml:space="preserve"> </v>
      </c>
      <c r="CK212" s="14" t="str">
        <f t="shared" si="658"/>
        <v xml:space="preserve"> </v>
      </c>
      <c r="CL212" s="14" t="str">
        <f t="shared" si="659"/>
        <v xml:space="preserve"> </v>
      </c>
      <c r="CM212" s="14" t="str">
        <f t="shared" si="660"/>
        <v xml:space="preserve"> </v>
      </c>
      <c r="CN212" s="14" t="str">
        <f t="shared" si="661"/>
        <v xml:space="preserve"> </v>
      </c>
      <c r="CO212" s="27" t="str">
        <f t="shared" si="848"/>
        <v xml:space="preserve"> </v>
      </c>
      <c r="CP212" s="14" t="str">
        <f t="shared" si="662"/>
        <v xml:space="preserve"> </v>
      </c>
      <c r="CQ212" s="14" t="str">
        <f t="shared" si="663"/>
        <v xml:space="preserve"> </v>
      </c>
      <c r="CR212" s="14" t="str">
        <f t="shared" si="664"/>
        <v xml:space="preserve"> </v>
      </c>
      <c r="CS212" s="14" t="str">
        <f t="shared" si="665"/>
        <v xml:space="preserve"> </v>
      </c>
      <c r="CT212" s="14" t="str">
        <f t="shared" si="666"/>
        <v xml:space="preserve"> </v>
      </c>
      <c r="CU212" s="27" t="str">
        <f t="shared" si="848"/>
        <v xml:space="preserve"> </v>
      </c>
      <c r="CV212" s="14" t="str">
        <f t="shared" si="667"/>
        <v xml:space="preserve"> </v>
      </c>
      <c r="CW212" s="14" t="str">
        <f t="shared" si="668"/>
        <v xml:space="preserve"> </v>
      </c>
      <c r="CX212" s="14" t="str">
        <f t="shared" si="669"/>
        <v xml:space="preserve"> </v>
      </c>
      <c r="CY212" s="14" t="str">
        <f t="shared" si="670"/>
        <v xml:space="preserve"> </v>
      </c>
      <c r="CZ212" s="14" t="str">
        <f t="shared" si="671"/>
        <v xml:space="preserve"> </v>
      </c>
      <c r="DA212" s="27" t="str">
        <f t="shared" si="848"/>
        <v xml:space="preserve"> </v>
      </c>
      <c r="DB212" s="14" t="str">
        <f t="shared" si="672"/>
        <v xml:space="preserve"> </v>
      </c>
      <c r="DC212" s="14" t="str">
        <f t="shared" si="673"/>
        <v xml:space="preserve"> </v>
      </c>
      <c r="DD212" s="14" t="str">
        <f t="shared" si="674"/>
        <v xml:space="preserve"> </v>
      </c>
      <c r="DE212" s="14" t="str">
        <f t="shared" si="675"/>
        <v xml:space="preserve"> </v>
      </c>
      <c r="DF212" s="14" t="str">
        <f t="shared" si="676"/>
        <v xml:space="preserve"> </v>
      </c>
      <c r="DG212" s="27" t="str">
        <f t="shared" si="848"/>
        <v xml:space="preserve"> </v>
      </c>
      <c r="DH212" s="14" t="str">
        <f t="shared" si="677"/>
        <v xml:space="preserve"> </v>
      </c>
      <c r="DI212" s="14" t="str">
        <f t="shared" si="678"/>
        <v xml:space="preserve"> </v>
      </c>
      <c r="DJ212" s="14" t="str">
        <f t="shared" si="679"/>
        <v xml:space="preserve"> </v>
      </c>
      <c r="DK212" s="14" t="str">
        <f t="shared" si="680"/>
        <v xml:space="preserve"> </v>
      </c>
      <c r="DL212" s="14" t="str">
        <f t="shared" si="681"/>
        <v xml:space="preserve"> </v>
      </c>
      <c r="DM212" s="27" t="str">
        <f t="shared" si="848"/>
        <v xml:space="preserve"> </v>
      </c>
      <c r="DN212" s="14" t="str">
        <f t="shared" si="682"/>
        <v xml:space="preserve"> </v>
      </c>
      <c r="DO212" s="14" t="str">
        <f t="shared" si="683"/>
        <v xml:space="preserve"> </v>
      </c>
      <c r="DP212" s="14" t="str">
        <f t="shared" si="684"/>
        <v xml:space="preserve"> </v>
      </c>
      <c r="DQ212" s="14" t="str">
        <f t="shared" si="685"/>
        <v xml:space="preserve"> </v>
      </c>
      <c r="DR212" s="14" t="str">
        <f t="shared" si="686"/>
        <v xml:space="preserve"> </v>
      </c>
      <c r="DS212" s="27" t="str">
        <f t="shared" si="848"/>
        <v xml:space="preserve"> </v>
      </c>
      <c r="DT212" s="14" t="str">
        <f t="shared" si="687"/>
        <v xml:space="preserve"> </v>
      </c>
      <c r="DU212" s="14" t="str">
        <f t="shared" si="688"/>
        <v xml:space="preserve"> </v>
      </c>
      <c r="DV212" s="14" t="str">
        <f t="shared" si="689"/>
        <v xml:space="preserve"> </v>
      </c>
      <c r="DW212" s="14" t="str">
        <f t="shared" si="690"/>
        <v xml:space="preserve"> </v>
      </c>
      <c r="DX212" s="14" t="str">
        <f t="shared" si="691"/>
        <v xml:space="preserve"> </v>
      </c>
      <c r="DY212" s="27" t="str">
        <f t="shared" si="848"/>
        <v xml:space="preserve"> </v>
      </c>
      <c r="DZ212" s="14" t="str">
        <f t="shared" si="692"/>
        <v xml:space="preserve"> </v>
      </c>
      <c r="EA212" s="14" t="str">
        <f t="shared" si="693"/>
        <v xml:space="preserve"> </v>
      </c>
      <c r="EB212" s="14" t="str">
        <f t="shared" si="694"/>
        <v xml:space="preserve"> </v>
      </c>
      <c r="EC212" s="14" t="str">
        <f t="shared" si="695"/>
        <v xml:space="preserve"> </v>
      </c>
      <c r="ED212" s="14" t="str">
        <f t="shared" si="696"/>
        <v xml:space="preserve"> </v>
      </c>
      <c r="EE212" s="27" t="str">
        <f t="shared" si="848"/>
        <v xml:space="preserve"> </v>
      </c>
      <c r="EF212" s="14" t="str">
        <f t="shared" si="697"/>
        <v xml:space="preserve"> </v>
      </c>
      <c r="EG212" s="14" t="str">
        <f t="shared" si="698"/>
        <v xml:space="preserve"> </v>
      </c>
      <c r="EH212" s="14" t="str">
        <f t="shared" si="699"/>
        <v xml:space="preserve"> </v>
      </c>
      <c r="EI212" s="14" t="str">
        <f t="shared" si="700"/>
        <v xml:space="preserve"> </v>
      </c>
      <c r="EJ212" s="14" t="str">
        <f t="shared" si="701"/>
        <v xml:space="preserve"> </v>
      </c>
      <c r="EK212" s="27" t="str">
        <f t="shared" si="848"/>
        <v xml:space="preserve"> </v>
      </c>
      <c r="EL212" s="14" t="str">
        <f t="shared" si="702"/>
        <v xml:space="preserve"> </v>
      </c>
      <c r="EM212" s="14" t="str">
        <f t="shared" si="703"/>
        <v xml:space="preserve"> </v>
      </c>
      <c r="EN212" s="14" t="str">
        <f t="shared" si="704"/>
        <v xml:space="preserve"> </v>
      </c>
      <c r="EO212" s="14" t="str">
        <f t="shared" si="705"/>
        <v xml:space="preserve"> </v>
      </c>
      <c r="EP212" s="14" t="str">
        <f t="shared" si="706"/>
        <v xml:space="preserve"> </v>
      </c>
      <c r="EQ212" s="27" t="str">
        <f t="shared" si="849"/>
        <v xml:space="preserve"> </v>
      </c>
      <c r="ER212" s="14" t="str">
        <f t="shared" si="708"/>
        <v xml:space="preserve"> </v>
      </c>
      <c r="ES212" s="14" t="str">
        <f t="shared" si="709"/>
        <v xml:space="preserve"> </v>
      </c>
      <c r="ET212" s="14" t="str">
        <f t="shared" si="710"/>
        <v xml:space="preserve"> </v>
      </c>
      <c r="EU212" s="14" t="str">
        <f t="shared" si="711"/>
        <v xml:space="preserve"> </v>
      </c>
      <c r="EV212" s="14" t="str">
        <f t="shared" si="712"/>
        <v xml:space="preserve"> </v>
      </c>
      <c r="EW212" s="27" t="str">
        <f t="shared" si="849"/>
        <v xml:space="preserve"> </v>
      </c>
      <c r="EX212" s="14" t="str">
        <f t="shared" si="713"/>
        <v xml:space="preserve"> </v>
      </c>
      <c r="EY212" s="14" t="str">
        <f t="shared" si="714"/>
        <v xml:space="preserve"> </v>
      </c>
      <c r="EZ212" s="14" t="str">
        <f t="shared" si="715"/>
        <v xml:space="preserve"> </v>
      </c>
      <c r="FA212" s="14" t="str">
        <f t="shared" si="716"/>
        <v xml:space="preserve"> </v>
      </c>
      <c r="FB212" s="14" t="str">
        <f t="shared" si="717"/>
        <v xml:space="preserve"> </v>
      </c>
      <c r="FC212" s="27" t="str">
        <f t="shared" si="849"/>
        <v xml:space="preserve"> </v>
      </c>
      <c r="FD212" s="14" t="str">
        <f t="shared" si="718"/>
        <v xml:space="preserve"> </v>
      </c>
      <c r="FE212" s="14" t="str">
        <f t="shared" si="719"/>
        <v xml:space="preserve"> </v>
      </c>
      <c r="FF212" s="14" t="str">
        <f t="shared" si="720"/>
        <v xml:space="preserve"> </v>
      </c>
      <c r="FG212" s="14" t="str">
        <f t="shared" si="721"/>
        <v xml:space="preserve"> </v>
      </c>
      <c r="FH212" s="14" t="str">
        <f t="shared" si="722"/>
        <v xml:space="preserve"> </v>
      </c>
      <c r="FI212" s="27" t="str">
        <f t="shared" si="849"/>
        <v xml:space="preserve"> </v>
      </c>
      <c r="FJ212" s="14" t="str">
        <f t="shared" si="723"/>
        <v xml:space="preserve"> </v>
      </c>
      <c r="FK212" s="14" t="str">
        <f t="shared" si="724"/>
        <v xml:space="preserve"> </v>
      </c>
      <c r="FL212" s="14" t="str">
        <f t="shared" si="725"/>
        <v xml:space="preserve"> </v>
      </c>
      <c r="FM212" s="14" t="str">
        <f t="shared" si="726"/>
        <v xml:space="preserve"> </v>
      </c>
      <c r="FN212" s="14" t="str">
        <f t="shared" si="727"/>
        <v xml:space="preserve"> </v>
      </c>
      <c r="FO212" s="27" t="str">
        <f t="shared" si="849"/>
        <v xml:space="preserve"> </v>
      </c>
      <c r="FP212" s="14" t="str">
        <f t="shared" si="728"/>
        <v xml:space="preserve"> </v>
      </c>
      <c r="FQ212" s="14" t="str">
        <f t="shared" si="729"/>
        <v xml:space="preserve"> </v>
      </c>
      <c r="FR212" s="14" t="str">
        <f t="shared" si="730"/>
        <v xml:space="preserve"> </v>
      </c>
      <c r="FS212" s="14" t="str">
        <f t="shared" si="731"/>
        <v xml:space="preserve"> </v>
      </c>
      <c r="FT212" s="14" t="str">
        <f t="shared" si="732"/>
        <v xml:space="preserve"> </v>
      </c>
      <c r="FU212" s="27" t="str">
        <f t="shared" si="849"/>
        <v xml:space="preserve"> </v>
      </c>
      <c r="FV212" s="14" t="str">
        <f t="shared" si="733"/>
        <v xml:space="preserve"> </v>
      </c>
      <c r="FW212" s="14" t="str">
        <f t="shared" si="734"/>
        <v xml:space="preserve"> </v>
      </c>
      <c r="FX212" s="14" t="str">
        <f t="shared" si="735"/>
        <v xml:space="preserve"> </v>
      </c>
      <c r="FY212" s="14" t="str">
        <f t="shared" si="736"/>
        <v xml:space="preserve"> </v>
      </c>
      <c r="FZ212" s="14" t="str">
        <f t="shared" si="737"/>
        <v xml:space="preserve"> </v>
      </c>
      <c r="GA212" s="27" t="str">
        <f t="shared" si="849"/>
        <v xml:space="preserve"> </v>
      </c>
      <c r="GB212" s="14" t="str">
        <f t="shared" si="738"/>
        <v xml:space="preserve"> </v>
      </c>
      <c r="GC212" s="14" t="str">
        <f t="shared" si="739"/>
        <v xml:space="preserve"> </v>
      </c>
      <c r="GD212" s="14" t="str">
        <f t="shared" si="740"/>
        <v xml:space="preserve"> </v>
      </c>
      <c r="GE212" s="14" t="str">
        <f t="shared" si="741"/>
        <v xml:space="preserve"> </v>
      </c>
      <c r="GF212" s="14" t="str">
        <f t="shared" si="742"/>
        <v xml:space="preserve"> </v>
      </c>
      <c r="GG212" s="27" t="str">
        <f t="shared" si="849"/>
        <v xml:space="preserve"> </v>
      </c>
      <c r="GH212" s="14" t="str">
        <f t="shared" si="743"/>
        <v xml:space="preserve"> </v>
      </c>
      <c r="GI212" s="14" t="str">
        <f t="shared" si="744"/>
        <v xml:space="preserve"> </v>
      </c>
      <c r="GJ212" s="14" t="str">
        <f t="shared" si="745"/>
        <v xml:space="preserve"> </v>
      </c>
      <c r="GK212" s="14" t="str">
        <f t="shared" si="746"/>
        <v xml:space="preserve"> </v>
      </c>
      <c r="GL212" s="14" t="str">
        <f t="shared" si="747"/>
        <v xml:space="preserve"> </v>
      </c>
      <c r="GM212" s="27" t="str">
        <f t="shared" si="849"/>
        <v xml:space="preserve"> </v>
      </c>
      <c r="GN212" s="14" t="str">
        <f t="shared" si="748"/>
        <v xml:space="preserve"> </v>
      </c>
      <c r="GO212" s="14" t="str">
        <f t="shared" si="749"/>
        <v xml:space="preserve"> </v>
      </c>
      <c r="GP212" s="14" t="str">
        <f t="shared" si="750"/>
        <v xml:space="preserve"> </v>
      </c>
      <c r="GQ212" s="14" t="str">
        <f t="shared" si="751"/>
        <v xml:space="preserve"> </v>
      </c>
      <c r="GR212" s="14" t="str">
        <f t="shared" si="752"/>
        <v xml:space="preserve"> </v>
      </c>
      <c r="GS212" s="27" t="str">
        <f t="shared" si="849"/>
        <v xml:space="preserve"> </v>
      </c>
      <c r="GT212" s="14" t="str">
        <f t="shared" si="753"/>
        <v xml:space="preserve"> </v>
      </c>
      <c r="GU212" s="14" t="str">
        <f t="shared" si="754"/>
        <v xml:space="preserve"> </v>
      </c>
      <c r="GV212" s="14" t="str">
        <f t="shared" si="755"/>
        <v xml:space="preserve"> </v>
      </c>
      <c r="GW212" s="14" t="str">
        <f t="shared" si="756"/>
        <v xml:space="preserve"> </v>
      </c>
      <c r="GX212" s="14" t="str">
        <f t="shared" si="757"/>
        <v xml:space="preserve"> </v>
      </c>
      <c r="GY212" s="27" t="str">
        <f t="shared" si="849"/>
        <v xml:space="preserve"> </v>
      </c>
      <c r="GZ212" s="14" t="str">
        <f t="shared" si="758"/>
        <v xml:space="preserve"> </v>
      </c>
      <c r="HA212" s="14" t="str">
        <f t="shared" si="759"/>
        <v xml:space="preserve"> </v>
      </c>
      <c r="HB212" s="14" t="str">
        <f t="shared" si="760"/>
        <v xml:space="preserve"> </v>
      </c>
      <c r="HC212" s="14" t="str">
        <f t="shared" si="761"/>
        <v xml:space="preserve"> </v>
      </c>
      <c r="HD212" s="14" t="str">
        <f t="shared" si="762"/>
        <v xml:space="preserve"> </v>
      </c>
      <c r="HE212" s="27" t="str">
        <f t="shared" si="850"/>
        <v xml:space="preserve"> </v>
      </c>
      <c r="HF212" s="14" t="str">
        <f t="shared" si="764"/>
        <v xml:space="preserve"> </v>
      </c>
      <c r="HG212" s="14" t="str">
        <f t="shared" si="765"/>
        <v xml:space="preserve"> </v>
      </c>
      <c r="HH212" s="14" t="str">
        <f t="shared" si="766"/>
        <v xml:space="preserve"> </v>
      </c>
      <c r="HI212" s="14" t="str">
        <f t="shared" si="767"/>
        <v xml:space="preserve"> </v>
      </c>
      <c r="HJ212" s="14" t="str">
        <f t="shared" si="768"/>
        <v xml:space="preserve"> </v>
      </c>
      <c r="HK212" s="27" t="str">
        <f t="shared" si="850"/>
        <v xml:space="preserve"> </v>
      </c>
      <c r="HL212" s="14" t="str">
        <f t="shared" si="769"/>
        <v xml:space="preserve"> </v>
      </c>
      <c r="HM212" s="14" t="str">
        <f t="shared" si="770"/>
        <v xml:space="preserve"> </v>
      </c>
      <c r="HN212" s="14" t="str">
        <f t="shared" si="771"/>
        <v xml:space="preserve"> </v>
      </c>
      <c r="HO212" s="14" t="str">
        <f t="shared" si="772"/>
        <v xml:space="preserve"> </v>
      </c>
      <c r="HP212" s="14" t="str">
        <f t="shared" si="773"/>
        <v xml:space="preserve"> </v>
      </c>
      <c r="HQ212" s="27" t="str">
        <f t="shared" si="850"/>
        <v xml:space="preserve"> </v>
      </c>
    </row>
    <row r="213" spans="1:225" ht="15.75" customHeight="1">
      <c r="A213" s="7">
        <f t="shared" ref="A213:C213" si="857">A105</f>
        <v>0</v>
      </c>
      <c r="B213" s="7">
        <f t="shared" si="857"/>
        <v>0</v>
      </c>
      <c r="C213" s="7">
        <f t="shared" si="857"/>
        <v>0</v>
      </c>
      <c r="D213" s="14" t="str">
        <f t="shared" si="775"/>
        <v xml:space="preserve"> </v>
      </c>
      <c r="E213" s="14" t="str">
        <f t="shared" si="776"/>
        <v xml:space="preserve"> </v>
      </c>
      <c r="F213" s="14" t="str">
        <f t="shared" si="777"/>
        <v xml:space="preserve"> </v>
      </c>
      <c r="G213" s="14" t="str">
        <f t="shared" si="778"/>
        <v xml:space="preserve"> </v>
      </c>
      <c r="H213" s="14" t="str">
        <f t="shared" si="779"/>
        <v xml:space="preserve"> </v>
      </c>
      <c r="I213" s="27" t="str">
        <f t="shared" ref="I213" si="858">IF(I105="",I214,$C213&amp;"("&amp;I105&amp;"),"&amp;I214)</f>
        <v xml:space="preserve"> </v>
      </c>
      <c r="J213" s="14" t="str">
        <f t="shared" si="590"/>
        <v xml:space="preserve"> </v>
      </c>
      <c r="K213" s="14" t="str">
        <f t="shared" si="591"/>
        <v xml:space="preserve"> </v>
      </c>
      <c r="L213" s="14" t="str">
        <f t="shared" si="592"/>
        <v xml:space="preserve"> </v>
      </c>
      <c r="M213" s="14" t="str">
        <f t="shared" si="593"/>
        <v xml:space="preserve"> </v>
      </c>
      <c r="N213" s="14" t="str">
        <f t="shared" si="594"/>
        <v xml:space="preserve"> </v>
      </c>
      <c r="O213" s="27" t="str">
        <f t="shared" si="847"/>
        <v xml:space="preserve"> </v>
      </c>
      <c r="P213" s="14" t="str">
        <f t="shared" si="596"/>
        <v xml:space="preserve"> </v>
      </c>
      <c r="Q213" s="14" t="str">
        <f t="shared" si="597"/>
        <v xml:space="preserve"> </v>
      </c>
      <c r="R213" s="14" t="str">
        <f t="shared" si="598"/>
        <v xml:space="preserve"> </v>
      </c>
      <c r="S213" s="14" t="str">
        <f t="shared" si="599"/>
        <v xml:space="preserve"> </v>
      </c>
      <c r="T213" s="14" t="str">
        <f t="shared" si="600"/>
        <v xml:space="preserve"> </v>
      </c>
      <c r="U213" s="27" t="str">
        <f t="shared" si="847"/>
        <v xml:space="preserve"> </v>
      </c>
      <c r="V213" s="14" t="str">
        <f t="shared" si="601"/>
        <v xml:space="preserve"> </v>
      </c>
      <c r="W213" s="14" t="str">
        <f t="shared" si="602"/>
        <v xml:space="preserve"> </v>
      </c>
      <c r="X213" s="14" t="str">
        <f t="shared" si="603"/>
        <v xml:space="preserve"> </v>
      </c>
      <c r="Y213" s="14" t="str">
        <f t="shared" si="604"/>
        <v xml:space="preserve"> </v>
      </c>
      <c r="Z213" s="14" t="str">
        <f t="shared" si="605"/>
        <v xml:space="preserve"> </v>
      </c>
      <c r="AA213" s="27" t="str">
        <f t="shared" si="847"/>
        <v xml:space="preserve"> </v>
      </c>
      <c r="AB213" s="14" t="str">
        <f t="shared" si="606"/>
        <v xml:space="preserve"> </v>
      </c>
      <c r="AC213" s="14" t="str">
        <f t="shared" si="607"/>
        <v xml:space="preserve"> </v>
      </c>
      <c r="AD213" s="14" t="str">
        <f t="shared" si="608"/>
        <v xml:space="preserve"> </v>
      </c>
      <c r="AE213" s="14" t="str">
        <f t="shared" si="609"/>
        <v xml:space="preserve"> </v>
      </c>
      <c r="AF213" s="14" t="str">
        <f t="shared" si="610"/>
        <v xml:space="preserve"> </v>
      </c>
      <c r="AG213" s="27" t="str">
        <f t="shared" si="847"/>
        <v xml:space="preserve"> </v>
      </c>
      <c r="AH213" s="14" t="str">
        <f t="shared" si="611"/>
        <v xml:space="preserve"> </v>
      </c>
      <c r="AI213" s="14" t="str">
        <f t="shared" si="612"/>
        <v xml:space="preserve"> </v>
      </c>
      <c r="AJ213" s="14" t="str">
        <f t="shared" si="613"/>
        <v xml:space="preserve"> </v>
      </c>
      <c r="AK213" s="14" t="str">
        <f t="shared" si="614"/>
        <v xml:space="preserve"> </v>
      </c>
      <c r="AL213" s="14" t="str">
        <f t="shared" si="615"/>
        <v xml:space="preserve"> </v>
      </c>
      <c r="AM213" s="27" t="str">
        <f t="shared" si="847"/>
        <v xml:space="preserve"> </v>
      </c>
      <c r="AN213" s="14" t="str">
        <f t="shared" si="616"/>
        <v xml:space="preserve"> </v>
      </c>
      <c r="AO213" s="14" t="str">
        <f t="shared" si="617"/>
        <v xml:space="preserve"> </v>
      </c>
      <c r="AP213" s="14" t="str">
        <f t="shared" si="618"/>
        <v xml:space="preserve"> </v>
      </c>
      <c r="AQ213" s="14" t="str">
        <f t="shared" si="619"/>
        <v xml:space="preserve"> </v>
      </c>
      <c r="AR213" s="14" t="str">
        <f t="shared" si="620"/>
        <v xml:space="preserve"> </v>
      </c>
      <c r="AS213" s="27" t="str">
        <f t="shared" si="847"/>
        <v xml:space="preserve"> </v>
      </c>
      <c r="AT213" s="14" t="str">
        <f t="shared" si="621"/>
        <v xml:space="preserve"> </v>
      </c>
      <c r="AU213" s="14" t="str">
        <f t="shared" si="622"/>
        <v xml:space="preserve"> </v>
      </c>
      <c r="AV213" s="14" t="str">
        <f t="shared" si="623"/>
        <v xml:space="preserve"> </v>
      </c>
      <c r="AW213" s="14" t="str">
        <f t="shared" si="624"/>
        <v xml:space="preserve"> </v>
      </c>
      <c r="AX213" s="14" t="str">
        <f t="shared" si="625"/>
        <v xml:space="preserve"> </v>
      </c>
      <c r="AY213" s="27" t="str">
        <f t="shared" si="847"/>
        <v xml:space="preserve"> </v>
      </c>
      <c r="AZ213" s="14" t="str">
        <f t="shared" si="626"/>
        <v xml:space="preserve"> </v>
      </c>
      <c r="BA213" s="14" t="str">
        <f t="shared" si="627"/>
        <v xml:space="preserve"> </v>
      </c>
      <c r="BB213" s="14" t="str">
        <f t="shared" si="628"/>
        <v xml:space="preserve"> </v>
      </c>
      <c r="BC213" s="14" t="str">
        <f t="shared" si="629"/>
        <v xml:space="preserve"> </v>
      </c>
      <c r="BD213" s="14" t="str">
        <f t="shared" si="630"/>
        <v xml:space="preserve"> </v>
      </c>
      <c r="BE213" s="27" t="str">
        <f t="shared" si="847"/>
        <v xml:space="preserve"> </v>
      </c>
      <c r="BF213" s="14" t="str">
        <f t="shared" si="631"/>
        <v xml:space="preserve"> </v>
      </c>
      <c r="BG213" s="14" t="str">
        <f t="shared" si="632"/>
        <v xml:space="preserve"> </v>
      </c>
      <c r="BH213" s="14" t="str">
        <f t="shared" si="633"/>
        <v xml:space="preserve"> </v>
      </c>
      <c r="BI213" s="14" t="str">
        <f t="shared" si="634"/>
        <v xml:space="preserve"> </v>
      </c>
      <c r="BJ213" s="14" t="str">
        <f t="shared" si="635"/>
        <v xml:space="preserve"> </v>
      </c>
      <c r="BK213" s="27" t="str">
        <f t="shared" si="847"/>
        <v xml:space="preserve"> </v>
      </c>
      <c r="BL213" s="14" t="str">
        <f t="shared" si="636"/>
        <v xml:space="preserve"> </v>
      </c>
      <c r="BM213" s="14" t="str">
        <f t="shared" si="637"/>
        <v xml:space="preserve"> </v>
      </c>
      <c r="BN213" s="14" t="str">
        <f t="shared" si="638"/>
        <v xml:space="preserve"> </v>
      </c>
      <c r="BO213" s="14" t="str">
        <f t="shared" si="639"/>
        <v xml:space="preserve"> </v>
      </c>
      <c r="BP213" s="14" t="str">
        <f t="shared" si="640"/>
        <v xml:space="preserve"> </v>
      </c>
      <c r="BQ213" s="27" t="str">
        <f t="shared" si="847"/>
        <v xml:space="preserve"> </v>
      </c>
      <c r="BR213" s="14" t="str">
        <f t="shared" si="641"/>
        <v xml:space="preserve"> </v>
      </c>
      <c r="BS213" s="14" t="str">
        <f t="shared" si="642"/>
        <v xml:space="preserve"> </v>
      </c>
      <c r="BT213" s="14" t="str">
        <f t="shared" si="643"/>
        <v xml:space="preserve"> </v>
      </c>
      <c r="BU213" s="14" t="str">
        <f t="shared" si="644"/>
        <v xml:space="preserve"> </v>
      </c>
      <c r="BV213" s="14" t="str">
        <f t="shared" si="645"/>
        <v xml:space="preserve"> </v>
      </c>
      <c r="BW213" s="27" t="str">
        <f t="shared" si="847"/>
        <v xml:space="preserve"> </v>
      </c>
      <c r="BX213" s="14" t="str">
        <f t="shared" si="646"/>
        <v xml:space="preserve"> </v>
      </c>
      <c r="BY213" s="14" t="str">
        <f t="shared" si="647"/>
        <v xml:space="preserve"> </v>
      </c>
      <c r="BZ213" s="14" t="str">
        <f t="shared" si="648"/>
        <v xml:space="preserve"> </v>
      </c>
      <c r="CA213" s="14" t="str">
        <f t="shared" si="649"/>
        <v xml:space="preserve"> </v>
      </c>
      <c r="CB213" s="14" t="str">
        <f t="shared" si="650"/>
        <v xml:space="preserve"> </v>
      </c>
      <c r="CC213" s="27" t="str">
        <f t="shared" si="848"/>
        <v xml:space="preserve"> </v>
      </c>
      <c r="CD213" s="14" t="str">
        <f t="shared" si="652"/>
        <v xml:space="preserve"> </v>
      </c>
      <c r="CE213" s="14" t="str">
        <f t="shared" si="653"/>
        <v xml:space="preserve"> </v>
      </c>
      <c r="CF213" s="14" t="str">
        <f t="shared" si="654"/>
        <v xml:space="preserve"> </v>
      </c>
      <c r="CG213" s="14" t="str">
        <f t="shared" si="655"/>
        <v xml:space="preserve"> </v>
      </c>
      <c r="CH213" s="14" t="str">
        <f t="shared" si="656"/>
        <v xml:space="preserve"> </v>
      </c>
      <c r="CI213" s="27" t="str">
        <f t="shared" si="848"/>
        <v xml:space="preserve"> </v>
      </c>
      <c r="CJ213" s="14" t="str">
        <f t="shared" si="657"/>
        <v xml:space="preserve"> </v>
      </c>
      <c r="CK213" s="14" t="str">
        <f t="shared" si="658"/>
        <v xml:space="preserve"> </v>
      </c>
      <c r="CL213" s="14" t="str">
        <f t="shared" si="659"/>
        <v xml:space="preserve"> </v>
      </c>
      <c r="CM213" s="14" t="str">
        <f t="shared" si="660"/>
        <v xml:space="preserve"> </v>
      </c>
      <c r="CN213" s="14" t="str">
        <f t="shared" si="661"/>
        <v xml:space="preserve"> </v>
      </c>
      <c r="CO213" s="27" t="str">
        <f t="shared" si="848"/>
        <v xml:space="preserve"> </v>
      </c>
      <c r="CP213" s="14" t="str">
        <f t="shared" si="662"/>
        <v xml:space="preserve"> </v>
      </c>
      <c r="CQ213" s="14" t="str">
        <f t="shared" si="663"/>
        <v xml:space="preserve"> </v>
      </c>
      <c r="CR213" s="14" t="str">
        <f t="shared" si="664"/>
        <v xml:space="preserve"> </v>
      </c>
      <c r="CS213" s="14" t="str">
        <f t="shared" si="665"/>
        <v xml:space="preserve"> </v>
      </c>
      <c r="CT213" s="14" t="str">
        <f t="shared" si="666"/>
        <v xml:space="preserve"> </v>
      </c>
      <c r="CU213" s="27" t="str">
        <f t="shared" si="848"/>
        <v xml:space="preserve"> </v>
      </c>
      <c r="CV213" s="14" t="str">
        <f t="shared" si="667"/>
        <v xml:space="preserve"> </v>
      </c>
      <c r="CW213" s="14" t="str">
        <f t="shared" si="668"/>
        <v xml:space="preserve"> </v>
      </c>
      <c r="CX213" s="14" t="str">
        <f t="shared" si="669"/>
        <v xml:space="preserve"> </v>
      </c>
      <c r="CY213" s="14" t="str">
        <f t="shared" si="670"/>
        <v xml:space="preserve"> </v>
      </c>
      <c r="CZ213" s="14" t="str">
        <f t="shared" si="671"/>
        <v xml:space="preserve"> </v>
      </c>
      <c r="DA213" s="27" t="str">
        <f t="shared" si="848"/>
        <v xml:space="preserve"> </v>
      </c>
      <c r="DB213" s="14" t="str">
        <f t="shared" si="672"/>
        <v xml:space="preserve"> </v>
      </c>
      <c r="DC213" s="14" t="str">
        <f t="shared" si="673"/>
        <v xml:space="preserve"> </v>
      </c>
      <c r="DD213" s="14" t="str">
        <f t="shared" si="674"/>
        <v xml:space="preserve"> </v>
      </c>
      <c r="DE213" s="14" t="str">
        <f t="shared" si="675"/>
        <v xml:space="preserve"> </v>
      </c>
      <c r="DF213" s="14" t="str">
        <f t="shared" si="676"/>
        <v xml:space="preserve"> </v>
      </c>
      <c r="DG213" s="27" t="str">
        <f t="shared" si="848"/>
        <v xml:space="preserve"> </v>
      </c>
      <c r="DH213" s="14" t="str">
        <f t="shared" si="677"/>
        <v xml:space="preserve"> </v>
      </c>
      <c r="DI213" s="14" t="str">
        <f t="shared" si="678"/>
        <v xml:space="preserve"> </v>
      </c>
      <c r="DJ213" s="14" t="str">
        <f t="shared" si="679"/>
        <v xml:space="preserve"> </v>
      </c>
      <c r="DK213" s="14" t="str">
        <f t="shared" si="680"/>
        <v xml:space="preserve"> </v>
      </c>
      <c r="DL213" s="14" t="str">
        <f t="shared" si="681"/>
        <v xml:space="preserve"> </v>
      </c>
      <c r="DM213" s="27" t="str">
        <f t="shared" si="848"/>
        <v xml:space="preserve"> </v>
      </c>
      <c r="DN213" s="14" t="str">
        <f t="shared" si="682"/>
        <v xml:space="preserve"> </v>
      </c>
      <c r="DO213" s="14" t="str">
        <f t="shared" si="683"/>
        <v xml:space="preserve"> </v>
      </c>
      <c r="DP213" s="14" t="str">
        <f t="shared" si="684"/>
        <v xml:space="preserve"> </v>
      </c>
      <c r="DQ213" s="14" t="str">
        <f t="shared" si="685"/>
        <v xml:space="preserve"> </v>
      </c>
      <c r="DR213" s="14" t="str">
        <f t="shared" si="686"/>
        <v xml:space="preserve"> </v>
      </c>
      <c r="DS213" s="27" t="str">
        <f t="shared" si="848"/>
        <v xml:space="preserve"> </v>
      </c>
      <c r="DT213" s="14" t="str">
        <f t="shared" si="687"/>
        <v xml:space="preserve"> </v>
      </c>
      <c r="DU213" s="14" t="str">
        <f t="shared" si="688"/>
        <v xml:space="preserve"> </v>
      </c>
      <c r="DV213" s="14" t="str">
        <f t="shared" si="689"/>
        <v xml:space="preserve"> </v>
      </c>
      <c r="DW213" s="14" t="str">
        <f t="shared" si="690"/>
        <v xml:space="preserve"> </v>
      </c>
      <c r="DX213" s="14" t="str">
        <f t="shared" si="691"/>
        <v xml:space="preserve"> </v>
      </c>
      <c r="DY213" s="27" t="str">
        <f t="shared" si="848"/>
        <v xml:space="preserve"> </v>
      </c>
      <c r="DZ213" s="14" t="str">
        <f t="shared" si="692"/>
        <v xml:space="preserve"> </v>
      </c>
      <c r="EA213" s="14" t="str">
        <f t="shared" si="693"/>
        <v xml:space="preserve"> </v>
      </c>
      <c r="EB213" s="14" t="str">
        <f t="shared" si="694"/>
        <v xml:space="preserve"> </v>
      </c>
      <c r="EC213" s="14" t="str">
        <f t="shared" si="695"/>
        <v xml:space="preserve"> </v>
      </c>
      <c r="ED213" s="14" t="str">
        <f t="shared" si="696"/>
        <v xml:space="preserve"> </v>
      </c>
      <c r="EE213" s="27" t="str">
        <f t="shared" si="848"/>
        <v xml:space="preserve"> </v>
      </c>
      <c r="EF213" s="14" t="str">
        <f t="shared" si="697"/>
        <v xml:space="preserve"> </v>
      </c>
      <c r="EG213" s="14" t="str">
        <f t="shared" si="698"/>
        <v xml:space="preserve"> </v>
      </c>
      <c r="EH213" s="14" t="str">
        <f t="shared" si="699"/>
        <v xml:space="preserve"> </v>
      </c>
      <c r="EI213" s="14" t="str">
        <f t="shared" si="700"/>
        <v xml:space="preserve"> </v>
      </c>
      <c r="EJ213" s="14" t="str">
        <f t="shared" si="701"/>
        <v xml:space="preserve"> </v>
      </c>
      <c r="EK213" s="27" t="str">
        <f t="shared" si="848"/>
        <v xml:space="preserve"> </v>
      </c>
      <c r="EL213" s="14" t="str">
        <f t="shared" si="702"/>
        <v xml:space="preserve"> </v>
      </c>
      <c r="EM213" s="14" t="str">
        <f t="shared" si="703"/>
        <v xml:space="preserve"> </v>
      </c>
      <c r="EN213" s="14" t="str">
        <f t="shared" si="704"/>
        <v xml:space="preserve"> </v>
      </c>
      <c r="EO213" s="14" t="str">
        <f t="shared" si="705"/>
        <v xml:space="preserve"> </v>
      </c>
      <c r="EP213" s="14" t="str">
        <f t="shared" si="706"/>
        <v xml:space="preserve"> </v>
      </c>
      <c r="EQ213" s="27" t="str">
        <f t="shared" si="849"/>
        <v xml:space="preserve"> </v>
      </c>
      <c r="ER213" s="14" t="str">
        <f t="shared" si="708"/>
        <v xml:space="preserve"> </v>
      </c>
      <c r="ES213" s="14" t="str">
        <f t="shared" si="709"/>
        <v xml:space="preserve"> </v>
      </c>
      <c r="ET213" s="14" t="str">
        <f t="shared" si="710"/>
        <v xml:space="preserve"> </v>
      </c>
      <c r="EU213" s="14" t="str">
        <f t="shared" si="711"/>
        <v xml:space="preserve"> </v>
      </c>
      <c r="EV213" s="14" t="str">
        <f t="shared" si="712"/>
        <v xml:space="preserve"> </v>
      </c>
      <c r="EW213" s="27" t="str">
        <f t="shared" si="849"/>
        <v xml:space="preserve"> </v>
      </c>
      <c r="EX213" s="14" t="str">
        <f t="shared" si="713"/>
        <v xml:space="preserve"> </v>
      </c>
      <c r="EY213" s="14" t="str">
        <f t="shared" si="714"/>
        <v xml:space="preserve"> </v>
      </c>
      <c r="EZ213" s="14" t="str">
        <f t="shared" si="715"/>
        <v xml:space="preserve"> </v>
      </c>
      <c r="FA213" s="14" t="str">
        <f t="shared" si="716"/>
        <v xml:space="preserve"> </v>
      </c>
      <c r="FB213" s="14" t="str">
        <f t="shared" si="717"/>
        <v xml:space="preserve"> </v>
      </c>
      <c r="FC213" s="27" t="str">
        <f t="shared" si="849"/>
        <v xml:space="preserve"> </v>
      </c>
      <c r="FD213" s="14" t="str">
        <f t="shared" si="718"/>
        <v xml:space="preserve"> </v>
      </c>
      <c r="FE213" s="14" t="str">
        <f t="shared" si="719"/>
        <v xml:space="preserve"> </v>
      </c>
      <c r="FF213" s="14" t="str">
        <f t="shared" si="720"/>
        <v xml:space="preserve"> </v>
      </c>
      <c r="FG213" s="14" t="str">
        <f t="shared" si="721"/>
        <v xml:space="preserve"> </v>
      </c>
      <c r="FH213" s="14" t="str">
        <f t="shared" si="722"/>
        <v xml:space="preserve"> </v>
      </c>
      <c r="FI213" s="27" t="str">
        <f t="shared" si="849"/>
        <v xml:space="preserve"> </v>
      </c>
      <c r="FJ213" s="14" t="str">
        <f t="shared" si="723"/>
        <v xml:space="preserve"> </v>
      </c>
      <c r="FK213" s="14" t="str">
        <f t="shared" si="724"/>
        <v xml:space="preserve"> </v>
      </c>
      <c r="FL213" s="14" t="str">
        <f t="shared" si="725"/>
        <v xml:space="preserve"> </v>
      </c>
      <c r="FM213" s="14" t="str">
        <f t="shared" si="726"/>
        <v xml:space="preserve"> </v>
      </c>
      <c r="FN213" s="14" t="str">
        <f t="shared" si="727"/>
        <v xml:space="preserve"> </v>
      </c>
      <c r="FO213" s="27" t="str">
        <f t="shared" si="849"/>
        <v xml:space="preserve"> </v>
      </c>
      <c r="FP213" s="14" t="str">
        <f t="shared" si="728"/>
        <v xml:space="preserve"> </v>
      </c>
      <c r="FQ213" s="14" t="str">
        <f t="shared" si="729"/>
        <v xml:space="preserve"> </v>
      </c>
      <c r="FR213" s="14" t="str">
        <f t="shared" si="730"/>
        <v xml:space="preserve"> </v>
      </c>
      <c r="FS213" s="14" t="str">
        <f t="shared" si="731"/>
        <v xml:space="preserve"> </v>
      </c>
      <c r="FT213" s="14" t="str">
        <f t="shared" si="732"/>
        <v xml:space="preserve"> </v>
      </c>
      <c r="FU213" s="27" t="str">
        <f t="shared" si="849"/>
        <v xml:space="preserve"> </v>
      </c>
      <c r="FV213" s="14" t="str">
        <f t="shared" si="733"/>
        <v xml:space="preserve"> </v>
      </c>
      <c r="FW213" s="14" t="str">
        <f t="shared" si="734"/>
        <v xml:space="preserve"> </v>
      </c>
      <c r="FX213" s="14" t="str">
        <f t="shared" si="735"/>
        <v xml:space="preserve"> </v>
      </c>
      <c r="FY213" s="14" t="str">
        <f t="shared" si="736"/>
        <v xml:space="preserve"> </v>
      </c>
      <c r="FZ213" s="14" t="str">
        <f t="shared" si="737"/>
        <v xml:space="preserve"> </v>
      </c>
      <c r="GA213" s="27" t="str">
        <f t="shared" si="849"/>
        <v xml:space="preserve"> </v>
      </c>
      <c r="GB213" s="14" t="str">
        <f t="shared" si="738"/>
        <v xml:space="preserve"> </v>
      </c>
      <c r="GC213" s="14" t="str">
        <f t="shared" si="739"/>
        <v xml:space="preserve"> </v>
      </c>
      <c r="GD213" s="14" t="str">
        <f t="shared" si="740"/>
        <v xml:space="preserve"> </v>
      </c>
      <c r="GE213" s="14" t="str">
        <f t="shared" si="741"/>
        <v xml:space="preserve"> </v>
      </c>
      <c r="GF213" s="14" t="str">
        <f t="shared" si="742"/>
        <v xml:space="preserve"> </v>
      </c>
      <c r="GG213" s="27" t="str">
        <f t="shared" si="849"/>
        <v xml:space="preserve"> </v>
      </c>
      <c r="GH213" s="14" t="str">
        <f t="shared" si="743"/>
        <v xml:space="preserve"> </v>
      </c>
      <c r="GI213" s="14" t="str">
        <f t="shared" si="744"/>
        <v xml:space="preserve"> </v>
      </c>
      <c r="GJ213" s="14" t="str">
        <f t="shared" si="745"/>
        <v xml:space="preserve"> </v>
      </c>
      <c r="GK213" s="14" t="str">
        <f t="shared" si="746"/>
        <v xml:space="preserve"> </v>
      </c>
      <c r="GL213" s="14" t="str">
        <f t="shared" si="747"/>
        <v xml:space="preserve"> </v>
      </c>
      <c r="GM213" s="27" t="str">
        <f t="shared" si="849"/>
        <v xml:space="preserve"> </v>
      </c>
      <c r="GN213" s="14" t="str">
        <f t="shared" si="748"/>
        <v xml:space="preserve"> </v>
      </c>
      <c r="GO213" s="14" t="str">
        <f t="shared" si="749"/>
        <v xml:space="preserve"> </v>
      </c>
      <c r="GP213" s="14" t="str">
        <f t="shared" si="750"/>
        <v xml:space="preserve"> </v>
      </c>
      <c r="GQ213" s="14" t="str">
        <f t="shared" si="751"/>
        <v xml:space="preserve"> </v>
      </c>
      <c r="GR213" s="14" t="str">
        <f t="shared" si="752"/>
        <v xml:space="preserve"> </v>
      </c>
      <c r="GS213" s="27" t="str">
        <f t="shared" si="849"/>
        <v xml:space="preserve"> </v>
      </c>
      <c r="GT213" s="14" t="str">
        <f t="shared" si="753"/>
        <v xml:space="preserve"> </v>
      </c>
      <c r="GU213" s="14" t="str">
        <f t="shared" si="754"/>
        <v xml:space="preserve"> </v>
      </c>
      <c r="GV213" s="14" t="str">
        <f t="shared" si="755"/>
        <v xml:space="preserve"> </v>
      </c>
      <c r="GW213" s="14" t="str">
        <f t="shared" si="756"/>
        <v xml:space="preserve"> </v>
      </c>
      <c r="GX213" s="14" t="str">
        <f t="shared" si="757"/>
        <v xml:space="preserve"> </v>
      </c>
      <c r="GY213" s="27" t="str">
        <f t="shared" si="849"/>
        <v xml:space="preserve"> </v>
      </c>
      <c r="GZ213" s="14" t="str">
        <f t="shared" si="758"/>
        <v xml:space="preserve"> </v>
      </c>
      <c r="HA213" s="14" t="str">
        <f t="shared" si="759"/>
        <v xml:space="preserve"> </v>
      </c>
      <c r="HB213" s="14" t="str">
        <f t="shared" si="760"/>
        <v xml:space="preserve"> </v>
      </c>
      <c r="HC213" s="14" t="str">
        <f t="shared" si="761"/>
        <v xml:space="preserve"> </v>
      </c>
      <c r="HD213" s="14" t="str">
        <f t="shared" si="762"/>
        <v xml:space="preserve"> </v>
      </c>
      <c r="HE213" s="27" t="str">
        <f t="shared" si="850"/>
        <v xml:space="preserve"> </v>
      </c>
      <c r="HF213" s="14" t="str">
        <f t="shared" si="764"/>
        <v xml:space="preserve"> </v>
      </c>
      <c r="HG213" s="14" t="str">
        <f t="shared" si="765"/>
        <v xml:space="preserve"> </v>
      </c>
      <c r="HH213" s="14" t="str">
        <f t="shared" si="766"/>
        <v xml:space="preserve"> </v>
      </c>
      <c r="HI213" s="14" t="str">
        <f t="shared" si="767"/>
        <v xml:space="preserve"> </v>
      </c>
      <c r="HJ213" s="14" t="str">
        <f t="shared" si="768"/>
        <v xml:space="preserve"> </v>
      </c>
      <c r="HK213" s="27" t="str">
        <f t="shared" si="850"/>
        <v xml:space="preserve"> </v>
      </c>
      <c r="HL213" s="14" t="str">
        <f t="shared" si="769"/>
        <v xml:space="preserve"> </v>
      </c>
      <c r="HM213" s="14" t="str">
        <f t="shared" si="770"/>
        <v xml:space="preserve"> </v>
      </c>
      <c r="HN213" s="14" t="str">
        <f t="shared" si="771"/>
        <v xml:space="preserve"> </v>
      </c>
      <c r="HO213" s="14" t="str">
        <f t="shared" si="772"/>
        <v xml:space="preserve"> </v>
      </c>
      <c r="HP213" s="14" t="str">
        <f t="shared" si="773"/>
        <v xml:space="preserve"> </v>
      </c>
      <c r="HQ213" s="27" t="str">
        <f t="shared" si="850"/>
        <v xml:space="preserve"> </v>
      </c>
    </row>
    <row r="214" spans="1:225" s="21" customFormat="1" ht="15.75" customHeight="1">
      <c r="C214" s="21" t="s">
        <v>9</v>
      </c>
      <c r="D214" s="21" t="s">
        <v>9</v>
      </c>
      <c r="E214" s="21" t="s">
        <v>9</v>
      </c>
      <c r="F214" s="21" t="s">
        <v>9</v>
      </c>
      <c r="G214" s="21" t="s">
        <v>9</v>
      </c>
      <c r="H214" s="21" t="s">
        <v>9</v>
      </c>
      <c r="I214" s="21" t="s">
        <v>9</v>
      </c>
      <c r="J214" s="21" t="s">
        <v>9</v>
      </c>
      <c r="K214" s="21" t="s">
        <v>9</v>
      </c>
      <c r="L214" s="21" t="s">
        <v>9</v>
      </c>
      <c r="M214" s="21" t="s">
        <v>9</v>
      </c>
      <c r="N214" s="21" t="s">
        <v>9</v>
      </c>
      <c r="O214" s="21" t="s">
        <v>9</v>
      </c>
      <c r="P214" s="21" t="s">
        <v>9</v>
      </c>
      <c r="Q214" s="21" t="s">
        <v>9</v>
      </c>
      <c r="R214" s="21" t="s">
        <v>9</v>
      </c>
      <c r="S214" s="21" t="s">
        <v>9</v>
      </c>
      <c r="T214" s="21" t="s">
        <v>9</v>
      </c>
      <c r="U214" s="21" t="s">
        <v>9</v>
      </c>
      <c r="V214" s="21" t="s">
        <v>9</v>
      </c>
      <c r="W214" s="21" t="s">
        <v>9</v>
      </c>
      <c r="X214" s="21" t="s">
        <v>9</v>
      </c>
      <c r="Y214" s="21" t="s">
        <v>9</v>
      </c>
      <c r="Z214" s="21" t="s">
        <v>9</v>
      </c>
      <c r="AA214" s="21" t="s">
        <v>9</v>
      </c>
      <c r="AB214" s="21" t="s">
        <v>9</v>
      </c>
      <c r="AC214" s="21" t="s">
        <v>9</v>
      </c>
      <c r="AD214" s="21" t="s">
        <v>9</v>
      </c>
      <c r="AE214" s="21" t="s">
        <v>9</v>
      </c>
      <c r="AF214" s="21" t="s">
        <v>9</v>
      </c>
      <c r="AG214" s="21" t="s">
        <v>9</v>
      </c>
      <c r="AH214" s="21" t="s">
        <v>9</v>
      </c>
      <c r="AI214" s="21" t="s">
        <v>9</v>
      </c>
      <c r="AJ214" s="21" t="s">
        <v>9</v>
      </c>
      <c r="AK214" s="21" t="s">
        <v>9</v>
      </c>
      <c r="AL214" s="21" t="s">
        <v>9</v>
      </c>
      <c r="AM214" s="21" t="s">
        <v>9</v>
      </c>
      <c r="AN214" s="21" t="s">
        <v>9</v>
      </c>
      <c r="AO214" s="21" t="s">
        <v>9</v>
      </c>
      <c r="AP214" s="21" t="s">
        <v>9</v>
      </c>
      <c r="AQ214" s="21" t="s">
        <v>9</v>
      </c>
      <c r="AR214" s="21" t="s">
        <v>9</v>
      </c>
      <c r="AS214" s="21" t="s">
        <v>9</v>
      </c>
      <c r="AT214" s="21" t="s">
        <v>9</v>
      </c>
      <c r="AU214" s="21" t="s">
        <v>9</v>
      </c>
      <c r="AV214" s="21" t="s">
        <v>9</v>
      </c>
      <c r="AW214" s="21" t="s">
        <v>9</v>
      </c>
      <c r="AX214" s="21" t="s">
        <v>9</v>
      </c>
      <c r="AY214" s="21" t="s">
        <v>9</v>
      </c>
      <c r="AZ214" s="21" t="s">
        <v>9</v>
      </c>
      <c r="BA214" s="21" t="s">
        <v>9</v>
      </c>
      <c r="BB214" s="21" t="s">
        <v>9</v>
      </c>
      <c r="BC214" s="21" t="s">
        <v>9</v>
      </c>
      <c r="BD214" s="21" t="s">
        <v>9</v>
      </c>
      <c r="BE214" s="21" t="s">
        <v>9</v>
      </c>
      <c r="BF214" s="21" t="s">
        <v>9</v>
      </c>
      <c r="BG214" s="21" t="s">
        <v>9</v>
      </c>
      <c r="BH214" s="21" t="s">
        <v>9</v>
      </c>
      <c r="BI214" s="21" t="s">
        <v>9</v>
      </c>
      <c r="BJ214" s="21" t="s">
        <v>9</v>
      </c>
      <c r="BK214" s="21" t="s">
        <v>9</v>
      </c>
      <c r="BL214" s="21" t="s">
        <v>9</v>
      </c>
      <c r="BM214" s="21" t="s">
        <v>9</v>
      </c>
      <c r="BN214" s="21" t="s">
        <v>9</v>
      </c>
      <c r="BO214" s="21" t="s">
        <v>9</v>
      </c>
      <c r="BP214" s="21" t="s">
        <v>9</v>
      </c>
      <c r="BQ214" s="21" t="s">
        <v>9</v>
      </c>
      <c r="BR214" s="21" t="s">
        <v>9</v>
      </c>
      <c r="BS214" s="21" t="s">
        <v>9</v>
      </c>
      <c r="BT214" s="21" t="s">
        <v>9</v>
      </c>
      <c r="BU214" s="21" t="s">
        <v>9</v>
      </c>
      <c r="BV214" s="21" t="s">
        <v>9</v>
      </c>
      <c r="BW214" s="21" t="s">
        <v>9</v>
      </c>
      <c r="BX214" s="21" t="s">
        <v>9</v>
      </c>
      <c r="BY214" s="21" t="s">
        <v>9</v>
      </c>
      <c r="BZ214" s="21" t="s">
        <v>9</v>
      </c>
      <c r="CA214" s="21" t="s">
        <v>9</v>
      </c>
      <c r="CB214" s="21" t="s">
        <v>9</v>
      </c>
      <c r="CC214" s="21" t="s">
        <v>9</v>
      </c>
      <c r="CD214" s="21" t="s">
        <v>9</v>
      </c>
      <c r="CE214" s="21" t="s">
        <v>9</v>
      </c>
      <c r="CF214" s="21" t="s">
        <v>9</v>
      </c>
      <c r="CG214" s="21" t="s">
        <v>9</v>
      </c>
      <c r="CH214" s="21" t="s">
        <v>9</v>
      </c>
      <c r="CI214" s="21" t="s">
        <v>9</v>
      </c>
      <c r="CJ214" s="21" t="s">
        <v>9</v>
      </c>
      <c r="CK214" s="21" t="s">
        <v>9</v>
      </c>
      <c r="CL214" s="21" t="s">
        <v>9</v>
      </c>
      <c r="CM214" s="21" t="s">
        <v>9</v>
      </c>
      <c r="CN214" s="21" t="s">
        <v>9</v>
      </c>
      <c r="CO214" s="21" t="s">
        <v>9</v>
      </c>
      <c r="CP214" s="21" t="s">
        <v>9</v>
      </c>
      <c r="CQ214" s="21" t="s">
        <v>9</v>
      </c>
      <c r="CR214" s="21" t="s">
        <v>9</v>
      </c>
      <c r="CS214" s="21" t="s">
        <v>9</v>
      </c>
      <c r="CT214" s="21" t="s">
        <v>9</v>
      </c>
      <c r="CU214" s="21" t="s">
        <v>9</v>
      </c>
      <c r="CV214" s="21" t="s">
        <v>9</v>
      </c>
      <c r="CW214" s="21" t="s">
        <v>9</v>
      </c>
      <c r="CX214" s="21" t="s">
        <v>9</v>
      </c>
      <c r="CY214" s="21" t="s">
        <v>9</v>
      </c>
      <c r="CZ214" s="21" t="s">
        <v>9</v>
      </c>
      <c r="DA214" s="21" t="s">
        <v>9</v>
      </c>
      <c r="DB214" s="21" t="s">
        <v>9</v>
      </c>
      <c r="DC214" s="21" t="s">
        <v>9</v>
      </c>
      <c r="DD214" s="21" t="s">
        <v>9</v>
      </c>
      <c r="DE214" s="21" t="s">
        <v>9</v>
      </c>
      <c r="DF214" s="21" t="s">
        <v>9</v>
      </c>
      <c r="DG214" s="21" t="s">
        <v>9</v>
      </c>
      <c r="DH214" s="21" t="s">
        <v>9</v>
      </c>
      <c r="DI214" s="21" t="s">
        <v>9</v>
      </c>
      <c r="DJ214" s="21" t="s">
        <v>9</v>
      </c>
      <c r="DK214" s="21" t="s">
        <v>9</v>
      </c>
      <c r="DL214" s="21" t="s">
        <v>9</v>
      </c>
      <c r="DM214" s="21" t="s">
        <v>9</v>
      </c>
      <c r="DN214" s="21" t="s">
        <v>9</v>
      </c>
      <c r="DO214" s="21" t="s">
        <v>9</v>
      </c>
      <c r="DP214" s="21" t="s">
        <v>9</v>
      </c>
      <c r="DQ214" s="21" t="s">
        <v>9</v>
      </c>
      <c r="DR214" s="21" t="s">
        <v>9</v>
      </c>
      <c r="DS214" s="21" t="s">
        <v>9</v>
      </c>
      <c r="DT214" s="21" t="s">
        <v>9</v>
      </c>
      <c r="DU214" s="21" t="s">
        <v>9</v>
      </c>
      <c r="DV214" s="21" t="s">
        <v>9</v>
      </c>
      <c r="DW214" s="21" t="s">
        <v>9</v>
      </c>
      <c r="DX214" s="21" t="s">
        <v>9</v>
      </c>
      <c r="DY214" s="21" t="s">
        <v>9</v>
      </c>
      <c r="DZ214" s="21" t="s">
        <v>9</v>
      </c>
      <c r="EA214" s="21" t="s">
        <v>9</v>
      </c>
      <c r="EB214" s="21" t="s">
        <v>9</v>
      </c>
      <c r="EC214" s="21" t="s">
        <v>9</v>
      </c>
      <c r="ED214" s="21" t="s">
        <v>9</v>
      </c>
      <c r="EE214" s="21" t="s">
        <v>9</v>
      </c>
      <c r="EF214" s="21" t="s">
        <v>9</v>
      </c>
      <c r="EG214" s="21" t="s">
        <v>9</v>
      </c>
      <c r="EH214" s="21" t="s">
        <v>9</v>
      </c>
      <c r="EI214" s="21" t="s">
        <v>9</v>
      </c>
      <c r="EJ214" s="21" t="s">
        <v>9</v>
      </c>
      <c r="EK214" s="21" t="s">
        <v>9</v>
      </c>
      <c r="EL214" s="21" t="s">
        <v>9</v>
      </c>
      <c r="EM214" s="21" t="s">
        <v>9</v>
      </c>
      <c r="EN214" s="21" t="s">
        <v>9</v>
      </c>
      <c r="EO214" s="21" t="s">
        <v>9</v>
      </c>
      <c r="EP214" s="21" t="s">
        <v>9</v>
      </c>
      <c r="EQ214" s="21" t="s">
        <v>9</v>
      </c>
      <c r="ER214" s="21" t="s">
        <v>9</v>
      </c>
      <c r="ES214" s="21" t="s">
        <v>9</v>
      </c>
      <c r="ET214" s="21" t="s">
        <v>9</v>
      </c>
      <c r="EU214" s="21" t="s">
        <v>9</v>
      </c>
      <c r="EV214" s="21" t="s">
        <v>9</v>
      </c>
      <c r="EW214" s="21" t="s">
        <v>9</v>
      </c>
      <c r="EX214" s="21" t="s">
        <v>9</v>
      </c>
      <c r="EY214" s="21" t="s">
        <v>9</v>
      </c>
      <c r="EZ214" s="21" t="s">
        <v>9</v>
      </c>
      <c r="FA214" s="21" t="s">
        <v>9</v>
      </c>
      <c r="FB214" s="21" t="s">
        <v>9</v>
      </c>
      <c r="FC214" s="21" t="s">
        <v>9</v>
      </c>
      <c r="FD214" s="21" t="s">
        <v>9</v>
      </c>
      <c r="FE214" s="21" t="s">
        <v>9</v>
      </c>
      <c r="FF214" s="21" t="s">
        <v>9</v>
      </c>
      <c r="FG214" s="21" t="s">
        <v>9</v>
      </c>
      <c r="FH214" s="21" t="s">
        <v>9</v>
      </c>
      <c r="FI214" s="21" t="s">
        <v>9</v>
      </c>
      <c r="FJ214" s="21" t="s">
        <v>9</v>
      </c>
      <c r="FK214" s="21" t="s">
        <v>9</v>
      </c>
      <c r="FL214" s="21" t="s">
        <v>9</v>
      </c>
      <c r="FM214" s="21" t="s">
        <v>9</v>
      </c>
      <c r="FN214" s="21" t="s">
        <v>9</v>
      </c>
      <c r="FO214" s="21" t="s">
        <v>9</v>
      </c>
      <c r="FP214" s="21" t="s">
        <v>9</v>
      </c>
      <c r="FQ214" s="21" t="s">
        <v>9</v>
      </c>
      <c r="FR214" s="21" t="s">
        <v>9</v>
      </c>
      <c r="FS214" s="21" t="s">
        <v>9</v>
      </c>
      <c r="FT214" s="21" t="s">
        <v>9</v>
      </c>
      <c r="FU214" s="21" t="s">
        <v>9</v>
      </c>
      <c r="FV214" s="21" t="s">
        <v>9</v>
      </c>
      <c r="FW214" s="21" t="s">
        <v>9</v>
      </c>
      <c r="FX214" s="21" t="s">
        <v>9</v>
      </c>
      <c r="FY214" s="21" t="s">
        <v>9</v>
      </c>
      <c r="FZ214" s="21" t="s">
        <v>9</v>
      </c>
      <c r="GA214" s="21" t="s">
        <v>9</v>
      </c>
      <c r="GB214" s="21" t="s">
        <v>9</v>
      </c>
      <c r="GC214" s="21" t="s">
        <v>9</v>
      </c>
      <c r="GD214" s="21" t="s">
        <v>9</v>
      </c>
      <c r="GE214" s="21" t="s">
        <v>9</v>
      </c>
      <c r="GF214" s="21" t="s">
        <v>9</v>
      </c>
      <c r="GG214" s="21" t="s">
        <v>9</v>
      </c>
      <c r="GH214" s="21" t="s">
        <v>9</v>
      </c>
      <c r="GI214" s="21" t="s">
        <v>9</v>
      </c>
      <c r="GJ214" s="21" t="s">
        <v>9</v>
      </c>
      <c r="GK214" s="21" t="s">
        <v>9</v>
      </c>
      <c r="GL214" s="21" t="s">
        <v>9</v>
      </c>
      <c r="GM214" s="21" t="s">
        <v>9</v>
      </c>
      <c r="GN214" s="21" t="s">
        <v>9</v>
      </c>
      <c r="GO214" s="21" t="s">
        <v>9</v>
      </c>
      <c r="GP214" s="21" t="s">
        <v>9</v>
      </c>
      <c r="GQ214" s="21" t="s">
        <v>9</v>
      </c>
      <c r="GR214" s="21" t="s">
        <v>9</v>
      </c>
      <c r="GS214" s="21" t="s">
        <v>9</v>
      </c>
      <c r="GT214" s="21" t="s">
        <v>9</v>
      </c>
      <c r="GU214" s="21" t="s">
        <v>9</v>
      </c>
      <c r="GV214" s="21" t="s">
        <v>9</v>
      </c>
      <c r="GW214" s="21" t="s">
        <v>9</v>
      </c>
      <c r="GX214" s="21" t="s">
        <v>9</v>
      </c>
      <c r="GY214" s="21" t="s">
        <v>9</v>
      </c>
      <c r="GZ214" s="21" t="s">
        <v>9</v>
      </c>
      <c r="HA214" s="21" t="s">
        <v>9</v>
      </c>
      <c r="HB214" s="21" t="s">
        <v>9</v>
      </c>
      <c r="HC214" s="21" t="s">
        <v>9</v>
      </c>
      <c r="HD214" s="21" t="s">
        <v>9</v>
      </c>
      <c r="HE214" s="21" t="s">
        <v>9</v>
      </c>
      <c r="HF214" s="21" t="s">
        <v>9</v>
      </c>
      <c r="HG214" s="21" t="s">
        <v>9</v>
      </c>
      <c r="HH214" s="21" t="s">
        <v>9</v>
      </c>
      <c r="HI214" s="21" t="s">
        <v>9</v>
      </c>
      <c r="HJ214" s="21" t="s">
        <v>9</v>
      </c>
      <c r="HK214" s="21" t="s">
        <v>9</v>
      </c>
      <c r="HL214" s="21" t="s">
        <v>9</v>
      </c>
      <c r="HM214" s="21" t="s">
        <v>9</v>
      </c>
      <c r="HN214" s="21" t="s">
        <v>9</v>
      </c>
      <c r="HO214" s="21" t="s">
        <v>9</v>
      </c>
      <c r="HP214" s="21" t="s">
        <v>9</v>
      </c>
      <c r="HQ214" s="21" t="s">
        <v>9</v>
      </c>
    </row>
    <row r="219" spans="1:225" s="13" customFormat="1" ht="15.75" customHeight="1">
      <c r="I219" s="28"/>
      <c r="O219" s="28"/>
      <c r="U219" s="28"/>
      <c r="AA219" s="28"/>
      <c r="AG219" s="28"/>
      <c r="AM219" s="28"/>
      <c r="AS219" s="28"/>
      <c r="AY219" s="28"/>
      <c r="BE219" s="28"/>
      <c r="BK219" s="28"/>
      <c r="BQ219" s="28"/>
      <c r="BW219" s="28"/>
      <c r="CC219" s="28"/>
      <c r="CI219" s="28"/>
      <c r="CO219" s="28"/>
      <c r="CU219" s="28"/>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card</vt:lpstr>
      <vt:lpstr>data</vt:lpstr>
      <vt:lpstr>EventCard</vt:lpstr>
      <vt:lpstr>card!Print_Area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竹村真人</dc:creator>
  <cp:lastModifiedBy>take</cp:lastModifiedBy>
  <cp:lastPrinted>2019-09-08T09:36:57Z</cp:lastPrinted>
  <dcterms:created xsi:type="dcterms:W3CDTF">2019-09-06T06:58:57Z</dcterms:created>
  <dcterms:modified xsi:type="dcterms:W3CDTF">2019-09-08T09:38:08Z</dcterms:modified>
</cp:coreProperties>
</file>